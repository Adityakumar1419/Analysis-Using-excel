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
    </mc:Choice>
  </mc:AlternateContent>
  <xr:revisionPtr revIDLastSave="0" documentId="13_ncr:1_{9774A6FC-DC49-48CC-A035-2DF8592F0DD5}" xr6:coauthVersionLast="47" xr6:coauthVersionMax="47" xr10:uidLastSave="{00000000-0000-0000-0000-000000000000}"/>
  <bookViews>
    <workbookView xWindow="-108" yWindow="-108" windowWidth="23256" windowHeight="13176" tabRatio="1000" xr2:uid="{00000000-000D-0000-FFFF-FFFF00000000}"/>
  </bookViews>
  <sheets>
    <sheet name="Dashboard" sheetId="15" r:id="rId1"/>
    <sheet name="Conversion Rates at each stage" sheetId="10" r:id="rId2"/>
    <sheet name="Average TAT Days" sheetId="12" r:id="rId3"/>
    <sheet name="Cancellations patterns by store" sheetId="14" r:id="rId4"/>
    <sheet name="Breakdown of lead type" sheetId="3" r:id="rId5"/>
    <sheet name="NPS of each Store" sheetId="6" r:id="rId6"/>
    <sheet name="Sales over year " sheetId="16" r:id="rId7"/>
    <sheet name="EPe BA intern assesment Raw (2)" sheetId="5" r:id="rId8"/>
    <sheet name="EPe BA intern assesment Raw dat" sheetId="2" r:id="rId9"/>
  </sheets>
  <definedNames>
    <definedName name="_xlchart.v2.0" hidden="1">'Conversion Rates at each stage'!$AZ$10</definedName>
    <definedName name="_xlchart.v2.1" hidden="1">'Conversion Rates at each stage'!$AZ$11</definedName>
    <definedName name="_xlchart.v2.10" hidden="1">'Conversion Rates at each stage'!$AZ$10</definedName>
    <definedName name="_xlchart.v2.11" hidden="1">'Conversion Rates at each stage'!$AZ$11</definedName>
    <definedName name="_xlchart.v2.12" hidden="1">'Conversion Rates at each stage'!$AZ$12</definedName>
    <definedName name="_xlchart.v2.13" hidden="1">'Conversion Rates at each stage'!$AZ$13</definedName>
    <definedName name="_xlchart.v2.14" hidden="1">'Conversion Rates at each stage'!$AZ$14</definedName>
    <definedName name="_xlchart.v2.15" hidden="1">'Conversion Rates at each stage'!$BA$10:$BI$10</definedName>
    <definedName name="_xlchart.v2.16" hidden="1">'Conversion Rates at each stage'!$BA$11:$BI$11</definedName>
    <definedName name="_xlchart.v2.17" hidden="1">'Conversion Rates at each stage'!$BA$12:$BI$12</definedName>
    <definedName name="_xlchart.v2.18" hidden="1">'Conversion Rates at each stage'!$BA$13:$BI$13</definedName>
    <definedName name="_xlchart.v2.19" hidden="1">'Conversion Rates at each stage'!$BA$14:$BI$14</definedName>
    <definedName name="_xlchart.v2.2" hidden="1">'Conversion Rates at each stage'!$AZ$12</definedName>
    <definedName name="_xlchart.v2.3" hidden="1">'Conversion Rates at each stage'!$AZ$13</definedName>
    <definedName name="_xlchart.v2.4" hidden="1">'Conversion Rates at each stage'!$AZ$14</definedName>
    <definedName name="_xlchart.v2.5" hidden="1">'Conversion Rates at each stage'!$BA$10:$BI$10</definedName>
    <definedName name="_xlchart.v2.6" hidden="1">'Conversion Rates at each stage'!$BA$11:$BI$11</definedName>
    <definedName name="_xlchart.v2.7" hidden="1">'Conversion Rates at each stage'!$BA$12:$BI$12</definedName>
    <definedName name="_xlchart.v2.8" hidden="1">'Conversion Rates at each stage'!$BA$13:$BI$13</definedName>
    <definedName name="_xlchart.v2.9" hidden="1">'Conversion Rates at each stage'!$BA$14:$BI$14</definedName>
    <definedName name="_xlcn.WorksheetConnection_NewMicrosoftExcelWorksheet.xlsxEPe_BA_intern_assesment_Raw_data___Sheet11" hidden="1">EPe_BA_intern_assesment_Raw_data___Sheet1[]</definedName>
    <definedName name="ExternalData_1" localSheetId="7" hidden="1">'EPe BA intern assesment Raw (2)'!$A$1:$O$1001</definedName>
    <definedName name="ExternalData_1" localSheetId="8" hidden="1">'EPe BA intern assesment Raw dat'!$A$1:$P$1001</definedName>
    <definedName name="Slicer_Lead_Type">#N/A</definedName>
    <definedName name="Slicer_Lead_Type1">#N/A</definedName>
    <definedName name="Slicer_Lead_Type3">#N/A</definedName>
    <definedName name="Slicer_Lead_Type4">#N/A</definedName>
    <definedName name="Slicer_Lead_Type6">#N/A</definedName>
    <definedName name="Slicer_Rating_type">#N/A</definedName>
    <definedName name="Slicer_Rating_type1">#N/A</definedName>
    <definedName name="Slicer_Rating_type2">#N/A</definedName>
  </definedNames>
  <calcPr calcId="191029"/>
  <pivotCaches>
    <pivotCache cacheId="0" r:id="rId10"/>
    <pivotCache cacheId="1" r:id="rId11"/>
    <pivotCache cacheId="2" r:id="rId12"/>
    <pivotCache cacheId="3" r:id="rId13"/>
    <pivotCache cacheId="5" r:id="rId14"/>
    <pivotCache cacheId="6" r:id="rId15"/>
  </pivotCaches>
  <extLst>
    <ext xmlns:x14="http://schemas.microsoft.com/office/spreadsheetml/2009/9/main" uri="{876F7934-8845-4945-9796-88D515C7AA90}">
      <x14:pivotCaches>
        <pivotCache cacheId="7" r:id="rId16"/>
        <pivotCache cacheId="8"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Pe_BA_intern_assesment_Raw_data___Sheet1" name="EPe_BA_intern_assesment_Raw_data___Sheet1" connection="WorksheetConnection_New Microsoft Excel Worksheet.xlsx!EPe_BA_intern_assesment_Raw_data___Sheet1"/>
        </x15:modelTables>
        <x15:extLst>
          <ext xmlns:x16="http://schemas.microsoft.com/office/spreadsheetml/2014/11/main" uri="{9835A34E-60A6-4A7C-AAB8-D5F71C897F49}">
            <x16:modelTimeGroupings>
              <x16:modelTimeGrouping tableName="EPe_BA_intern_assesment_Raw_data___Sheet1" columnName="Pre-Booking Date" columnId="Pre-Booking Date">
                <x16:calculatedTimeColumn columnName="Pre-Booking Date (Month Index)" columnId="Pre-Booking Date (Month Index)" contentType="monthsindex" isSelected="1"/>
                <x16:calculatedTimeColumn columnName="Pre-Booking Date (Month)" columnId="Pre-Booking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02" i="5" l="1"/>
  <c r="Q1002" i="5"/>
  <c r="P1002" i="5"/>
  <c r="O1002" i="5"/>
  <c r="N1002" i="5"/>
  <c r="R1001" i="5"/>
  <c r="Q1001" i="5"/>
  <c r="P1001" i="5"/>
  <c r="R1000" i="5"/>
  <c r="Q1000" i="5"/>
  <c r="P1000" i="5"/>
  <c r="R999" i="5"/>
  <c r="Q999" i="5"/>
  <c r="P999" i="5"/>
  <c r="R998" i="5"/>
  <c r="Q998" i="5"/>
  <c r="P998" i="5"/>
  <c r="R997" i="5"/>
  <c r="Q997" i="5"/>
  <c r="P997" i="5"/>
  <c r="R996" i="5"/>
  <c r="Q996" i="5"/>
  <c r="P996" i="5"/>
  <c r="R995" i="5"/>
  <c r="Q995" i="5"/>
  <c r="P995" i="5"/>
  <c r="R994" i="5"/>
  <c r="Q994" i="5"/>
  <c r="P994" i="5"/>
  <c r="R993" i="5"/>
  <c r="Q993" i="5"/>
  <c r="P993" i="5"/>
  <c r="R992" i="5"/>
  <c r="Q992" i="5"/>
  <c r="P992" i="5"/>
  <c r="R991" i="5"/>
  <c r="Q991" i="5"/>
  <c r="P991" i="5"/>
  <c r="R990" i="5"/>
  <c r="Q990" i="5"/>
  <c r="P990" i="5"/>
  <c r="R989" i="5"/>
  <c r="Q989" i="5"/>
  <c r="P989" i="5"/>
  <c r="R988" i="5"/>
  <c r="Q988" i="5"/>
  <c r="P988" i="5"/>
  <c r="R987" i="5"/>
  <c r="Q987" i="5"/>
  <c r="P987" i="5"/>
  <c r="R986" i="5"/>
  <c r="Q986" i="5"/>
  <c r="P986" i="5"/>
  <c r="R985" i="5"/>
  <c r="Q985" i="5"/>
  <c r="P985" i="5"/>
  <c r="R984" i="5"/>
  <c r="Q984" i="5"/>
  <c r="P984" i="5"/>
  <c r="R983" i="5"/>
  <c r="Q983" i="5"/>
  <c r="P983" i="5"/>
  <c r="R982" i="5"/>
  <c r="Q982" i="5"/>
  <c r="P982" i="5"/>
  <c r="R981" i="5"/>
  <c r="Q981" i="5"/>
  <c r="P981" i="5"/>
  <c r="R980" i="5"/>
  <c r="Q980" i="5"/>
  <c r="P980" i="5"/>
  <c r="R979" i="5"/>
  <c r="Q979" i="5"/>
  <c r="P979" i="5"/>
  <c r="R978" i="5"/>
  <c r="Q978" i="5"/>
  <c r="P978" i="5"/>
  <c r="R977" i="5"/>
  <c r="Q977" i="5"/>
  <c r="P977" i="5"/>
  <c r="R976" i="5"/>
  <c r="Q976" i="5"/>
  <c r="P976" i="5"/>
  <c r="R975" i="5"/>
  <c r="Q975" i="5"/>
  <c r="P975" i="5"/>
  <c r="R974" i="5"/>
  <c r="Q974" i="5"/>
  <c r="P974" i="5"/>
  <c r="R973" i="5"/>
  <c r="Q973" i="5"/>
  <c r="P973" i="5"/>
  <c r="R972" i="5"/>
  <c r="Q972" i="5"/>
  <c r="P972" i="5"/>
  <c r="R971" i="5"/>
  <c r="Q971" i="5"/>
  <c r="P971" i="5"/>
  <c r="R970" i="5"/>
  <c r="Q970" i="5"/>
  <c r="P970" i="5"/>
  <c r="R969" i="5"/>
  <c r="Q969" i="5"/>
  <c r="P969" i="5"/>
  <c r="R968" i="5"/>
  <c r="Q968" i="5"/>
  <c r="P968" i="5"/>
  <c r="R967" i="5"/>
  <c r="Q967" i="5"/>
  <c r="P967" i="5"/>
  <c r="R966" i="5"/>
  <c r="Q966" i="5"/>
  <c r="P966" i="5"/>
  <c r="R965" i="5"/>
  <c r="Q965" i="5"/>
  <c r="P965" i="5"/>
  <c r="R964" i="5"/>
  <c r="Q964" i="5"/>
  <c r="P964" i="5"/>
  <c r="R963" i="5"/>
  <c r="Q963" i="5"/>
  <c r="P963" i="5"/>
  <c r="R962" i="5"/>
  <c r="Q962" i="5"/>
  <c r="P962" i="5"/>
  <c r="R961" i="5"/>
  <c r="Q961" i="5"/>
  <c r="P961" i="5"/>
  <c r="R960" i="5"/>
  <c r="Q960" i="5"/>
  <c r="P960" i="5"/>
  <c r="R959" i="5"/>
  <c r="Q959" i="5"/>
  <c r="P959" i="5"/>
  <c r="R958" i="5"/>
  <c r="Q958" i="5"/>
  <c r="P958" i="5"/>
  <c r="R957" i="5"/>
  <c r="Q957" i="5"/>
  <c r="P957" i="5"/>
  <c r="R956" i="5"/>
  <c r="Q956" i="5"/>
  <c r="P956" i="5"/>
  <c r="R955" i="5"/>
  <c r="Q955" i="5"/>
  <c r="P955" i="5"/>
  <c r="R954" i="5"/>
  <c r="Q954" i="5"/>
  <c r="P954" i="5"/>
  <c r="R953" i="5"/>
  <c r="Q953" i="5"/>
  <c r="P953" i="5"/>
  <c r="R952" i="5"/>
  <c r="Q952" i="5"/>
  <c r="P952" i="5"/>
  <c r="R951" i="5"/>
  <c r="Q951" i="5"/>
  <c r="P951" i="5"/>
  <c r="R950" i="5"/>
  <c r="Q950" i="5"/>
  <c r="P950" i="5"/>
  <c r="R949" i="5"/>
  <c r="Q949" i="5"/>
  <c r="P949" i="5"/>
  <c r="R948" i="5"/>
  <c r="Q948" i="5"/>
  <c r="P948" i="5"/>
  <c r="R947" i="5"/>
  <c r="Q947" i="5"/>
  <c r="P947" i="5"/>
  <c r="R946" i="5"/>
  <c r="Q946" i="5"/>
  <c r="P946" i="5"/>
  <c r="R945" i="5"/>
  <c r="Q945" i="5"/>
  <c r="P945" i="5"/>
  <c r="R944" i="5"/>
  <c r="Q944" i="5"/>
  <c r="P944" i="5"/>
  <c r="R943" i="5"/>
  <c r="Q943" i="5"/>
  <c r="P943" i="5"/>
  <c r="R942" i="5"/>
  <c r="Q942" i="5"/>
  <c r="P942" i="5"/>
  <c r="R941" i="5"/>
  <c r="Q941" i="5"/>
  <c r="P941" i="5"/>
  <c r="R940" i="5"/>
  <c r="Q940" i="5"/>
  <c r="P940" i="5"/>
  <c r="R939" i="5"/>
  <c r="Q939" i="5"/>
  <c r="P939" i="5"/>
  <c r="R938" i="5"/>
  <c r="Q938" i="5"/>
  <c r="P938" i="5"/>
  <c r="R937" i="5"/>
  <c r="Q937" i="5"/>
  <c r="P937" i="5"/>
  <c r="R936" i="5"/>
  <c r="Q936" i="5"/>
  <c r="P936" i="5"/>
  <c r="R935" i="5"/>
  <c r="Q935" i="5"/>
  <c r="P935" i="5"/>
  <c r="R934" i="5"/>
  <c r="Q934" i="5"/>
  <c r="P934" i="5"/>
  <c r="R933" i="5"/>
  <c r="Q933" i="5"/>
  <c r="P933" i="5"/>
  <c r="R932" i="5"/>
  <c r="Q932" i="5"/>
  <c r="P932" i="5"/>
  <c r="R931" i="5"/>
  <c r="Q931" i="5"/>
  <c r="P931" i="5"/>
  <c r="R930" i="5"/>
  <c r="Q930" i="5"/>
  <c r="P930" i="5"/>
  <c r="R929" i="5"/>
  <c r="Q929" i="5"/>
  <c r="P929" i="5"/>
  <c r="R928" i="5"/>
  <c r="Q928" i="5"/>
  <c r="P928" i="5"/>
  <c r="R927" i="5"/>
  <c r="Q927" i="5"/>
  <c r="P927" i="5"/>
  <c r="R926" i="5"/>
  <c r="Q926" i="5"/>
  <c r="P926" i="5"/>
  <c r="R925" i="5"/>
  <c r="Q925" i="5"/>
  <c r="P925" i="5"/>
  <c r="R924" i="5"/>
  <c r="Q924" i="5"/>
  <c r="P924" i="5"/>
  <c r="R923" i="5"/>
  <c r="Q923" i="5"/>
  <c r="P923" i="5"/>
  <c r="R922" i="5"/>
  <c r="Q922" i="5"/>
  <c r="P922" i="5"/>
  <c r="R921" i="5"/>
  <c r="Q921" i="5"/>
  <c r="P921" i="5"/>
  <c r="R920" i="5"/>
  <c r="Q920" i="5"/>
  <c r="P920" i="5"/>
  <c r="R919" i="5"/>
  <c r="Q919" i="5"/>
  <c r="P919" i="5"/>
  <c r="R918" i="5"/>
  <c r="Q918" i="5"/>
  <c r="P918" i="5"/>
  <c r="R917" i="5"/>
  <c r="Q917" i="5"/>
  <c r="P917" i="5"/>
  <c r="R916" i="5"/>
  <c r="Q916" i="5"/>
  <c r="P916" i="5"/>
  <c r="R915" i="5"/>
  <c r="Q915" i="5"/>
  <c r="P915" i="5"/>
  <c r="R914" i="5"/>
  <c r="Q914" i="5"/>
  <c r="P914" i="5"/>
  <c r="R913" i="5"/>
  <c r="Q913" i="5"/>
  <c r="P913" i="5"/>
  <c r="R912" i="5"/>
  <c r="Q912" i="5"/>
  <c r="P912" i="5"/>
  <c r="R911" i="5"/>
  <c r="Q911" i="5"/>
  <c r="P911" i="5"/>
  <c r="R910" i="5"/>
  <c r="Q910" i="5"/>
  <c r="P910" i="5"/>
  <c r="R909" i="5"/>
  <c r="Q909" i="5"/>
  <c r="P909" i="5"/>
  <c r="R908" i="5"/>
  <c r="Q908" i="5"/>
  <c r="P908" i="5"/>
  <c r="R907" i="5"/>
  <c r="Q907" i="5"/>
  <c r="P907" i="5"/>
  <c r="R906" i="5"/>
  <c r="Q906" i="5"/>
  <c r="P906" i="5"/>
  <c r="R905" i="5"/>
  <c r="Q905" i="5"/>
  <c r="P905" i="5"/>
  <c r="R904" i="5"/>
  <c r="Q904" i="5"/>
  <c r="P904" i="5"/>
  <c r="R903" i="5"/>
  <c r="Q903" i="5"/>
  <c r="P903" i="5"/>
  <c r="R902" i="5"/>
  <c r="Q902" i="5"/>
  <c r="P902" i="5"/>
  <c r="R901" i="5"/>
  <c r="Q901" i="5"/>
  <c r="P901" i="5"/>
  <c r="R900" i="5"/>
  <c r="Q900" i="5"/>
  <c r="P900" i="5"/>
  <c r="R899" i="5"/>
  <c r="Q899" i="5"/>
  <c r="P899" i="5"/>
  <c r="R898" i="5"/>
  <c r="Q898" i="5"/>
  <c r="P898" i="5"/>
  <c r="R897" i="5"/>
  <c r="Q897" i="5"/>
  <c r="P897" i="5"/>
  <c r="R896" i="5"/>
  <c r="Q896" i="5"/>
  <c r="P896" i="5"/>
  <c r="R895" i="5"/>
  <c r="Q895" i="5"/>
  <c r="P895" i="5"/>
  <c r="R894" i="5"/>
  <c r="Q894" i="5"/>
  <c r="P894" i="5"/>
  <c r="R893" i="5"/>
  <c r="Q893" i="5"/>
  <c r="P893" i="5"/>
  <c r="R892" i="5"/>
  <c r="Q892" i="5"/>
  <c r="P892" i="5"/>
  <c r="R891" i="5"/>
  <c r="Q891" i="5"/>
  <c r="P891" i="5"/>
  <c r="R890" i="5"/>
  <c r="Q890" i="5"/>
  <c r="P890" i="5"/>
  <c r="R889" i="5"/>
  <c r="Q889" i="5"/>
  <c r="P889" i="5"/>
  <c r="R888" i="5"/>
  <c r="Q888" i="5"/>
  <c r="P888" i="5"/>
  <c r="R887" i="5"/>
  <c r="Q887" i="5"/>
  <c r="P887" i="5"/>
  <c r="R886" i="5"/>
  <c r="Q886" i="5"/>
  <c r="P886" i="5"/>
  <c r="R885" i="5"/>
  <c r="Q885" i="5"/>
  <c r="P885" i="5"/>
  <c r="R884" i="5"/>
  <c r="Q884" i="5"/>
  <c r="P884" i="5"/>
  <c r="R883" i="5"/>
  <c r="Q883" i="5"/>
  <c r="P883" i="5"/>
  <c r="R882" i="5"/>
  <c r="Q882" i="5"/>
  <c r="P882" i="5"/>
  <c r="R881" i="5"/>
  <c r="Q881" i="5"/>
  <c r="P881" i="5"/>
  <c r="R880" i="5"/>
  <c r="Q880" i="5"/>
  <c r="P880" i="5"/>
  <c r="R879" i="5"/>
  <c r="Q879" i="5"/>
  <c r="P879" i="5"/>
  <c r="R878" i="5"/>
  <c r="Q878" i="5"/>
  <c r="P878" i="5"/>
  <c r="R877" i="5"/>
  <c r="Q877" i="5"/>
  <c r="P877" i="5"/>
  <c r="R876" i="5"/>
  <c r="Q876" i="5"/>
  <c r="P876" i="5"/>
  <c r="R875" i="5"/>
  <c r="Q875" i="5"/>
  <c r="P875" i="5"/>
  <c r="R874" i="5"/>
  <c r="Q874" i="5"/>
  <c r="P874" i="5"/>
  <c r="R873" i="5"/>
  <c r="Q873" i="5"/>
  <c r="P873" i="5"/>
  <c r="R872" i="5"/>
  <c r="Q872" i="5"/>
  <c r="P872" i="5"/>
  <c r="R871" i="5"/>
  <c r="Q871" i="5"/>
  <c r="P871" i="5"/>
  <c r="R870" i="5"/>
  <c r="Q870" i="5"/>
  <c r="P870" i="5"/>
  <c r="R869" i="5"/>
  <c r="Q869" i="5"/>
  <c r="P869" i="5"/>
  <c r="R868" i="5"/>
  <c r="Q868" i="5"/>
  <c r="P868" i="5"/>
  <c r="R867" i="5"/>
  <c r="Q867" i="5"/>
  <c r="P867" i="5"/>
  <c r="R866" i="5"/>
  <c r="Q866" i="5"/>
  <c r="P866" i="5"/>
  <c r="R865" i="5"/>
  <c r="Q865" i="5"/>
  <c r="P865" i="5"/>
  <c r="R864" i="5"/>
  <c r="Q864" i="5"/>
  <c r="P864" i="5"/>
  <c r="R863" i="5"/>
  <c r="Q863" i="5"/>
  <c r="P863" i="5"/>
  <c r="R862" i="5"/>
  <c r="Q862" i="5"/>
  <c r="P862" i="5"/>
  <c r="R861" i="5"/>
  <c r="Q861" i="5"/>
  <c r="P861" i="5"/>
  <c r="R860" i="5"/>
  <c r="Q860" i="5"/>
  <c r="P860" i="5"/>
  <c r="R859" i="5"/>
  <c r="Q859" i="5"/>
  <c r="P859" i="5"/>
  <c r="R858" i="5"/>
  <c r="Q858" i="5"/>
  <c r="P858" i="5"/>
  <c r="R857" i="5"/>
  <c r="Q857" i="5"/>
  <c r="P857" i="5"/>
  <c r="R856" i="5"/>
  <c r="Q856" i="5"/>
  <c r="P856" i="5"/>
  <c r="R855" i="5"/>
  <c r="Q855" i="5"/>
  <c r="P855" i="5"/>
  <c r="R854" i="5"/>
  <c r="Q854" i="5"/>
  <c r="P854" i="5"/>
  <c r="R853" i="5"/>
  <c r="Q853" i="5"/>
  <c r="P853" i="5"/>
  <c r="R852" i="5"/>
  <c r="Q852" i="5"/>
  <c r="P852" i="5"/>
  <c r="R851" i="5"/>
  <c r="Q851" i="5"/>
  <c r="P851" i="5"/>
  <c r="R850" i="5"/>
  <c r="Q850" i="5"/>
  <c r="P850" i="5"/>
  <c r="R849" i="5"/>
  <c r="Q849" i="5"/>
  <c r="P849" i="5"/>
  <c r="R848" i="5"/>
  <c r="Q848" i="5"/>
  <c r="P848" i="5"/>
  <c r="R847" i="5"/>
  <c r="Q847" i="5"/>
  <c r="P847" i="5"/>
  <c r="R846" i="5"/>
  <c r="Q846" i="5"/>
  <c r="P846" i="5"/>
  <c r="R845" i="5"/>
  <c r="Q845" i="5"/>
  <c r="P845" i="5"/>
  <c r="R844" i="5"/>
  <c r="Q844" i="5"/>
  <c r="P844" i="5"/>
  <c r="R843" i="5"/>
  <c r="Q843" i="5"/>
  <c r="P843" i="5"/>
  <c r="R842" i="5"/>
  <c r="Q842" i="5"/>
  <c r="P842" i="5"/>
  <c r="R841" i="5"/>
  <c r="Q841" i="5"/>
  <c r="P841" i="5"/>
  <c r="R840" i="5"/>
  <c r="Q840" i="5"/>
  <c r="P840" i="5"/>
  <c r="R839" i="5"/>
  <c r="Q839" i="5"/>
  <c r="P839" i="5"/>
  <c r="R838" i="5"/>
  <c r="Q838" i="5"/>
  <c r="P838" i="5"/>
  <c r="R837" i="5"/>
  <c r="Q837" i="5"/>
  <c r="P837" i="5"/>
  <c r="R836" i="5"/>
  <c r="Q836" i="5"/>
  <c r="P836" i="5"/>
  <c r="R835" i="5"/>
  <c r="Q835" i="5"/>
  <c r="P835" i="5"/>
  <c r="R834" i="5"/>
  <c r="Q834" i="5"/>
  <c r="P834" i="5"/>
  <c r="R833" i="5"/>
  <c r="Q833" i="5"/>
  <c r="P833" i="5"/>
  <c r="R832" i="5"/>
  <c r="Q832" i="5"/>
  <c r="P832" i="5"/>
  <c r="R831" i="5"/>
  <c r="Q831" i="5"/>
  <c r="P831" i="5"/>
  <c r="R830" i="5"/>
  <c r="Q830" i="5"/>
  <c r="P830" i="5"/>
  <c r="R829" i="5"/>
  <c r="Q829" i="5"/>
  <c r="P829" i="5"/>
  <c r="R828" i="5"/>
  <c r="Q828" i="5"/>
  <c r="P828" i="5"/>
  <c r="R827" i="5"/>
  <c r="Q827" i="5"/>
  <c r="P827" i="5"/>
  <c r="R826" i="5"/>
  <c r="Q826" i="5"/>
  <c r="P826" i="5"/>
  <c r="R825" i="5"/>
  <c r="Q825" i="5"/>
  <c r="P825" i="5"/>
  <c r="R824" i="5"/>
  <c r="Q824" i="5"/>
  <c r="P824" i="5"/>
  <c r="R823" i="5"/>
  <c r="Q823" i="5"/>
  <c r="P823" i="5"/>
  <c r="R822" i="5"/>
  <c r="Q822" i="5"/>
  <c r="P822" i="5"/>
  <c r="R821" i="5"/>
  <c r="Q821" i="5"/>
  <c r="P821" i="5"/>
  <c r="R820" i="5"/>
  <c r="Q820" i="5"/>
  <c r="P820" i="5"/>
  <c r="R819" i="5"/>
  <c r="Q819" i="5"/>
  <c r="P819" i="5"/>
  <c r="R818" i="5"/>
  <c r="Q818" i="5"/>
  <c r="P818" i="5"/>
  <c r="R817" i="5"/>
  <c r="Q817" i="5"/>
  <c r="P817" i="5"/>
  <c r="R816" i="5"/>
  <c r="Q816" i="5"/>
  <c r="P816" i="5"/>
  <c r="R815" i="5"/>
  <c r="Q815" i="5"/>
  <c r="P815" i="5"/>
  <c r="R814" i="5"/>
  <c r="Q814" i="5"/>
  <c r="P814" i="5"/>
  <c r="R813" i="5"/>
  <c r="Q813" i="5"/>
  <c r="P813" i="5"/>
  <c r="R812" i="5"/>
  <c r="Q812" i="5"/>
  <c r="P812" i="5"/>
  <c r="R811" i="5"/>
  <c r="Q811" i="5"/>
  <c r="P811" i="5"/>
  <c r="R810" i="5"/>
  <c r="Q810" i="5"/>
  <c r="P810" i="5"/>
  <c r="R809" i="5"/>
  <c r="Q809" i="5"/>
  <c r="P809" i="5"/>
  <c r="R808" i="5"/>
  <c r="Q808" i="5"/>
  <c r="P808" i="5"/>
  <c r="R807" i="5"/>
  <c r="Q807" i="5"/>
  <c r="P807" i="5"/>
  <c r="R806" i="5"/>
  <c r="Q806" i="5"/>
  <c r="P806" i="5"/>
  <c r="R805" i="5"/>
  <c r="Q805" i="5"/>
  <c r="P805" i="5"/>
  <c r="R804" i="5"/>
  <c r="Q804" i="5"/>
  <c r="P804" i="5"/>
  <c r="R803" i="5"/>
  <c r="Q803" i="5"/>
  <c r="P803" i="5"/>
  <c r="R802" i="5"/>
  <c r="Q802" i="5"/>
  <c r="P802" i="5"/>
  <c r="R801" i="5"/>
  <c r="Q801" i="5"/>
  <c r="P801" i="5"/>
  <c r="R800" i="5"/>
  <c r="Q800" i="5"/>
  <c r="P800" i="5"/>
  <c r="R799" i="5"/>
  <c r="Q799" i="5"/>
  <c r="P799" i="5"/>
  <c r="R798" i="5"/>
  <c r="Q798" i="5"/>
  <c r="P798" i="5"/>
  <c r="R797" i="5"/>
  <c r="Q797" i="5"/>
  <c r="P797" i="5"/>
  <c r="R796" i="5"/>
  <c r="Q796" i="5"/>
  <c r="P796" i="5"/>
  <c r="R795" i="5"/>
  <c r="Q795" i="5"/>
  <c r="P795" i="5"/>
  <c r="R794" i="5"/>
  <c r="Q794" i="5"/>
  <c r="P794" i="5"/>
  <c r="R793" i="5"/>
  <c r="Q793" i="5"/>
  <c r="P793" i="5"/>
  <c r="R792" i="5"/>
  <c r="Q792" i="5"/>
  <c r="P792" i="5"/>
  <c r="R791" i="5"/>
  <c r="Q791" i="5"/>
  <c r="P791" i="5"/>
  <c r="R790" i="5"/>
  <c r="Q790" i="5"/>
  <c r="P790" i="5"/>
  <c r="R789" i="5"/>
  <c r="Q789" i="5"/>
  <c r="P789" i="5"/>
  <c r="R788" i="5"/>
  <c r="Q788" i="5"/>
  <c r="P788" i="5"/>
  <c r="R787" i="5"/>
  <c r="Q787" i="5"/>
  <c r="P787" i="5"/>
  <c r="R786" i="5"/>
  <c r="Q786" i="5"/>
  <c r="P786" i="5"/>
  <c r="R785" i="5"/>
  <c r="Q785" i="5"/>
  <c r="P785" i="5"/>
  <c r="R784" i="5"/>
  <c r="Q784" i="5"/>
  <c r="P784" i="5"/>
  <c r="R783" i="5"/>
  <c r="Q783" i="5"/>
  <c r="P783" i="5"/>
  <c r="R782" i="5"/>
  <c r="Q782" i="5"/>
  <c r="P782" i="5"/>
  <c r="R781" i="5"/>
  <c r="Q781" i="5"/>
  <c r="P781" i="5"/>
  <c r="R780" i="5"/>
  <c r="Q780" i="5"/>
  <c r="P780" i="5"/>
  <c r="R779" i="5"/>
  <c r="Q779" i="5"/>
  <c r="P779" i="5"/>
  <c r="R778" i="5"/>
  <c r="Q778" i="5"/>
  <c r="P778" i="5"/>
  <c r="R777" i="5"/>
  <c r="Q777" i="5"/>
  <c r="P777" i="5"/>
  <c r="R776" i="5"/>
  <c r="Q776" i="5"/>
  <c r="P776" i="5"/>
  <c r="R775" i="5"/>
  <c r="Q775" i="5"/>
  <c r="P775" i="5"/>
  <c r="R774" i="5"/>
  <c r="Q774" i="5"/>
  <c r="P774" i="5"/>
  <c r="R773" i="5"/>
  <c r="Q773" i="5"/>
  <c r="P773" i="5"/>
  <c r="R772" i="5"/>
  <c r="Q772" i="5"/>
  <c r="P772" i="5"/>
  <c r="R771" i="5"/>
  <c r="Q771" i="5"/>
  <c r="P771" i="5"/>
  <c r="R770" i="5"/>
  <c r="Q770" i="5"/>
  <c r="P770" i="5"/>
  <c r="R769" i="5"/>
  <c r="Q769" i="5"/>
  <c r="P769" i="5"/>
  <c r="R768" i="5"/>
  <c r="Q768" i="5"/>
  <c r="P768" i="5"/>
  <c r="R767" i="5"/>
  <c r="Q767" i="5"/>
  <c r="P767" i="5"/>
  <c r="R766" i="5"/>
  <c r="Q766" i="5"/>
  <c r="P766" i="5"/>
  <c r="R765" i="5"/>
  <c r="Q765" i="5"/>
  <c r="P765" i="5"/>
  <c r="R764" i="5"/>
  <c r="Q764" i="5"/>
  <c r="P764" i="5"/>
  <c r="R763" i="5"/>
  <c r="Q763" i="5"/>
  <c r="P763" i="5"/>
  <c r="R762" i="5"/>
  <c r="Q762" i="5"/>
  <c r="P762" i="5"/>
  <c r="R761" i="5"/>
  <c r="Q761" i="5"/>
  <c r="P761" i="5"/>
  <c r="R760" i="5"/>
  <c r="Q760" i="5"/>
  <c r="P760" i="5"/>
  <c r="R759" i="5"/>
  <c r="Q759" i="5"/>
  <c r="P759" i="5"/>
  <c r="R758" i="5"/>
  <c r="Q758" i="5"/>
  <c r="P758" i="5"/>
  <c r="R757" i="5"/>
  <c r="Q757" i="5"/>
  <c r="P757" i="5"/>
  <c r="R756" i="5"/>
  <c r="Q756" i="5"/>
  <c r="P756" i="5"/>
  <c r="R755" i="5"/>
  <c r="Q755" i="5"/>
  <c r="P755" i="5"/>
  <c r="R754" i="5"/>
  <c r="Q754" i="5"/>
  <c r="P754" i="5"/>
  <c r="R753" i="5"/>
  <c r="Q753" i="5"/>
  <c r="P753" i="5"/>
  <c r="R752" i="5"/>
  <c r="Q752" i="5"/>
  <c r="P752" i="5"/>
  <c r="R751" i="5"/>
  <c r="Q751" i="5"/>
  <c r="P751" i="5"/>
  <c r="R750" i="5"/>
  <c r="Q750" i="5"/>
  <c r="P750" i="5"/>
  <c r="R749" i="5"/>
  <c r="Q749" i="5"/>
  <c r="P749" i="5"/>
  <c r="R748" i="5"/>
  <c r="Q748" i="5"/>
  <c r="P748" i="5"/>
  <c r="R747" i="5"/>
  <c r="Q747" i="5"/>
  <c r="P747" i="5"/>
  <c r="R746" i="5"/>
  <c r="Q746" i="5"/>
  <c r="P746" i="5"/>
  <c r="R745" i="5"/>
  <c r="Q745" i="5"/>
  <c r="P745" i="5"/>
  <c r="R744" i="5"/>
  <c r="Q744" i="5"/>
  <c r="P744" i="5"/>
  <c r="R743" i="5"/>
  <c r="Q743" i="5"/>
  <c r="P743" i="5"/>
  <c r="R742" i="5"/>
  <c r="Q742" i="5"/>
  <c r="P742" i="5"/>
  <c r="R741" i="5"/>
  <c r="Q741" i="5"/>
  <c r="P741" i="5"/>
  <c r="R740" i="5"/>
  <c r="Q740" i="5"/>
  <c r="P740" i="5"/>
  <c r="R739" i="5"/>
  <c r="Q739" i="5"/>
  <c r="P739" i="5"/>
  <c r="R738" i="5"/>
  <c r="Q738" i="5"/>
  <c r="P738" i="5"/>
  <c r="R737" i="5"/>
  <c r="Q737" i="5"/>
  <c r="P737" i="5"/>
  <c r="R736" i="5"/>
  <c r="Q736" i="5"/>
  <c r="P736" i="5"/>
  <c r="R735" i="5"/>
  <c r="Q735" i="5"/>
  <c r="P735" i="5"/>
  <c r="R734" i="5"/>
  <c r="Q734" i="5"/>
  <c r="P734" i="5"/>
  <c r="R733" i="5"/>
  <c r="Q733" i="5"/>
  <c r="P733" i="5"/>
  <c r="R732" i="5"/>
  <c r="Q732" i="5"/>
  <c r="P732" i="5"/>
  <c r="R731" i="5"/>
  <c r="Q731" i="5"/>
  <c r="P731" i="5"/>
  <c r="R730" i="5"/>
  <c r="Q730" i="5"/>
  <c r="P730" i="5"/>
  <c r="R729" i="5"/>
  <c r="Q729" i="5"/>
  <c r="P729" i="5"/>
  <c r="R728" i="5"/>
  <c r="Q728" i="5"/>
  <c r="P728" i="5"/>
  <c r="R727" i="5"/>
  <c r="Q727" i="5"/>
  <c r="P727" i="5"/>
  <c r="R726" i="5"/>
  <c r="Q726" i="5"/>
  <c r="P726" i="5"/>
  <c r="R725" i="5"/>
  <c r="Q725" i="5"/>
  <c r="P725" i="5"/>
  <c r="R724" i="5"/>
  <c r="Q724" i="5"/>
  <c r="P724" i="5"/>
  <c r="R723" i="5"/>
  <c r="Q723" i="5"/>
  <c r="P723" i="5"/>
  <c r="R722" i="5"/>
  <c r="Q722" i="5"/>
  <c r="P722" i="5"/>
  <c r="R721" i="5"/>
  <c r="Q721" i="5"/>
  <c r="P721" i="5"/>
  <c r="R720" i="5"/>
  <c r="Q720" i="5"/>
  <c r="P720" i="5"/>
  <c r="R719" i="5"/>
  <c r="Q719" i="5"/>
  <c r="P719" i="5"/>
  <c r="R718" i="5"/>
  <c r="Q718" i="5"/>
  <c r="P718" i="5"/>
  <c r="R717" i="5"/>
  <c r="Q717" i="5"/>
  <c r="P717" i="5"/>
  <c r="R716" i="5"/>
  <c r="Q716" i="5"/>
  <c r="P716" i="5"/>
  <c r="R715" i="5"/>
  <c r="Q715" i="5"/>
  <c r="P715" i="5"/>
  <c r="R714" i="5"/>
  <c r="Q714" i="5"/>
  <c r="P714" i="5"/>
  <c r="R713" i="5"/>
  <c r="Q713" i="5"/>
  <c r="P713" i="5"/>
  <c r="R712" i="5"/>
  <c r="Q712" i="5"/>
  <c r="P712" i="5"/>
  <c r="R711" i="5"/>
  <c r="Q711" i="5"/>
  <c r="P711" i="5"/>
  <c r="R710" i="5"/>
  <c r="Q710" i="5"/>
  <c r="P710" i="5"/>
  <c r="R709" i="5"/>
  <c r="Q709" i="5"/>
  <c r="P709" i="5"/>
  <c r="R708" i="5"/>
  <c r="Q708" i="5"/>
  <c r="P708" i="5"/>
  <c r="R707" i="5"/>
  <c r="Q707" i="5"/>
  <c r="P707" i="5"/>
  <c r="R706" i="5"/>
  <c r="Q706" i="5"/>
  <c r="P706" i="5"/>
  <c r="R705" i="5"/>
  <c r="Q705" i="5"/>
  <c r="P705" i="5"/>
  <c r="R704" i="5"/>
  <c r="Q704" i="5"/>
  <c r="P704" i="5"/>
  <c r="R703" i="5"/>
  <c r="Q703" i="5"/>
  <c r="P703" i="5"/>
  <c r="R702" i="5"/>
  <c r="Q702" i="5"/>
  <c r="P702" i="5"/>
  <c r="R701" i="5"/>
  <c r="Q701" i="5"/>
  <c r="P701" i="5"/>
  <c r="R700" i="5"/>
  <c r="Q700" i="5"/>
  <c r="P700" i="5"/>
  <c r="R699" i="5"/>
  <c r="Q699" i="5"/>
  <c r="P699" i="5"/>
  <c r="R698" i="5"/>
  <c r="Q698" i="5"/>
  <c r="P698" i="5"/>
  <c r="R697" i="5"/>
  <c r="Q697" i="5"/>
  <c r="P697" i="5"/>
  <c r="R696" i="5"/>
  <c r="Q696" i="5"/>
  <c r="P696" i="5"/>
  <c r="R695" i="5"/>
  <c r="Q695" i="5"/>
  <c r="P695" i="5"/>
  <c r="R694" i="5"/>
  <c r="Q694" i="5"/>
  <c r="P694" i="5"/>
  <c r="R693" i="5"/>
  <c r="Q693" i="5"/>
  <c r="P693" i="5"/>
  <c r="R692" i="5"/>
  <c r="Q692" i="5"/>
  <c r="P692" i="5"/>
  <c r="R691" i="5"/>
  <c r="Q691" i="5"/>
  <c r="P691" i="5"/>
  <c r="R690" i="5"/>
  <c r="Q690" i="5"/>
  <c r="P690" i="5"/>
  <c r="R689" i="5"/>
  <c r="Q689" i="5"/>
  <c r="P689" i="5"/>
  <c r="R688" i="5"/>
  <c r="Q688" i="5"/>
  <c r="P688" i="5"/>
  <c r="R687" i="5"/>
  <c r="Q687" i="5"/>
  <c r="P687" i="5"/>
  <c r="R686" i="5"/>
  <c r="Q686" i="5"/>
  <c r="P686" i="5"/>
  <c r="R685" i="5"/>
  <c r="Q685" i="5"/>
  <c r="P685" i="5"/>
  <c r="R684" i="5"/>
  <c r="Q684" i="5"/>
  <c r="P684" i="5"/>
  <c r="R683" i="5"/>
  <c r="Q683" i="5"/>
  <c r="P683" i="5"/>
  <c r="R682" i="5"/>
  <c r="Q682" i="5"/>
  <c r="P682" i="5"/>
  <c r="R681" i="5"/>
  <c r="Q681" i="5"/>
  <c r="P681" i="5"/>
  <c r="R680" i="5"/>
  <c r="Q680" i="5"/>
  <c r="P680" i="5"/>
  <c r="R679" i="5"/>
  <c r="Q679" i="5"/>
  <c r="P679" i="5"/>
  <c r="R678" i="5"/>
  <c r="Q678" i="5"/>
  <c r="P678" i="5"/>
  <c r="R677" i="5"/>
  <c r="Q677" i="5"/>
  <c r="P677" i="5"/>
  <c r="R676" i="5"/>
  <c r="Q676" i="5"/>
  <c r="P676" i="5"/>
  <c r="R675" i="5"/>
  <c r="Q675" i="5"/>
  <c r="P675" i="5"/>
  <c r="R674" i="5"/>
  <c r="Q674" i="5"/>
  <c r="P674" i="5"/>
  <c r="R673" i="5"/>
  <c r="Q673" i="5"/>
  <c r="P673" i="5"/>
  <c r="R672" i="5"/>
  <c r="Q672" i="5"/>
  <c r="P672" i="5"/>
  <c r="R671" i="5"/>
  <c r="Q671" i="5"/>
  <c r="P671" i="5"/>
  <c r="R670" i="5"/>
  <c r="Q670" i="5"/>
  <c r="P670" i="5"/>
  <c r="R669" i="5"/>
  <c r="Q669" i="5"/>
  <c r="P669" i="5"/>
  <c r="R668" i="5"/>
  <c r="Q668" i="5"/>
  <c r="P668" i="5"/>
  <c r="R667" i="5"/>
  <c r="Q667" i="5"/>
  <c r="P667" i="5"/>
  <c r="R666" i="5"/>
  <c r="Q666" i="5"/>
  <c r="P666" i="5"/>
  <c r="R665" i="5"/>
  <c r="Q665" i="5"/>
  <c r="P665" i="5"/>
  <c r="R664" i="5"/>
  <c r="Q664" i="5"/>
  <c r="P664" i="5"/>
  <c r="R663" i="5"/>
  <c r="Q663" i="5"/>
  <c r="P663" i="5"/>
  <c r="R662" i="5"/>
  <c r="Q662" i="5"/>
  <c r="P662" i="5"/>
  <c r="R661" i="5"/>
  <c r="Q661" i="5"/>
  <c r="P661" i="5"/>
  <c r="R660" i="5"/>
  <c r="Q660" i="5"/>
  <c r="P660" i="5"/>
  <c r="R659" i="5"/>
  <c r="Q659" i="5"/>
  <c r="P659" i="5"/>
  <c r="R658" i="5"/>
  <c r="Q658" i="5"/>
  <c r="P658" i="5"/>
  <c r="R657" i="5"/>
  <c r="Q657" i="5"/>
  <c r="P657" i="5"/>
  <c r="R656" i="5"/>
  <c r="Q656" i="5"/>
  <c r="P656" i="5"/>
  <c r="R655" i="5"/>
  <c r="Q655" i="5"/>
  <c r="P655" i="5"/>
  <c r="R654" i="5"/>
  <c r="Q654" i="5"/>
  <c r="P654" i="5"/>
  <c r="R653" i="5"/>
  <c r="Q653" i="5"/>
  <c r="P653" i="5"/>
  <c r="R652" i="5"/>
  <c r="Q652" i="5"/>
  <c r="P652" i="5"/>
  <c r="R651" i="5"/>
  <c r="Q651" i="5"/>
  <c r="P651" i="5"/>
  <c r="R650" i="5"/>
  <c r="Q650" i="5"/>
  <c r="P650" i="5"/>
  <c r="R649" i="5"/>
  <c r="Q649" i="5"/>
  <c r="P649" i="5"/>
  <c r="R648" i="5"/>
  <c r="Q648" i="5"/>
  <c r="P648" i="5"/>
  <c r="R647" i="5"/>
  <c r="Q647" i="5"/>
  <c r="P647" i="5"/>
  <c r="R646" i="5"/>
  <c r="Q646" i="5"/>
  <c r="P646" i="5"/>
  <c r="R645" i="5"/>
  <c r="Q645" i="5"/>
  <c r="P645" i="5"/>
  <c r="R644" i="5"/>
  <c r="Q644" i="5"/>
  <c r="P644" i="5"/>
  <c r="R643" i="5"/>
  <c r="Q643" i="5"/>
  <c r="P643" i="5"/>
  <c r="R642" i="5"/>
  <c r="Q642" i="5"/>
  <c r="P642" i="5"/>
  <c r="R641" i="5"/>
  <c r="Q641" i="5"/>
  <c r="P641" i="5"/>
  <c r="R640" i="5"/>
  <c r="Q640" i="5"/>
  <c r="P640" i="5"/>
  <c r="R639" i="5"/>
  <c r="Q639" i="5"/>
  <c r="P639" i="5"/>
  <c r="R638" i="5"/>
  <c r="Q638" i="5"/>
  <c r="P638" i="5"/>
  <c r="R637" i="5"/>
  <c r="Q637" i="5"/>
  <c r="P637" i="5"/>
  <c r="R636" i="5"/>
  <c r="Q636" i="5"/>
  <c r="P636" i="5"/>
  <c r="R635" i="5"/>
  <c r="Q635" i="5"/>
  <c r="P635" i="5"/>
  <c r="R634" i="5"/>
  <c r="Q634" i="5"/>
  <c r="P634" i="5"/>
  <c r="R633" i="5"/>
  <c r="Q633" i="5"/>
  <c r="P633" i="5"/>
  <c r="R632" i="5"/>
  <c r="Q632" i="5"/>
  <c r="P632" i="5"/>
  <c r="R631" i="5"/>
  <c r="Q631" i="5"/>
  <c r="P631" i="5"/>
  <c r="R630" i="5"/>
  <c r="Q630" i="5"/>
  <c r="P630" i="5"/>
  <c r="R629" i="5"/>
  <c r="Q629" i="5"/>
  <c r="P629" i="5"/>
  <c r="R628" i="5"/>
  <c r="Q628" i="5"/>
  <c r="P628" i="5"/>
  <c r="R627" i="5"/>
  <c r="Q627" i="5"/>
  <c r="P627" i="5"/>
  <c r="R626" i="5"/>
  <c r="Q626" i="5"/>
  <c r="P626" i="5"/>
  <c r="R625" i="5"/>
  <c r="Q625" i="5"/>
  <c r="P625" i="5"/>
  <c r="R624" i="5"/>
  <c r="Q624" i="5"/>
  <c r="P624" i="5"/>
  <c r="R623" i="5"/>
  <c r="Q623" i="5"/>
  <c r="P623" i="5"/>
  <c r="R622" i="5"/>
  <c r="Q622" i="5"/>
  <c r="P622" i="5"/>
  <c r="R621" i="5"/>
  <c r="Q621" i="5"/>
  <c r="P621" i="5"/>
  <c r="R620" i="5"/>
  <c r="Q620" i="5"/>
  <c r="P620" i="5"/>
  <c r="R619" i="5"/>
  <c r="Q619" i="5"/>
  <c r="P619" i="5"/>
  <c r="R618" i="5"/>
  <c r="Q618" i="5"/>
  <c r="P618" i="5"/>
  <c r="R617" i="5"/>
  <c r="Q617" i="5"/>
  <c r="P617" i="5"/>
  <c r="R616" i="5"/>
  <c r="Q616" i="5"/>
  <c r="P616" i="5"/>
  <c r="R615" i="5"/>
  <c r="Q615" i="5"/>
  <c r="P615" i="5"/>
  <c r="R614" i="5"/>
  <c r="Q614" i="5"/>
  <c r="P614" i="5"/>
  <c r="R613" i="5"/>
  <c r="Q613" i="5"/>
  <c r="P613" i="5"/>
  <c r="R612" i="5"/>
  <c r="Q612" i="5"/>
  <c r="P612" i="5"/>
  <c r="R611" i="5"/>
  <c r="Q611" i="5"/>
  <c r="P611" i="5"/>
  <c r="R610" i="5"/>
  <c r="Q610" i="5"/>
  <c r="P610" i="5"/>
  <c r="R609" i="5"/>
  <c r="Q609" i="5"/>
  <c r="P609" i="5"/>
  <c r="R608" i="5"/>
  <c r="Q608" i="5"/>
  <c r="P608" i="5"/>
  <c r="R607" i="5"/>
  <c r="Q607" i="5"/>
  <c r="P607" i="5"/>
  <c r="R606" i="5"/>
  <c r="Q606" i="5"/>
  <c r="P606" i="5"/>
  <c r="R605" i="5"/>
  <c r="Q605" i="5"/>
  <c r="P605" i="5"/>
  <c r="R604" i="5"/>
  <c r="Q604" i="5"/>
  <c r="P604" i="5"/>
  <c r="R603" i="5"/>
  <c r="Q603" i="5"/>
  <c r="P603" i="5"/>
  <c r="R602" i="5"/>
  <c r="Q602" i="5"/>
  <c r="P602" i="5"/>
  <c r="R601" i="5"/>
  <c r="Q601" i="5"/>
  <c r="P601" i="5"/>
  <c r="R600" i="5"/>
  <c r="Q600" i="5"/>
  <c r="P600" i="5"/>
  <c r="R599" i="5"/>
  <c r="Q599" i="5"/>
  <c r="P599" i="5"/>
  <c r="R598" i="5"/>
  <c r="Q598" i="5"/>
  <c r="P598" i="5"/>
  <c r="R597" i="5"/>
  <c r="Q597" i="5"/>
  <c r="P597" i="5"/>
  <c r="R596" i="5"/>
  <c r="Q596" i="5"/>
  <c r="P596" i="5"/>
  <c r="R595" i="5"/>
  <c r="Q595" i="5"/>
  <c r="P595" i="5"/>
  <c r="R594" i="5"/>
  <c r="Q594" i="5"/>
  <c r="P594" i="5"/>
  <c r="R593" i="5"/>
  <c r="Q593" i="5"/>
  <c r="P593" i="5"/>
  <c r="R592" i="5"/>
  <c r="Q592" i="5"/>
  <c r="P592" i="5"/>
  <c r="R591" i="5"/>
  <c r="Q591" i="5"/>
  <c r="P591" i="5"/>
  <c r="R590" i="5"/>
  <c r="Q590" i="5"/>
  <c r="P590" i="5"/>
  <c r="R589" i="5"/>
  <c r="Q589" i="5"/>
  <c r="P589" i="5"/>
  <c r="R588" i="5"/>
  <c r="Q588" i="5"/>
  <c r="P588" i="5"/>
  <c r="R587" i="5"/>
  <c r="Q587" i="5"/>
  <c r="P587" i="5"/>
  <c r="R586" i="5"/>
  <c r="Q586" i="5"/>
  <c r="P586" i="5"/>
  <c r="R585" i="5"/>
  <c r="Q585" i="5"/>
  <c r="P585" i="5"/>
  <c r="R584" i="5"/>
  <c r="Q584" i="5"/>
  <c r="P584" i="5"/>
  <c r="R583" i="5"/>
  <c r="Q583" i="5"/>
  <c r="P583" i="5"/>
  <c r="R582" i="5"/>
  <c r="Q582" i="5"/>
  <c r="P582" i="5"/>
  <c r="R581" i="5"/>
  <c r="Q581" i="5"/>
  <c r="P581" i="5"/>
  <c r="R580" i="5"/>
  <c r="Q580" i="5"/>
  <c r="P580" i="5"/>
  <c r="R579" i="5"/>
  <c r="Q579" i="5"/>
  <c r="P579" i="5"/>
  <c r="R578" i="5"/>
  <c r="Q578" i="5"/>
  <c r="P578" i="5"/>
  <c r="R577" i="5"/>
  <c r="Q577" i="5"/>
  <c r="P577" i="5"/>
  <c r="R576" i="5"/>
  <c r="Q576" i="5"/>
  <c r="P576" i="5"/>
  <c r="R575" i="5"/>
  <c r="Q575" i="5"/>
  <c r="P575" i="5"/>
  <c r="R574" i="5"/>
  <c r="Q574" i="5"/>
  <c r="P574" i="5"/>
  <c r="R573" i="5"/>
  <c r="Q573" i="5"/>
  <c r="P573" i="5"/>
  <c r="R572" i="5"/>
  <c r="Q572" i="5"/>
  <c r="P572" i="5"/>
  <c r="R571" i="5"/>
  <c r="Q571" i="5"/>
  <c r="P571" i="5"/>
  <c r="R570" i="5"/>
  <c r="Q570" i="5"/>
  <c r="P570" i="5"/>
  <c r="R569" i="5"/>
  <c r="Q569" i="5"/>
  <c r="P569" i="5"/>
  <c r="R568" i="5"/>
  <c r="Q568" i="5"/>
  <c r="P568" i="5"/>
  <c r="R567" i="5"/>
  <c r="Q567" i="5"/>
  <c r="P567" i="5"/>
  <c r="R566" i="5"/>
  <c r="Q566" i="5"/>
  <c r="P566" i="5"/>
  <c r="R565" i="5"/>
  <c r="Q565" i="5"/>
  <c r="P565" i="5"/>
  <c r="R564" i="5"/>
  <c r="Q564" i="5"/>
  <c r="P564" i="5"/>
  <c r="R563" i="5"/>
  <c r="Q563" i="5"/>
  <c r="P563" i="5"/>
  <c r="R562" i="5"/>
  <c r="Q562" i="5"/>
  <c r="P562" i="5"/>
  <c r="R561" i="5"/>
  <c r="Q561" i="5"/>
  <c r="P561" i="5"/>
  <c r="R560" i="5"/>
  <c r="Q560" i="5"/>
  <c r="P560" i="5"/>
  <c r="R559" i="5"/>
  <c r="Q559" i="5"/>
  <c r="P559" i="5"/>
  <c r="R558" i="5"/>
  <c r="Q558" i="5"/>
  <c r="P558" i="5"/>
  <c r="R557" i="5"/>
  <c r="Q557" i="5"/>
  <c r="P557" i="5"/>
  <c r="R556" i="5"/>
  <c r="Q556" i="5"/>
  <c r="P556" i="5"/>
  <c r="R555" i="5"/>
  <c r="Q555" i="5"/>
  <c r="P555" i="5"/>
  <c r="R554" i="5"/>
  <c r="Q554" i="5"/>
  <c r="P554" i="5"/>
  <c r="R553" i="5"/>
  <c r="Q553" i="5"/>
  <c r="P553" i="5"/>
  <c r="R552" i="5"/>
  <c r="Q552" i="5"/>
  <c r="P552" i="5"/>
  <c r="R551" i="5"/>
  <c r="Q551" i="5"/>
  <c r="P551" i="5"/>
  <c r="R550" i="5"/>
  <c r="Q550" i="5"/>
  <c r="P550" i="5"/>
  <c r="R549" i="5"/>
  <c r="Q549" i="5"/>
  <c r="P549" i="5"/>
  <c r="R548" i="5"/>
  <c r="Q548" i="5"/>
  <c r="P548" i="5"/>
  <c r="R547" i="5"/>
  <c r="Q547" i="5"/>
  <c r="P547" i="5"/>
  <c r="R546" i="5"/>
  <c r="Q546" i="5"/>
  <c r="P546" i="5"/>
  <c r="R545" i="5"/>
  <c r="Q545" i="5"/>
  <c r="P545" i="5"/>
  <c r="R544" i="5"/>
  <c r="Q544" i="5"/>
  <c r="P544" i="5"/>
  <c r="R543" i="5"/>
  <c r="Q543" i="5"/>
  <c r="P543" i="5"/>
  <c r="R542" i="5"/>
  <c r="Q542" i="5"/>
  <c r="P542" i="5"/>
  <c r="R541" i="5"/>
  <c r="Q541" i="5"/>
  <c r="P541" i="5"/>
  <c r="R540" i="5"/>
  <c r="Q540" i="5"/>
  <c r="P540" i="5"/>
  <c r="R539" i="5"/>
  <c r="Q539" i="5"/>
  <c r="P539" i="5"/>
  <c r="R538" i="5"/>
  <c r="Q538" i="5"/>
  <c r="P538" i="5"/>
  <c r="R537" i="5"/>
  <c r="Q537" i="5"/>
  <c r="P537" i="5"/>
  <c r="R536" i="5"/>
  <c r="Q536" i="5"/>
  <c r="P536" i="5"/>
  <c r="R535" i="5"/>
  <c r="Q535" i="5"/>
  <c r="P535" i="5"/>
  <c r="R534" i="5"/>
  <c r="Q534" i="5"/>
  <c r="P534" i="5"/>
  <c r="R533" i="5"/>
  <c r="Q533" i="5"/>
  <c r="P533" i="5"/>
  <c r="R532" i="5"/>
  <c r="Q532" i="5"/>
  <c r="P532" i="5"/>
  <c r="R531" i="5"/>
  <c r="Q531" i="5"/>
  <c r="P531" i="5"/>
  <c r="R530" i="5"/>
  <c r="Q530" i="5"/>
  <c r="P530" i="5"/>
  <c r="R529" i="5"/>
  <c r="Q529" i="5"/>
  <c r="P529" i="5"/>
  <c r="R528" i="5"/>
  <c r="Q528" i="5"/>
  <c r="P528" i="5"/>
  <c r="R527" i="5"/>
  <c r="Q527" i="5"/>
  <c r="P527" i="5"/>
  <c r="R526" i="5"/>
  <c r="Q526" i="5"/>
  <c r="P526" i="5"/>
  <c r="R525" i="5"/>
  <c r="Q525" i="5"/>
  <c r="P525" i="5"/>
  <c r="R524" i="5"/>
  <c r="Q524" i="5"/>
  <c r="P524" i="5"/>
  <c r="R523" i="5"/>
  <c r="Q523" i="5"/>
  <c r="P523" i="5"/>
  <c r="R522" i="5"/>
  <c r="Q522" i="5"/>
  <c r="P522" i="5"/>
  <c r="R521" i="5"/>
  <c r="Q521" i="5"/>
  <c r="P521" i="5"/>
  <c r="R520" i="5"/>
  <c r="Q520" i="5"/>
  <c r="P520" i="5"/>
  <c r="R519" i="5"/>
  <c r="Q519" i="5"/>
  <c r="P519" i="5"/>
  <c r="R518" i="5"/>
  <c r="Q518" i="5"/>
  <c r="P518" i="5"/>
  <c r="R517" i="5"/>
  <c r="Q517" i="5"/>
  <c r="P517" i="5"/>
  <c r="R516" i="5"/>
  <c r="Q516" i="5"/>
  <c r="P516" i="5"/>
  <c r="R515" i="5"/>
  <c r="Q515" i="5"/>
  <c r="P515" i="5"/>
  <c r="R514" i="5"/>
  <c r="Q514" i="5"/>
  <c r="P514" i="5"/>
  <c r="R513" i="5"/>
  <c r="Q513" i="5"/>
  <c r="P513" i="5"/>
  <c r="R512" i="5"/>
  <c r="Q512" i="5"/>
  <c r="P512" i="5"/>
  <c r="R511" i="5"/>
  <c r="Q511" i="5"/>
  <c r="P511" i="5"/>
  <c r="R510" i="5"/>
  <c r="Q510" i="5"/>
  <c r="P510" i="5"/>
  <c r="R509" i="5"/>
  <c r="Q509" i="5"/>
  <c r="P509" i="5"/>
  <c r="R508" i="5"/>
  <c r="Q508" i="5"/>
  <c r="P508" i="5"/>
  <c r="R507" i="5"/>
  <c r="Q507" i="5"/>
  <c r="P507" i="5"/>
  <c r="R506" i="5"/>
  <c r="Q506" i="5"/>
  <c r="P506" i="5"/>
  <c r="R505" i="5"/>
  <c r="Q505" i="5"/>
  <c r="P505" i="5"/>
  <c r="R504" i="5"/>
  <c r="Q504" i="5"/>
  <c r="P504" i="5"/>
  <c r="R503" i="5"/>
  <c r="Q503" i="5"/>
  <c r="P503" i="5"/>
  <c r="R502" i="5"/>
  <c r="Q502" i="5"/>
  <c r="P502" i="5"/>
  <c r="R501" i="5"/>
  <c r="Q501" i="5"/>
  <c r="P501" i="5"/>
  <c r="R500" i="5"/>
  <c r="Q500" i="5"/>
  <c r="P500" i="5"/>
  <c r="R499" i="5"/>
  <c r="Q499" i="5"/>
  <c r="P499" i="5"/>
  <c r="R498" i="5"/>
  <c r="Q498" i="5"/>
  <c r="P498" i="5"/>
  <c r="R497" i="5"/>
  <c r="Q497" i="5"/>
  <c r="P497" i="5"/>
  <c r="R496" i="5"/>
  <c r="Q496" i="5"/>
  <c r="P496" i="5"/>
  <c r="R495" i="5"/>
  <c r="Q495" i="5"/>
  <c r="P495" i="5"/>
  <c r="R494" i="5"/>
  <c r="Q494" i="5"/>
  <c r="P494" i="5"/>
  <c r="R493" i="5"/>
  <c r="Q493" i="5"/>
  <c r="P493" i="5"/>
  <c r="R492" i="5"/>
  <c r="Q492" i="5"/>
  <c r="P492" i="5"/>
  <c r="R491" i="5"/>
  <c r="Q491" i="5"/>
  <c r="P491" i="5"/>
  <c r="R490" i="5"/>
  <c r="Q490" i="5"/>
  <c r="P490" i="5"/>
  <c r="R489" i="5"/>
  <c r="Q489" i="5"/>
  <c r="P489" i="5"/>
  <c r="R488" i="5"/>
  <c r="Q488" i="5"/>
  <c r="P488" i="5"/>
  <c r="R487" i="5"/>
  <c r="Q487" i="5"/>
  <c r="P487" i="5"/>
  <c r="R486" i="5"/>
  <c r="Q486" i="5"/>
  <c r="P486" i="5"/>
  <c r="R485" i="5"/>
  <c r="Q485" i="5"/>
  <c r="P485" i="5"/>
  <c r="R484" i="5"/>
  <c r="Q484" i="5"/>
  <c r="P484" i="5"/>
  <c r="R483" i="5"/>
  <c r="Q483" i="5"/>
  <c r="P483" i="5"/>
  <c r="R482" i="5"/>
  <c r="Q482" i="5"/>
  <c r="P482" i="5"/>
  <c r="R481" i="5"/>
  <c r="Q481" i="5"/>
  <c r="P481" i="5"/>
  <c r="R480" i="5"/>
  <c r="Q480" i="5"/>
  <c r="P480" i="5"/>
  <c r="R479" i="5"/>
  <c r="Q479" i="5"/>
  <c r="P479" i="5"/>
  <c r="R478" i="5"/>
  <c r="Q478" i="5"/>
  <c r="P478" i="5"/>
  <c r="R477" i="5"/>
  <c r="Q477" i="5"/>
  <c r="P477" i="5"/>
  <c r="R476" i="5"/>
  <c r="Q476" i="5"/>
  <c r="P476" i="5"/>
  <c r="R475" i="5"/>
  <c r="Q475" i="5"/>
  <c r="P475" i="5"/>
  <c r="R474" i="5"/>
  <c r="Q474" i="5"/>
  <c r="P474" i="5"/>
  <c r="R473" i="5"/>
  <c r="Q473" i="5"/>
  <c r="P473" i="5"/>
  <c r="R472" i="5"/>
  <c r="Q472" i="5"/>
  <c r="P472" i="5"/>
  <c r="R471" i="5"/>
  <c r="Q471" i="5"/>
  <c r="P471" i="5"/>
  <c r="R470" i="5"/>
  <c r="Q470" i="5"/>
  <c r="P470" i="5"/>
  <c r="R469" i="5"/>
  <c r="Q469" i="5"/>
  <c r="P469" i="5"/>
  <c r="R468" i="5"/>
  <c r="Q468" i="5"/>
  <c r="P468" i="5"/>
  <c r="R467" i="5"/>
  <c r="Q467" i="5"/>
  <c r="P467" i="5"/>
  <c r="R466" i="5"/>
  <c r="Q466" i="5"/>
  <c r="P466" i="5"/>
  <c r="R465" i="5"/>
  <c r="Q465" i="5"/>
  <c r="P465" i="5"/>
  <c r="R464" i="5"/>
  <c r="Q464" i="5"/>
  <c r="P464" i="5"/>
  <c r="R463" i="5"/>
  <c r="Q463" i="5"/>
  <c r="P463" i="5"/>
  <c r="R462" i="5"/>
  <c r="Q462" i="5"/>
  <c r="P462" i="5"/>
  <c r="R461" i="5"/>
  <c r="Q461" i="5"/>
  <c r="P461" i="5"/>
  <c r="R460" i="5"/>
  <c r="Q460" i="5"/>
  <c r="P460" i="5"/>
  <c r="R459" i="5"/>
  <c r="Q459" i="5"/>
  <c r="P459" i="5"/>
  <c r="R458" i="5"/>
  <c r="Q458" i="5"/>
  <c r="P458" i="5"/>
  <c r="R457" i="5"/>
  <c r="Q457" i="5"/>
  <c r="P457" i="5"/>
  <c r="R456" i="5"/>
  <c r="Q456" i="5"/>
  <c r="P456" i="5"/>
  <c r="R455" i="5"/>
  <c r="Q455" i="5"/>
  <c r="P455" i="5"/>
  <c r="R454" i="5"/>
  <c r="Q454" i="5"/>
  <c r="P454" i="5"/>
  <c r="R453" i="5"/>
  <c r="Q453" i="5"/>
  <c r="P453" i="5"/>
  <c r="R452" i="5"/>
  <c r="Q452" i="5"/>
  <c r="P452" i="5"/>
  <c r="R451" i="5"/>
  <c r="Q451" i="5"/>
  <c r="P451" i="5"/>
  <c r="R450" i="5"/>
  <c r="Q450" i="5"/>
  <c r="P450" i="5"/>
  <c r="R449" i="5"/>
  <c r="Q449" i="5"/>
  <c r="P449" i="5"/>
  <c r="R448" i="5"/>
  <c r="Q448" i="5"/>
  <c r="P448" i="5"/>
  <c r="R447" i="5"/>
  <c r="Q447" i="5"/>
  <c r="P447" i="5"/>
  <c r="R446" i="5"/>
  <c r="Q446" i="5"/>
  <c r="P446" i="5"/>
  <c r="R445" i="5"/>
  <c r="Q445" i="5"/>
  <c r="P445" i="5"/>
  <c r="R444" i="5"/>
  <c r="Q444" i="5"/>
  <c r="P444" i="5"/>
  <c r="R443" i="5"/>
  <c r="Q443" i="5"/>
  <c r="P443" i="5"/>
  <c r="R442" i="5"/>
  <c r="Q442" i="5"/>
  <c r="P442" i="5"/>
  <c r="R441" i="5"/>
  <c r="Q441" i="5"/>
  <c r="P441" i="5"/>
  <c r="R440" i="5"/>
  <c r="Q440" i="5"/>
  <c r="P440" i="5"/>
  <c r="R439" i="5"/>
  <c r="Q439" i="5"/>
  <c r="P439" i="5"/>
  <c r="R438" i="5"/>
  <c r="Q438" i="5"/>
  <c r="P438" i="5"/>
  <c r="R437" i="5"/>
  <c r="Q437" i="5"/>
  <c r="P437" i="5"/>
  <c r="R436" i="5"/>
  <c r="Q436" i="5"/>
  <c r="P436" i="5"/>
  <c r="R435" i="5"/>
  <c r="Q435" i="5"/>
  <c r="P435" i="5"/>
  <c r="R434" i="5"/>
  <c r="Q434" i="5"/>
  <c r="P434" i="5"/>
  <c r="R433" i="5"/>
  <c r="Q433" i="5"/>
  <c r="P433" i="5"/>
  <c r="R432" i="5"/>
  <c r="Q432" i="5"/>
  <c r="P432" i="5"/>
  <c r="R431" i="5"/>
  <c r="Q431" i="5"/>
  <c r="P431" i="5"/>
  <c r="R430" i="5"/>
  <c r="Q430" i="5"/>
  <c r="P430" i="5"/>
  <c r="R429" i="5"/>
  <c r="Q429" i="5"/>
  <c r="P429" i="5"/>
  <c r="R428" i="5"/>
  <c r="Q428" i="5"/>
  <c r="P428" i="5"/>
  <c r="R427" i="5"/>
  <c r="Q427" i="5"/>
  <c r="P427" i="5"/>
  <c r="R426" i="5"/>
  <c r="Q426" i="5"/>
  <c r="P426" i="5"/>
  <c r="R425" i="5"/>
  <c r="Q425" i="5"/>
  <c r="P425" i="5"/>
  <c r="R424" i="5"/>
  <c r="Q424" i="5"/>
  <c r="P424" i="5"/>
  <c r="R423" i="5"/>
  <c r="Q423" i="5"/>
  <c r="P423" i="5"/>
  <c r="R422" i="5"/>
  <c r="Q422" i="5"/>
  <c r="P422" i="5"/>
  <c r="R421" i="5"/>
  <c r="Q421" i="5"/>
  <c r="P421" i="5"/>
  <c r="R420" i="5"/>
  <c r="Q420" i="5"/>
  <c r="P420" i="5"/>
  <c r="R419" i="5"/>
  <c r="Q419" i="5"/>
  <c r="P419" i="5"/>
  <c r="R418" i="5"/>
  <c r="Q418" i="5"/>
  <c r="P418" i="5"/>
  <c r="R417" i="5"/>
  <c r="Q417" i="5"/>
  <c r="P417" i="5"/>
  <c r="R416" i="5"/>
  <c r="Q416" i="5"/>
  <c r="P416" i="5"/>
  <c r="R415" i="5"/>
  <c r="Q415" i="5"/>
  <c r="P415" i="5"/>
  <c r="R414" i="5"/>
  <c r="Q414" i="5"/>
  <c r="P414" i="5"/>
  <c r="R413" i="5"/>
  <c r="Q413" i="5"/>
  <c r="P413" i="5"/>
  <c r="R412" i="5"/>
  <c r="Q412" i="5"/>
  <c r="P412" i="5"/>
  <c r="R411" i="5"/>
  <c r="Q411" i="5"/>
  <c r="P411" i="5"/>
  <c r="R410" i="5"/>
  <c r="Q410" i="5"/>
  <c r="P410" i="5"/>
  <c r="R409" i="5"/>
  <c r="Q409" i="5"/>
  <c r="P409" i="5"/>
  <c r="R408" i="5"/>
  <c r="Q408" i="5"/>
  <c r="P408" i="5"/>
  <c r="R407" i="5"/>
  <c r="Q407" i="5"/>
  <c r="P407" i="5"/>
  <c r="R406" i="5"/>
  <c r="Q406" i="5"/>
  <c r="P406" i="5"/>
  <c r="R405" i="5"/>
  <c r="Q405" i="5"/>
  <c r="P405" i="5"/>
  <c r="R404" i="5"/>
  <c r="Q404" i="5"/>
  <c r="P404" i="5"/>
  <c r="R403" i="5"/>
  <c r="Q403" i="5"/>
  <c r="P403" i="5"/>
  <c r="R402" i="5"/>
  <c r="Q402" i="5"/>
  <c r="P402" i="5"/>
  <c r="R401" i="5"/>
  <c r="Q401" i="5"/>
  <c r="P401" i="5"/>
  <c r="R400" i="5"/>
  <c r="Q400" i="5"/>
  <c r="P400" i="5"/>
  <c r="R399" i="5"/>
  <c r="Q399" i="5"/>
  <c r="P399" i="5"/>
  <c r="R398" i="5"/>
  <c r="Q398" i="5"/>
  <c r="P398" i="5"/>
  <c r="R397" i="5"/>
  <c r="Q397" i="5"/>
  <c r="P397" i="5"/>
  <c r="R396" i="5"/>
  <c r="Q396" i="5"/>
  <c r="P396" i="5"/>
  <c r="R395" i="5"/>
  <c r="Q395" i="5"/>
  <c r="P395" i="5"/>
  <c r="R394" i="5"/>
  <c r="Q394" i="5"/>
  <c r="P394" i="5"/>
  <c r="R393" i="5"/>
  <c r="Q393" i="5"/>
  <c r="P393" i="5"/>
  <c r="R392" i="5"/>
  <c r="Q392" i="5"/>
  <c r="P392" i="5"/>
  <c r="R391" i="5"/>
  <c r="Q391" i="5"/>
  <c r="P391" i="5"/>
  <c r="R390" i="5"/>
  <c r="Q390" i="5"/>
  <c r="P390" i="5"/>
  <c r="R389" i="5"/>
  <c r="Q389" i="5"/>
  <c r="P389" i="5"/>
  <c r="R388" i="5"/>
  <c r="Q388" i="5"/>
  <c r="P388" i="5"/>
  <c r="R387" i="5"/>
  <c r="Q387" i="5"/>
  <c r="P387" i="5"/>
  <c r="R386" i="5"/>
  <c r="Q386" i="5"/>
  <c r="P386" i="5"/>
  <c r="R385" i="5"/>
  <c r="Q385" i="5"/>
  <c r="P385" i="5"/>
  <c r="R384" i="5"/>
  <c r="Q384" i="5"/>
  <c r="P384" i="5"/>
  <c r="R383" i="5"/>
  <c r="Q383" i="5"/>
  <c r="P383" i="5"/>
  <c r="R382" i="5"/>
  <c r="Q382" i="5"/>
  <c r="P382" i="5"/>
  <c r="R381" i="5"/>
  <c r="Q381" i="5"/>
  <c r="P381" i="5"/>
  <c r="R380" i="5"/>
  <c r="Q380" i="5"/>
  <c r="P380" i="5"/>
  <c r="R379" i="5"/>
  <c r="Q379" i="5"/>
  <c r="P379" i="5"/>
  <c r="R378" i="5"/>
  <c r="Q378" i="5"/>
  <c r="P378" i="5"/>
  <c r="R377" i="5"/>
  <c r="Q377" i="5"/>
  <c r="P377" i="5"/>
  <c r="R376" i="5"/>
  <c r="Q376" i="5"/>
  <c r="P376" i="5"/>
  <c r="R375" i="5"/>
  <c r="Q375" i="5"/>
  <c r="P375" i="5"/>
  <c r="R374" i="5"/>
  <c r="Q374" i="5"/>
  <c r="P374" i="5"/>
  <c r="R373" i="5"/>
  <c r="Q373" i="5"/>
  <c r="P373" i="5"/>
  <c r="R372" i="5"/>
  <c r="Q372" i="5"/>
  <c r="P372" i="5"/>
  <c r="R371" i="5"/>
  <c r="Q371" i="5"/>
  <c r="P371" i="5"/>
  <c r="R370" i="5"/>
  <c r="Q370" i="5"/>
  <c r="P370" i="5"/>
  <c r="R369" i="5"/>
  <c r="Q369" i="5"/>
  <c r="P369" i="5"/>
  <c r="R368" i="5"/>
  <c r="Q368" i="5"/>
  <c r="P368" i="5"/>
  <c r="R367" i="5"/>
  <c r="Q367" i="5"/>
  <c r="P367" i="5"/>
  <c r="R366" i="5"/>
  <c r="Q366" i="5"/>
  <c r="P366" i="5"/>
  <c r="R365" i="5"/>
  <c r="Q365" i="5"/>
  <c r="P365" i="5"/>
  <c r="R364" i="5"/>
  <c r="Q364" i="5"/>
  <c r="P364" i="5"/>
  <c r="R363" i="5"/>
  <c r="Q363" i="5"/>
  <c r="P363" i="5"/>
  <c r="R362" i="5"/>
  <c r="Q362" i="5"/>
  <c r="P362" i="5"/>
  <c r="R361" i="5"/>
  <c r="Q361" i="5"/>
  <c r="P361" i="5"/>
  <c r="R360" i="5"/>
  <c r="Q360" i="5"/>
  <c r="P360" i="5"/>
  <c r="R359" i="5"/>
  <c r="Q359" i="5"/>
  <c r="P359" i="5"/>
  <c r="R358" i="5"/>
  <c r="Q358" i="5"/>
  <c r="P358" i="5"/>
  <c r="R357" i="5"/>
  <c r="Q357" i="5"/>
  <c r="P357" i="5"/>
  <c r="R356" i="5"/>
  <c r="Q356" i="5"/>
  <c r="P356" i="5"/>
  <c r="R355" i="5"/>
  <c r="Q355" i="5"/>
  <c r="P355" i="5"/>
  <c r="R354" i="5"/>
  <c r="Q354" i="5"/>
  <c r="P354" i="5"/>
  <c r="R353" i="5"/>
  <c r="Q353" i="5"/>
  <c r="P353" i="5"/>
  <c r="R352" i="5"/>
  <c r="Q352" i="5"/>
  <c r="P352" i="5"/>
  <c r="R351" i="5"/>
  <c r="Q351" i="5"/>
  <c r="P351" i="5"/>
  <c r="R350" i="5"/>
  <c r="Q350" i="5"/>
  <c r="P350" i="5"/>
  <c r="R349" i="5"/>
  <c r="Q349" i="5"/>
  <c r="P349" i="5"/>
  <c r="R348" i="5"/>
  <c r="Q348" i="5"/>
  <c r="P348" i="5"/>
  <c r="R347" i="5"/>
  <c r="Q347" i="5"/>
  <c r="P347" i="5"/>
  <c r="R346" i="5"/>
  <c r="Q346" i="5"/>
  <c r="P346" i="5"/>
  <c r="R345" i="5"/>
  <c r="Q345" i="5"/>
  <c r="P345" i="5"/>
  <c r="R344" i="5"/>
  <c r="Q344" i="5"/>
  <c r="P344" i="5"/>
  <c r="R343" i="5"/>
  <c r="Q343" i="5"/>
  <c r="P343" i="5"/>
  <c r="R342" i="5"/>
  <c r="Q342" i="5"/>
  <c r="P342" i="5"/>
  <c r="R341" i="5"/>
  <c r="Q341" i="5"/>
  <c r="P341" i="5"/>
  <c r="R340" i="5"/>
  <c r="Q340" i="5"/>
  <c r="P340" i="5"/>
  <c r="R339" i="5"/>
  <c r="Q339" i="5"/>
  <c r="P339" i="5"/>
  <c r="R338" i="5"/>
  <c r="Q338" i="5"/>
  <c r="P338" i="5"/>
  <c r="R337" i="5"/>
  <c r="Q337" i="5"/>
  <c r="P337" i="5"/>
  <c r="R336" i="5"/>
  <c r="Q336" i="5"/>
  <c r="P336" i="5"/>
  <c r="R335" i="5"/>
  <c r="Q335" i="5"/>
  <c r="P335" i="5"/>
  <c r="R334" i="5"/>
  <c r="Q334" i="5"/>
  <c r="P334" i="5"/>
  <c r="R333" i="5"/>
  <c r="Q333" i="5"/>
  <c r="P333" i="5"/>
  <c r="R332" i="5"/>
  <c r="Q332" i="5"/>
  <c r="P332" i="5"/>
  <c r="R331" i="5"/>
  <c r="Q331" i="5"/>
  <c r="P331" i="5"/>
  <c r="R330" i="5"/>
  <c r="Q330" i="5"/>
  <c r="P330" i="5"/>
  <c r="R329" i="5"/>
  <c r="Q329" i="5"/>
  <c r="P329" i="5"/>
  <c r="R328" i="5"/>
  <c r="Q328" i="5"/>
  <c r="P328" i="5"/>
  <c r="R327" i="5"/>
  <c r="Q327" i="5"/>
  <c r="P327" i="5"/>
  <c r="R326" i="5"/>
  <c r="Q326" i="5"/>
  <c r="P326" i="5"/>
  <c r="R325" i="5"/>
  <c r="Q325" i="5"/>
  <c r="P325" i="5"/>
  <c r="R324" i="5"/>
  <c r="Q324" i="5"/>
  <c r="P324" i="5"/>
  <c r="R323" i="5"/>
  <c r="Q323" i="5"/>
  <c r="P323" i="5"/>
  <c r="R322" i="5"/>
  <c r="Q322" i="5"/>
  <c r="P322" i="5"/>
  <c r="R321" i="5"/>
  <c r="Q321" i="5"/>
  <c r="P321" i="5"/>
  <c r="R320" i="5"/>
  <c r="Q320" i="5"/>
  <c r="P320" i="5"/>
  <c r="R319" i="5"/>
  <c r="Q319" i="5"/>
  <c r="P319" i="5"/>
  <c r="R318" i="5"/>
  <c r="Q318" i="5"/>
  <c r="P318" i="5"/>
  <c r="R317" i="5"/>
  <c r="Q317" i="5"/>
  <c r="P317" i="5"/>
  <c r="R316" i="5"/>
  <c r="Q316" i="5"/>
  <c r="P316" i="5"/>
  <c r="R315" i="5"/>
  <c r="Q315" i="5"/>
  <c r="P315" i="5"/>
  <c r="R314" i="5"/>
  <c r="Q314" i="5"/>
  <c r="P314" i="5"/>
  <c r="R313" i="5"/>
  <c r="Q313" i="5"/>
  <c r="P313" i="5"/>
  <c r="R312" i="5"/>
  <c r="Q312" i="5"/>
  <c r="P312" i="5"/>
  <c r="R311" i="5"/>
  <c r="Q311" i="5"/>
  <c r="P311" i="5"/>
  <c r="R310" i="5"/>
  <c r="Q310" i="5"/>
  <c r="P310" i="5"/>
  <c r="R309" i="5"/>
  <c r="Q309" i="5"/>
  <c r="P309" i="5"/>
  <c r="R308" i="5"/>
  <c r="Q308" i="5"/>
  <c r="P308" i="5"/>
  <c r="R307" i="5"/>
  <c r="Q307" i="5"/>
  <c r="P307" i="5"/>
  <c r="R306" i="5"/>
  <c r="Q306" i="5"/>
  <c r="P306" i="5"/>
  <c r="R305" i="5"/>
  <c r="Q305" i="5"/>
  <c r="P305" i="5"/>
  <c r="R304" i="5"/>
  <c r="Q304" i="5"/>
  <c r="P304" i="5"/>
  <c r="R303" i="5"/>
  <c r="Q303" i="5"/>
  <c r="P303" i="5"/>
  <c r="R302" i="5"/>
  <c r="Q302" i="5"/>
  <c r="P302" i="5"/>
  <c r="R301" i="5"/>
  <c r="Q301" i="5"/>
  <c r="P301" i="5"/>
  <c r="R300" i="5"/>
  <c r="Q300" i="5"/>
  <c r="P300" i="5"/>
  <c r="R299" i="5"/>
  <c r="Q299" i="5"/>
  <c r="P299" i="5"/>
  <c r="R298" i="5"/>
  <c r="Q298" i="5"/>
  <c r="P298" i="5"/>
  <c r="R297" i="5"/>
  <c r="Q297" i="5"/>
  <c r="P297" i="5"/>
  <c r="R296" i="5"/>
  <c r="Q296" i="5"/>
  <c r="P296" i="5"/>
  <c r="R295" i="5"/>
  <c r="Q295" i="5"/>
  <c r="P295" i="5"/>
  <c r="R294" i="5"/>
  <c r="Q294" i="5"/>
  <c r="P294" i="5"/>
  <c r="R293" i="5"/>
  <c r="Q293" i="5"/>
  <c r="P293" i="5"/>
  <c r="R292" i="5"/>
  <c r="Q292" i="5"/>
  <c r="P292" i="5"/>
  <c r="R291" i="5"/>
  <c r="Q291" i="5"/>
  <c r="P291" i="5"/>
  <c r="R290" i="5"/>
  <c r="Q290" i="5"/>
  <c r="P290" i="5"/>
  <c r="R289" i="5"/>
  <c r="Q289" i="5"/>
  <c r="P289" i="5"/>
  <c r="R288" i="5"/>
  <c r="Q288" i="5"/>
  <c r="P288" i="5"/>
  <c r="R287" i="5"/>
  <c r="Q287" i="5"/>
  <c r="P287" i="5"/>
  <c r="R286" i="5"/>
  <c r="Q286" i="5"/>
  <c r="P286" i="5"/>
  <c r="R285" i="5"/>
  <c r="Q285" i="5"/>
  <c r="P285" i="5"/>
  <c r="R284" i="5"/>
  <c r="Q284" i="5"/>
  <c r="P284" i="5"/>
  <c r="R283" i="5"/>
  <c r="Q283" i="5"/>
  <c r="P283" i="5"/>
  <c r="R282" i="5"/>
  <c r="Q282" i="5"/>
  <c r="P282" i="5"/>
  <c r="R281" i="5"/>
  <c r="Q281" i="5"/>
  <c r="P281" i="5"/>
  <c r="R280" i="5"/>
  <c r="Q280" i="5"/>
  <c r="P280" i="5"/>
  <c r="R279" i="5"/>
  <c r="Q279" i="5"/>
  <c r="P279" i="5"/>
  <c r="R278" i="5"/>
  <c r="Q278" i="5"/>
  <c r="P278" i="5"/>
  <c r="R277" i="5"/>
  <c r="Q277" i="5"/>
  <c r="P277" i="5"/>
  <c r="R276" i="5"/>
  <c r="Q276" i="5"/>
  <c r="P276" i="5"/>
  <c r="R275" i="5"/>
  <c r="Q275" i="5"/>
  <c r="P275" i="5"/>
  <c r="R274" i="5"/>
  <c r="Q274" i="5"/>
  <c r="P274" i="5"/>
  <c r="R273" i="5"/>
  <c r="Q273" i="5"/>
  <c r="P273" i="5"/>
  <c r="R272" i="5"/>
  <c r="Q272" i="5"/>
  <c r="P272" i="5"/>
  <c r="R271" i="5"/>
  <c r="Q271" i="5"/>
  <c r="P271" i="5"/>
  <c r="R270" i="5"/>
  <c r="Q270" i="5"/>
  <c r="P270" i="5"/>
  <c r="R269" i="5"/>
  <c r="Q269" i="5"/>
  <c r="P269" i="5"/>
  <c r="R268" i="5"/>
  <c r="Q268" i="5"/>
  <c r="P268" i="5"/>
  <c r="R267" i="5"/>
  <c r="Q267" i="5"/>
  <c r="P267" i="5"/>
  <c r="R266" i="5"/>
  <c r="Q266" i="5"/>
  <c r="P266" i="5"/>
  <c r="R265" i="5"/>
  <c r="Q265" i="5"/>
  <c r="P265" i="5"/>
  <c r="R264" i="5"/>
  <c r="Q264" i="5"/>
  <c r="P264" i="5"/>
  <c r="R263" i="5"/>
  <c r="Q263" i="5"/>
  <c r="P263" i="5"/>
  <c r="R262" i="5"/>
  <c r="Q262" i="5"/>
  <c r="P262" i="5"/>
  <c r="R261" i="5"/>
  <c r="Q261" i="5"/>
  <c r="P261" i="5"/>
  <c r="R260" i="5"/>
  <c r="Q260" i="5"/>
  <c r="P260" i="5"/>
  <c r="R259" i="5"/>
  <c r="Q259" i="5"/>
  <c r="P259" i="5"/>
  <c r="R258" i="5"/>
  <c r="Q258" i="5"/>
  <c r="P258" i="5"/>
  <c r="R257" i="5"/>
  <c r="Q257" i="5"/>
  <c r="P257" i="5"/>
  <c r="R256" i="5"/>
  <c r="Q256" i="5"/>
  <c r="P256" i="5"/>
  <c r="R255" i="5"/>
  <c r="Q255" i="5"/>
  <c r="P255" i="5"/>
  <c r="R254" i="5"/>
  <c r="Q254" i="5"/>
  <c r="P254" i="5"/>
  <c r="R253" i="5"/>
  <c r="Q253" i="5"/>
  <c r="P253" i="5"/>
  <c r="R252" i="5"/>
  <c r="Q252" i="5"/>
  <c r="P252" i="5"/>
  <c r="R251" i="5"/>
  <c r="Q251" i="5"/>
  <c r="P251" i="5"/>
  <c r="R250" i="5"/>
  <c r="Q250" i="5"/>
  <c r="P250" i="5"/>
  <c r="R249" i="5"/>
  <c r="Q249" i="5"/>
  <c r="P249" i="5"/>
  <c r="R248" i="5"/>
  <c r="Q248" i="5"/>
  <c r="P248" i="5"/>
  <c r="R247" i="5"/>
  <c r="Q247" i="5"/>
  <c r="P247" i="5"/>
  <c r="R246" i="5"/>
  <c r="Q246" i="5"/>
  <c r="P246" i="5"/>
  <c r="R245" i="5"/>
  <c r="Q245" i="5"/>
  <c r="P245" i="5"/>
  <c r="R244" i="5"/>
  <c r="Q244" i="5"/>
  <c r="P244" i="5"/>
  <c r="R243" i="5"/>
  <c r="Q243" i="5"/>
  <c r="P243" i="5"/>
  <c r="R242" i="5"/>
  <c r="Q242" i="5"/>
  <c r="P242" i="5"/>
  <c r="R241" i="5"/>
  <c r="Q241" i="5"/>
  <c r="P241" i="5"/>
  <c r="R240" i="5"/>
  <c r="Q240" i="5"/>
  <c r="P240" i="5"/>
  <c r="R239" i="5"/>
  <c r="Q239" i="5"/>
  <c r="P239" i="5"/>
  <c r="R238" i="5"/>
  <c r="Q238" i="5"/>
  <c r="P238" i="5"/>
  <c r="R237" i="5"/>
  <c r="Q237" i="5"/>
  <c r="P237" i="5"/>
  <c r="R236" i="5"/>
  <c r="Q236" i="5"/>
  <c r="P236" i="5"/>
  <c r="R235" i="5"/>
  <c r="Q235" i="5"/>
  <c r="P235" i="5"/>
  <c r="R234" i="5"/>
  <c r="Q234" i="5"/>
  <c r="P234" i="5"/>
  <c r="R233" i="5"/>
  <c r="Q233" i="5"/>
  <c r="P233" i="5"/>
  <c r="R232" i="5"/>
  <c r="Q232" i="5"/>
  <c r="P232" i="5"/>
  <c r="R231" i="5"/>
  <c r="Q231" i="5"/>
  <c r="P231" i="5"/>
  <c r="R230" i="5"/>
  <c r="Q230" i="5"/>
  <c r="P230" i="5"/>
  <c r="R229" i="5"/>
  <c r="Q229" i="5"/>
  <c r="P229" i="5"/>
  <c r="R228" i="5"/>
  <c r="Q228" i="5"/>
  <c r="P228" i="5"/>
  <c r="R227" i="5"/>
  <c r="Q227" i="5"/>
  <c r="P227" i="5"/>
  <c r="R226" i="5"/>
  <c r="Q226" i="5"/>
  <c r="P226" i="5"/>
  <c r="R225" i="5"/>
  <c r="Q225" i="5"/>
  <c r="P225" i="5"/>
  <c r="R224" i="5"/>
  <c r="Q224" i="5"/>
  <c r="P224" i="5"/>
  <c r="R223" i="5"/>
  <c r="Q223" i="5"/>
  <c r="P223" i="5"/>
  <c r="R222" i="5"/>
  <c r="Q222" i="5"/>
  <c r="P222" i="5"/>
  <c r="R221" i="5"/>
  <c r="Q221" i="5"/>
  <c r="P221" i="5"/>
  <c r="R220" i="5"/>
  <c r="Q220" i="5"/>
  <c r="P220" i="5"/>
  <c r="R219" i="5"/>
  <c r="Q219" i="5"/>
  <c r="P219" i="5"/>
  <c r="R218" i="5"/>
  <c r="Q218" i="5"/>
  <c r="P218" i="5"/>
  <c r="R217" i="5"/>
  <c r="Q217" i="5"/>
  <c r="P217" i="5"/>
  <c r="R216" i="5"/>
  <c r="Q216" i="5"/>
  <c r="P216" i="5"/>
  <c r="R215" i="5"/>
  <c r="Q215" i="5"/>
  <c r="P215" i="5"/>
  <c r="R214" i="5"/>
  <c r="Q214" i="5"/>
  <c r="P214" i="5"/>
  <c r="R213" i="5"/>
  <c r="Q213" i="5"/>
  <c r="P213" i="5"/>
  <c r="R212" i="5"/>
  <c r="Q212" i="5"/>
  <c r="P212" i="5"/>
  <c r="R211" i="5"/>
  <c r="Q211" i="5"/>
  <c r="P211" i="5"/>
  <c r="R210" i="5"/>
  <c r="Q210" i="5"/>
  <c r="P210" i="5"/>
  <c r="R209" i="5"/>
  <c r="Q209" i="5"/>
  <c r="P209" i="5"/>
  <c r="R208" i="5"/>
  <c r="Q208" i="5"/>
  <c r="P208" i="5"/>
  <c r="R207" i="5"/>
  <c r="Q207" i="5"/>
  <c r="P207" i="5"/>
  <c r="R206" i="5"/>
  <c r="Q206" i="5"/>
  <c r="P206" i="5"/>
  <c r="R205" i="5"/>
  <c r="Q205" i="5"/>
  <c r="P205" i="5"/>
  <c r="R204" i="5"/>
  <c r="Q204" i="5"/>
  <c r="P204" i="5"/>
  <c r="R203" i="5"/>
  <c r="Q203" i="5"/>
  <c r="P203" i="5"/>
  <c r="R202" i="5"/>
  <c r="Q202" i="5"/>
  <c r="P202" i="5"/>
  <c r="R201" i="5"/>
  <c r="Q201" i="5"/>
  <c r="P201" i="5"/>
  <c r="R200" i="5"/>
  <c r="Q200" i="5"/>
  <c r="P200" i="5"/>
  <c r="R199" i="5"/>
  <c r="Q199" i="5"/>
  <c r="P199" i="5"/>
  <c r="R198" i="5"/>
  <c r="Q198" i="5"/>
  <c r="P198" i="5"/>
  <c r="R197" i="5"/>
  <c r="Q197" i="5"/>
  <c r="P197" i="5"/>
  <c r="R196" i="5"/>
  <c r="Q196" i="5"/>
  <c r="P196" i="5"/>
  <c r="R195" i="5"/>
  <c r="Q195" i="5"/>
  <c r="P195" i="5"/>
  <c r="R194" i="5"/>
  <c r="Q194" i="5"/>
  <c r="P194" i="5"/>
  <c r="R193" i="5"/>
  <c r="Q193" i="5"/>
  <c r="P193" i="5"/>
  <c r="R192" i="5"/>
  <c r="Q192" i="5"/>
  <c r="P192" i="5"/>
  <c r="R191" i="5"/>
  <c r="Q191" i="5"/>
  <c r="P191" i="5"/>
  <c r="R190" i="5"/>
  <c r="Q190" i="5"/>
  <c r="P190" i="5"/>
  <c r="R189" i="5"/>
  <c r="Q189" i="5"/>
  <c r="P189" i="5"/>
  <c r="R188" i="5"/>
  <c r="Q188" i="5"/>
  <c r="P188" i="5"/>
  <c r="R187" i="5"/>
  <c r="Q187" i="5"/>
  <c r="P187" i="5"/>
  <c r="R186" i="5"/>
  <c r="Q186" i="5"/>
  <c r="P186" i="5"/>
  <c r="R185" i="5"/>
  <c r="Q185" i="5"/>
  <c r="P185" i="5"/>
  <c r="R184" i="5"/>
  <c r="Q184" i="5"/>
  <c r="P184" i="5"/>
  <c r="R183" i="5"/>
  <c r="Q183" i="5"/>
  <c r="P183" i="5"/>
  <c r="R182" i="5"/>
  <c r="Q182" i="5"/>
  <c r="P182" i="5"/>
  <c r="R181" i="5"/>
  <c r="Q181" i="5"/>
  <c r="P181" i="5"/>
  <c r="R180" i="5"/>
  <c r="Q180" i="5"/>
  <c r="P180" i="5"/>
  <c r="R179" i="5"/>
  <c r="Q179" i="5"/>
  <c r="P179" i="5"/>
  <c r="R178" i="5"/>
  <c r="Q178" i="5"/>
  <c r="P178" i="5"/>
  <c r="R177" i="5"/>
  <c r="Q177" i="5"/>
  <c r="P177" i="5"/>
  <c r="R176" i="5"/>
  <c r="Q176" i="5"/>
  <c r="P176" i="5"/>
  <c r="R175" i="5"/>
  <c r="Q175" i="5"/>
  <c r="P175" i="5"/>
  <c r="R174" i="5"/>
  <c r="Q174" i="5"/>
  <c r="P174" i="5"/>
  <c r="R173" i="5"/>
  <c r="Q173" i="5"/>
  <c r="P173" i="5"/>
  <c r="R172" i="5"/>
  <c r="Q172" i="5"/>
  <c r="P172" i="5"/>
  <c r="R171" i="5"/>
  <c r="Q171" i="5"/>
  <c r="P171" i="5"/>
  <c r="R170" i="5"/>
  <c r="Q170" i="5"/>
  <c r="P170" i="5"/>
  <c r="R169" i="5"/>
  <c r="Q169" i="5"/>
  <c r="P169" i="5"/>
  <c r="R168" i="5"/>
  <c r="Q168" i="5"/>
  <c r="P168" i="5"/>
  <c r="R167" i="5"/>
  <c r="Q167" i="5"/>
  <c r="P167" i="5"/>
  <c r="R166" i="5"/>
  <c r="Q166" i="5"/>
  <c r="P166" i="5"/>
  <c r="R165" i="5"/>
  <c r="Q165" i="5"/>
  <c r="P165" i="5"/>
  <c r="R164" i="5"/>
  <c r="Q164" i="5"/>
  <c r="P164" i="5"/>
  <c r="R163" i="5"/>
  <c r="Q163" i="5"/>
  <c r="P163" i="5"/>
  <c r="R162" i="5"/>
  <c r="Q162" i="5"/>
  <c r="P162" i="5"/>
  <c r="R161" i="5"/>
  <c r="Q161" i="5"/>
  <c r="P161" i="5"/>
  <c r="R160" i="5"/>
  <c r="Q160" i="5"/>
  <c r="P160" i="5"/>
  <c r="R159" i="5"/>
  <c r="Q159" i="5"/>
  <c r="P159" i="5"/>
  <c r="R158" i="5"/>
  <c r="Q158" i="5"/>
  <c r="P158" i="5"/>
  <c r="R157" i="5"/>
  <c r="Q157" i="5"/>
  <c r="P157" i="5"/>
  <c r="R156" i="5"/>
  <c r="Q156" i="5"/>
  <c r="P156" i="5"/>
  <c r="R155" i="5"/>
  <c r="Q155" i="5"/>
  <c r="P155" i="5"/>
  <c r="R154" i="5"/>
  <c r="Q154" i="5"/>
  <c r="P154" i="5"/>
  <c r="R153" i="5"/>
  <c r="Q153" i="5"/>
  <c r="P153" i="5"/>
  <c r="R152" i="5"/>
  <c r="Q152" i="5"/>
  <c r="P152" i="5"/>
  <c r="R151" i="5"/>
  <c r="Q151" i="5"/>
  <c r="P151" i="5"/>
  <c r="R150" i="5"/>
  <c r="Q150" i="5"/>
  <c r="P150" i="5"/>
  <c r="R149" i="5"/>
  <c r="Q149" i="5"/>
  <c r="P149" i="5"/>
  <c r="R148" i="5"/>
  <c r="Q148" i="5"/>
  <c r="P148" i="5"/>
  <c r="R147" i="5"/>
  <c r="Q147" i="5"/>
  <c r="P147" i="5"/>
  <c r="R146" i="5"/>
  <c r="Q146" i="5"/>
  <c r="P146" i="5"/>
  <c r="R145" i="5"/>
  <c r="Q145" i="5"/>
  <c r="P145" i="5"/>
  <c r="R144" i="5"/>
  <c r="Q144" i="5"/>
  <c r="P144" i="5"/>
  <c r="R143" i="5"/>
  <c r="Q143" i="5"/>
  <c r="P143" i="5"/>
  <c r="R142" i="5"/>
  <c r="Q142" i="5"/>
  <c r="P142" i="5"/>
  <c r="R141" i="5"/>
  <c r="Q141" i="5"/>
  <c r="P141" i="5"/>
  <c r="R140" i="5"/>
  <c r="Q140" i="5"/>
  <c r="P140" i="5"/>
  <c r="R139" i="5"/>
  <c r="Q139" i="5"/>
  <c r="P139" i="5"/>
  <c r="R138" i="5"/>
  <c r="Q138" i="5"/>
  <c r="P138" i="5"/>
  <c r="R137" i="5"/>
  <c r="Q137" i="5"/>
  <c r="P137" i="5"/>
  <c r="R136" i="5"/>
  <c r="Q136" i="5"/>
  <c r="P136" i="5"/>
  <c r="R135" i="5"/>
  <c r="Q135" i="5"/>
  <c r="P135" i="5"/>
  <c r="R134" i="5"/>
  <c r="Q134" i="5"/>
  <c r="P134" i="5"/>
  <c r="R133" i="5"/>
  <c r="Q133" i="5"/>
  <c r="P133" i="5"/>
  <c r="R132" i="5"/>
  <c r="Q132" i="5"/>
  <c r="P132" i="5"/>
  <c r="R131" i="5"/>
  <c r="Q131" i="5"/>
  <c r="P131" i="5"/>
  <c r="R130" i="5"/>
  <c r="Q130" i="5"/>
  <c r="P130" i="5"/>
  <c r="R129" i="5"/>
  <c r="Q129" i="5"/>
  <c r="P129" i="5"/>
  <c r="R128" i="5"/>
  <c r="Q128" i="5"/>
  <c r="P128" i="5"/>
  <c r="R127" i="5"/>
  <c r="Q127" i="5"/>
  <c r="P127" i="5"/>
  <c r="R126" i="5"/>
  <c r="Q126" i="5"/>
  <c r="P126" i="5"/>
  <c r="R125" i="5"/>
  <c r="Q125" i="5"/>
  <c r="P125" i="5"/>
  <c r="R124" i="5"/>
  <c r="Q124" i="5"/>
  <c r="P124" i="5"/>
  <c r="R123" i="5"/>
  <c r="Q123" i="5"/>
  <c r="P123" i="5"/>
  <c r="R122" i="5"/>
  <c r="Q122" i="5"/>
  <c r="P122" i="5"/>
  <c r="R121" i="5"/>
  <c r="Q121" i="5"/>
  <c r="P121" i="5"/>
  <c r="R120" i="5"/>
  <c r="Q120" i="5"/>
  <c r="P120" i="5"/>
  <c r="R119" i="5"/>
  <c r="Q119" i="5"/>
  <c r="P119" i="5"/>
  <c r="R118" i="5"/>
  <c r="Q118" i="5"/>
  <c r="P118" i="5"/>
  <c r="R117" i="5"/>
  <c r="Q117" i="5"/>
  <c r="P117" i="5"/>
  <c r="R116" i="5"/>
  <c r="Q116" i="5"/>
  <c r="P116" i="5"/>
  <c r="R115" i="5"/>
  <c r="Q115" i="5"/>
  <c r="P115" i="5"/>
  <c r="R114" i="5"/>
  <c r="Q114" i="5"/>
  <c r="P114" i="5"/>
  <c r="R113" i="5"/>
  <c r="Q113" i="5"/>
  <c r="P113" i="5"/>
  <c r="R112" i="5"/>
  <c r="Q112" i="5"/>
  <c r="P112" i="5"/>
  <c r="R111" i="5"/>
  <c r="Q111" i="5"/>
  <c r="P111" i="5"/>
  <c r="R110" i="5"/>
  <c r="Q110" i="5"/>
  <c r="P110" i="5"/>
  <c r="R109" i="5"/>
  <c r="Q109" i="5"/>
  <c r="P109" i="5"/>
  <c r="R108" i="5"/>
  <c r="Q108" i="5"/>
  <c r="P108" i="5"/>
  <c r="R107" i="5"/>
  <c r="Q107" i="5"/>
  <c r="P107" i="5"/>
  <c r="R106" i="5"/>
  <c r="Q106" i="5"/>
  <c r="P106" i="5"/>
  <c r="R105" i="5"/>
  <c r="Q105" i="5"/>
  <c r="P105" i="5"/>
  <c r="R104" i="5"/>
  <c r="Q104" i="5"/>
  <c r="P104" i="5"/>
  <c r="R103" i="5"/>
  <c r="Q103" i="5"/>
  <c r="P103" i="5"/>
  <c r="R102" i="5"/>
  <c r="Q102" i="5"/>
  <c r="P102" i="5"/>
  <c r="R101" i="5"/>
  <c r="Q101" i="5"/>
  <c r="P101" i="5"/>
  <c r="R100" i="5"/>
  <c r="Q100" i="5"/>
  <c r="P100" i="5"/>
  <c r="R99" i="5"/>
  <c r="Q99" i="5"/>
  <c r="P99" i="5"/>
  <c r="R98" i="5"/>
  <c r="Q98" i="5"/>
  <c r="P98" i="5"/>
  <c r="R97" i="5"/>
  <c r="Q97" i="5"/>
  <c r="P97" i="5"/>
  <c r="R96" i="5"/>
  <c r="Q96" i="5"/>
  <c r="P96" i="5"/>
  <c r="R95" i="5"/>
  <c r="Q95" i="5"/>
  <c r="P95" i="5"/>
  <c r="R94" i="5"/>
  <c r="Q94" i="5"/>
  <c r="P94" i="5"/>
  <c r="R93" i="5"/>
  <c r="Q93" i="5"/>
  <c r="P93" i="5"/>
  <c r="R92" i="5"/>
  <c r="Q92" i="5"/>
  <c r="P92" i="5"/>
  <c r="R91" i="5"/>
  <c r="Q91" i="5"/>
  <c r="P91" i="5"/>
  <c r="R90" i="5"/>
  <c r="Q90" i="5"/>
  <c r="P90" i="5"/>
  <c r="R89" i="5"/>
  <c r="Q89" i="5"/>
  <c r="P89" i="5"/>
  <c r="R88" i="5"/>
  <c r="Q88" i="5"/>
  <c r="P88" i="5"/>
  <c r="R87" i="5"/>
  <c r="Q87" i="5"/>
  <c r="P87" i="5"/>
  <c r="R86" i="5"/>
  <c r="Q86" i="5"/>
  <c r="P86" i="5"/>
  <c r="R85" i="5"/>
  <c r="Q85" i="5"/>
  <c r="P85" i="5"/>
  <c r="R84" i="5"/>
  <c r="Q84" i="5"/>
  <c r="P84" i="5"/>
  <c r="R83" i="5"/>
  <c r="Q83" i="5"/>
  <c r="P83" i="5"/>
  <c r="R82" i="5"/>
  <c r="Q82" i="5"/>
  <c r="P82" i="5"/>
  <c r="R81" i="5"/>
  <c r="Q81" i="5"/>
  <c r="P81" i="5"/>
  <c r="R80" i="5"/>
  <c r="Q80" i="5"/>
  <c r="P80" i="5"/>
  <c r="R79" i="5"/>
  <c r="Q79" i="5"/>
  <c r="P79" i="5"/>
  <c r="R78" i="5"/>
  <c r="Q78" i="5"/>
  <c r="P78" i="5"/>
  <c r="R77" i="5"/>
  <c r="Q77" i="5"/>
  <c r="P77" i="5"/>
  <c r="R76" i="5"/>
  <c r="Q76" i="5"/>
  <c r="P76" i="5"/>
  <c r="R75" i="5"/>
  <c r="Q75" i="5"/>
  <c r="P75" i="5"/>
  <c r="R74" i="5"/>
  <c r="Q74" i="5"/>
  <c r="P74" i="5"/>
  <c r="R73" i="5"/>
  <c r="Q73" i="5"/>
  <c r="P73" i="5"/>
  <c r="R72" i="5"/>
  <c r="Q72" i="5"/>
  <c r="P72" i="5"/>
  <c r="R71" i="5"/>
  <c r="Q71" i="5"/>
  <c r="P71" i="5"/>
  <c r="R70" i="5"/>
  <c r="Q70" i="5"/>
  <c r="P70" i="5"/>
  <c r="R69" i="5"/>
  <c r="Q69" i="5"/>
  <c r="P69" i="5"/>
  <c r="R68" i="5"/>
  <c r="Q68" i="5"/>
  <c r="P68" i="5"/>
  <c r="R67" i="5"/>
  <c r="Q67" i="5"/>
  <c r="P67" i="5"/>
  <c r="R66" i="5"/>
  <c r="Q66" i="5"/>
  <c r="P66" i="5"/>
  <c r="R65" i="5"/>
  <c r="Q65" i="5"/>
  <c r="P65" i="5"/>
  <c r="R64" i="5"/>
  <c r="Q64" i="5"/>
  <c r="P64" i="5"/>
  <c r="R63" i="5"/>
  <c r="Q63" i="5"/>
  <c r="P63" i="5"/>
  <c r="R62" i="5"/>
  <c r="Q62" i="5"/>
  <c r="P62" i="5"/>
  <c r="R61" i="5"/>
  <c r="Q61" i="5"/>
  <c r="P61" i="5"/>
  <c r="R60" i="5"/>
  <c r="Q60" i="5"/>
  <c r="P60" i="5"/>
  <c r="R59" i="5"/>
  <c r="Q59" i="5"/>
  <c r="P59" i="5"/>
  <c r="R58" i="5"/>
  <c r="Q58" i="5"/>
  <c r="P58" i="5"/>
  <c r="R57" i="5"/>
  <c r="Q57" i="5"/>
  <c r="P57" i="5"/>
  <c r="R56" i="5"/>
  <c r="Q56" i="5"/>
  <c r="P56" i="5"/>
  <c r="R55" i="5"/>
  <c r="Q55" i="5"/>
  <c r="P55" i="5"/>
  <c r="R54" i="5"/>
  <c r="Q54" i="5"/>
  <c r="P54" i="5"/>
  <c r="R53" i="5"/>
  <c r="Q53" i="5"/>
  <c r="P53" i="5"/>
  <c r="R52" i="5"/>
  <c r="Q52" i="5"/>
  <c r="P52" i="5"/>
  <c r="R51" i="5"/>
  <c r="Q51" i="5"/>
  <c r="P51" i="5"/>
  <c r="R50" i="5"/>
  <c r="Q50" i="5"/>
  <c r="P50" i="5"/>
  <c r="R49" i="5"/>
  <c r="Q49" i="5"/>
  <c r="P49" i="5"/>
  <c r="R48" i="5"/>
  <c r="Q48" i="5"/>
  <c r="P48" i="5"/>
  <c r="R47" i="5"/>
  <c r="Q47" i="5"/>
  <c r="P47" i="5"/>
  <c r="R46" i="5"/>
  <c r="Q46" i="5"/>
  <c r="P46" i="5"/>
  <c r="R45" i="5"/>
  <c r="Q45" i="5"/>
  <c r="P45" i="5"/>
  <c r="R44" i="5"/>
  <c r="Q44" i="5"/>
  <c r="P44" i="5"/>
  <c r="R43" i="5"/>
  <c r="Q43" i="5"/>
  <c r="P43" i="5"/>
  <c r="R42" i="5"/>
  <c r="Q42" i="5"/>
  <c r="P42" i="5"/>
  <c r="R41" i="5"/>
  <c r="Q41" i="5"/>
  <c r="P41" i="5"/>
  <c r="R40" i="5"/>
  <c r="Q40" i="5"/>
  <c r="P40" i="5"/>
  <c r="R39" i="5"/>
  <c r="Q39" i="5"/>
  <c r="P39" i="5"/>
  <c r="R38" i="5"/>
  <c r="Q38" i="5"/>
  <c r="P38" i="5"/>
  <c r="R37" i="5"/>
  <c r="Q37" i="5"/>
  <c r="P37" i="5"/>
  <c r="R36" i="5"/>
  <c r="Q36" i="5"/>
  <c r="P36" i="5"/>
  <c r="R35" i="5"/>
  <c r="Q35" i="5"/>
  <c r="P35" i="5"/>
  <c r="R34" i="5"/>
  <c r="Q34" i="5"/>
  <c r="P34" i="5"/>
  <c r="R33" i="5"/>
  <c r="Q33" i="5"/>
  <c r="P33" i="5"/>
  <c r="R32" i="5"/>
  <c r="Q32" i="5"/>
  <c r="P32" i="5"/>
  <c r="R31" i="5"/>
  <c r="Q31" i="5"/>
  <c r="P31" i="5"/>
  <c r="R30" i="5"/>
  <c r="Q30" i="5"/>
  <c r="P30" i="5"/>
  <c r="R29" i="5"/>
  <c r="Q29" i="5"/>
  <c r="P29" i="5"/>
  <c r="R28" i="5"/>
  <c r="Q28" i="5"/>
  <c r="P28" i="5"/>
  <c r="R27" i="5"/>
  <c r="Q27" i="5"/>
  <c r="P27" i="5"/>
  <c r="R26" i="5"/>
  <c r="Q26" i="5"/>
  <c r="P26" i="5"/>
  <c r="R25" i="5"/>
  <c r="Q25" i="5"/>
  <c r="P25" i="5"/>
  <c r="R24" i="5"/>
  <c r="Q24" i="5"/>
  <c r="P24" i="5"/>
  <c r="R23" i="5"/>
  <c r="Q23" i="5"/>
  <c r="P23" i="5"/>
  <c r="R22" i="5"/>
  <c r="Q22" i="5"/>
  <c r="P22" i="5"/>
  <c r="R21" i="5"/>
  <c r="Q21" i="5"/>
  <c r="P21" i="5"/>
  <c r="R20" i="5"/>
  <c r="Q20" i="5"/>
  <c r="P20" i="5"/>
  <c r="R19" i="5"/>
  <c r="Q19" i="5"/>
  <c r="P19" i="5"/>
  <c r="R18" i="5"/>
  <c r="Q18" i="5"/>
  <c r="P18" i="5"/>
  <c r="R17" i="5"/>
  <c r="Q17" i="5"/>
  <c r="P17" i="5"/>
  <c r="R16" i="5"/>
  <c r="Q16" i="5"/>
  <c r="P16" i="5"/>
  <c r="R15" i="5"/>
  <c r="Q15" i="5"/>
  <c r="P15" i="5"/>
  <c r="R14" i="5"/>
  <c r="Q14" i="5"/>
  <c r="P14" i="5"/>
  <c r="R13" i="5"/>
  <c r="Q13" i="5"/>
  <c r="P13" i="5"/>
  <c r="R12" i="5"/>
  <c r="Q12" i="5"/>
  <c r="P12" i="5"/>
  <c r="R11" i="5"/>
  <c r="Q11" i="5"/>
  <c r="P11" i="5"/>
  <c r="R10" i="5"/>
  <c r="Q10" i="5"/>
  <c r="P10" i="5"/>
  <c r="R9" i="5"/>
  <c r="Q9" i="5"/>
  <c r="P9" i="5"/>
  <c r="R8" i="5"/>
  <c r="Q8" i="5"/>
  <c r="P8" i="5"/>
  <c r="R7" i="5"/>
  <c r="Q7" i="5"/>
  <c r="P7" i="5"/>
  <c r="R6" i="5"/>
  <c r="Q6" i="5"/>
  <c r="P6" i="5"/>
  <c r="R5" i="5"/>
  <c r="Q5" i="5"/>
  <c r="P5" i="5"/>
  <c r="R4" i="5"/>
  <c r="Q4" i="5"/>
  <c r="P4" i="5"/>
  <c r="R3" i="5"/>
  <c r="Q3" i="5"/>
  <c r="P3" i="5"/>
  <c r="X2" i="5"/>
  <c r="V2" i="5"/>
  <c r="R2" i="5"/>
  <c r="Q2" i="5"/>
  <c r="P2" i="5"/>
  <c r="F7" i="6"/>
  <c r="F6" i="6"/>
  <c r="F5" i="6"/>
  <c r="F4" i="6"/>
  <c r="F3" i="6"/>
  <c r="BI14" i="10"/>
  <c r="BH14" i="10"/>
  <c r="BG14" i="10"/>
  <c r="BF14" i="10"/>
  <c r="BI13" i="10"/>
  <c r="BH13" i="10"/>
  <c r="BG13" i="10"/>
  <c r="BF13" i="10"/>
  <c r="BI12" i="10"/>
  <c r="BH12" i="10"/>
  <c r="BG12" i="10"/>
  <c r="BF12" i="10"/>
  <c r="BI11" i="10"/>
  <c r="BH11" i="10"/>
  <c r="BG11" i="10"/>
  <c r="BF11" i="10"/>
  <c r="BI10" i="10"/>
  <c r="BH10" i="10"/>
  <c r="BG10" i="10"/>
  <c r="BF10" i="10"/>
  <c r="J6" i="10"/>
  <c r="I6" i="10"/>
  <c r="H6" i="10"/>
  <c r="G6" i="10"/>
  <c r="J5" i="10"/>
  <c r="I5" i="10"/>
  <c r="H5" i="10"/>
  <c r="G5" i="10"/>
  <c r="J4" i="10"/>
  <c r="I4" i="10"/>
  <c r="H4" i="10"/>
  <c r="G4" i="10"/>
  <c r="J3" i="10"/>
  <c r="I3" i="10"/>
  <c r="H3" i="10"/>
  <c r="G3" i="10"/>
  <c r="J2" i="10"/>
  <c r="I2" i="10"/>
  <c r="H2" i="10"/>
  <c r="G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549A40-7BF2-4BA9-9629-98AFE1A0BB30}" keepAlive="1" name="Query - EPe BA intern assesment Raw data - Sheet1" description="Connection to the 'EPe BA intern assesment Raw data - Sheet1' query in the workbook." type="5" refreshedVersion="8" background="1" saveData="1">
    <dbPr connection="Provider=Microsoft.Mashup.OleDb.1;Data Source=$Workbook$;Location=&quot;EPe BA intern assesment Raw data - Sheet1&quot;;Extended Properties=&quot;&quot;" command="SELECT * FROM [EPe BA intern assesment Raw data - Sheet1]"/>
  </connection>
  <connection id="2" xr16:uid="{34770C92-AB62-4A88-A028-48121A58EEC7}" keepAlive="1" name="Query - EPe BA intern assesment Raw data - Sheet1 (2)" description="Connection to the 'EPe BA intern assesment Raw data - Sheet1 (2)' query in the workbook." type="5" refreshedVersion="8" background="1" saveData="1">
    <dbPr connection="Provider=Microsoft.Mashup.OleDb.1;Data Source=$Workbook$;Location=&quot;EPe BA intern assesment Raw data - Sheet1 (2)&quot;;Extended Properties=&quot;&quot;" command="SELECT * FROM [EPe BA intern assesment Raw data - Sheet1 (2)]"/>
  </connection>
  <connection id="3" xr16:uid="{FF916711-A72D-4E85-A342-C58BEA2C701B}"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 id="4" xr16:uid="{D92931AC-6C2F-4905-B661-A2CB49EFC8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348BD9E-5416-4C19-814F-BD5C9D094825}" name="WorksheetConnection_New Microsoft Excel Worksheet.xlsx!EPe_BA_intern_assesment_Raw_data___Sheet1" type="102" refreshedVersion="8" minRefreshableVersion="5">
    <extLst>
      <ext xmlns:x15="http://schemas.microsoft.com/office/spreadsheetml/2010/11/main" uri="{DE250136-89BD-433C-8126-D09CA5730AF9}">
        <x15:connection id="EPe_BA_intern_assesment_Raw_data___Sheet1" autoDelete="1">
          <x15:rangePr sourceName="_xlcn.WorksheetConnection_NewMicrosoftExcelWorksheet.xlsxEPe_BA_intern_assesment_Raw_data___Sheet11"/>
        </x15:connection>
      </ext>
    </extLst>
  </connection>
</connections>
</file>

<file path=xl/sharedStrings.xml><?xml version="1.0" encoding="utf-8"?>
<sst xmlns="http://schemas.openxmlformats.org/spreadsheetml/2006/main" count="10880" uniqueCount="1064">
  <si>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</si>
  <si>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</si>
  <si>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</si>
  <si>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</si>
  <si>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</si>
  <si>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</si>
  <si>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</si>
  <si>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</si>
  <si>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</si>
  <si>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</si>
  <si>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</si>
  <si>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</si>
  <si>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</si>
  <si>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</si>
  <si>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TAT Overall(days)</t>
  </si>
  <si>
    <t>L1000</t>
  </si>
  <si>
    <t>Bangalore MBC</t>
  </si>
  <si>
    <t>Warm</t>
  </si>
  <si>
    <t>No</t>
  </si>
  <si>
    <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</si>
  <si>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</si>
  <si>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</si>
  <si>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</si>
  <si>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</si>
  <si>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</si>
  <si>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</si>
  <si>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</si>
  <si>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</si>
  <si>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</si>
  <si>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</si>
  <si>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</si>
  <si>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</si>
  <si>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</si>
  <si>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</si>
  <si>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</si>
  <si>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</si>
  <si>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</si>
  <si>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</si>
  <si>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</si>
  <si>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</si>
  <si>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</si>
  <si>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</si>
  <si>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</si>
  <si>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</si>
  <si>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</si>
  <si>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</si>
  <si>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</si>
  <si>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</si>
  <si>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</si>
  <si>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</si>
  <si>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</si>
  <si>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</si>
  <si>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</si>
  <si>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</si>
  <si>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</si>
  <si>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</si>
  <si>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</si>
  <si>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</si>
  <si>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</si>
  <si>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</si>
  <si>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</si>
  <si>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</si>
  <si>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</si>
  <si>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</si>
  <si>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</si>
  <si>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</si>
  <si>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</si>
  <si>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</si>
  <si>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</si>
  <si>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</si>
  <si>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</si>
  <si>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</si>
  <si>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</si>
  <si>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</si>
  <si>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</si>
  <si>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</si>
  <si>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</si>
  <si>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</si>
  <si>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</si>
  <si>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</si>
  <si>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</si>
  <si>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</si>
  <si>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</si>
  <si>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</si>
  <si>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</si>
  <si>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</si>
  <si>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</si>
  <si>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</si>
  <si>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</si>
  <si>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</si>
  <si>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</si>
  <si>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</si>
  <si>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</si>
  <si>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</si>
  <si>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</si>
  <si>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</si>
  <si>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</si>
  <si>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</si>
  <si>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</si>
  <si>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</si>
  <si>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</si>
  <si>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</si>
  <si>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</si>
  <si>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</si>
  <si>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</si>
  <si>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</si>
  <si>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</si>
  <si>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</si>
  <si>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</si>
  <si>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</si>
  <si>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</si>
  <si>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</si>
  <si>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</si>
  <si>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</si>
  <si>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</si>
  <si>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</si>
  <si>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</si>
  <si>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</si>
  <si>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</si>
  <si>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</si>
  <si>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</si>
  <si>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</si>
  <si>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</si>
  <si>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</si>
  <si>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</si>
  <si>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</si>
  <si>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</si>
  <si>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</si>
  <si>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</si>
  <si>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</si>
  <si>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</si>
  <si>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</si>
  <si>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</si>
  <si>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</si>
  <si>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</si>
  <si>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</si>
  <si>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</si>
  <si>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</si>
  <si>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</si>
  <si>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</si>
  <si>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</si>
  <si>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</si>
  <si>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</si>
  <si>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</si>
  <si>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</si>
  <si>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</si>
  <si>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</si>
  <si>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</si>
  <si>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</si>
  <si>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</si>
  <si>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</si>
  <si>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</si>
  <si>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</si>
  <si>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</si>
  <si>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</si>
  <si>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</si>
  <si>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</si>
  <si>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</si>
  <si>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</si>
  <si>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</si>
  <si>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</si>
  <si>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</si>
  <si>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</si>
  <si>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</si>
  <si>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</si>
  <si>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</si>
  <si>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</si>
  <si>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</si>
  <si>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</si>
  <si>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</si>
  <si>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</si>
  <si>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</si>
  <si>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</si>
  <si>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</si>
  <si>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</si>
  <si>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</si>
  <si>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</si>
  <si>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</si>
  <si>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</si>
  <si>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</si>
  <si>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</si>
  <si>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</si>
  <si>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</si>
  <si>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</si>
  <si>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</si>
  <si>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</si>
  <si>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</si>
  <si>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</si>
  <si>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</si>
  <si>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</si>
  <si>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</si>
  <si>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</si>
  <si>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</si>
  <si>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</si>
  <si>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</si>
  <si>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</si>
  <si>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</si>
  <si>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</si>
  <si>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</si>
  <si>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</si>
  <si>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</si>
  <si>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</si>
  <si>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</si>
  <si>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</si>
  <si>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</si>
  <si>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</si>
  <si>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</si>
  <si>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</si>
  <si>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</si>
  <si>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</si>
  <si>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</si>
  <si>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</si>
  <si>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</si>
  <si>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</si>
  <si>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</si>
  <si>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</si>
  <si>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</si>
  <si>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</si>
  <si>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</si>
  <si>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</si>
  <si>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</si>
  <si>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</si>
  <si>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</si>
  <si>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</si>
  <si>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</si>
  <si>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</si>
  <si>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</si>
  <si>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</si>
  <si>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</si>
  <si>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</si>
  <si>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</si>
  <si>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</si>
  <si>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</si>
  <si>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</si>
  <si>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</si>
  <si>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</si>
  <si>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</si>
  <si>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</si>
  <si>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</si>
  <si>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</si>
  <si>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</si>
  <si>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</si>
  <si>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</si>
  <si>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</si>
  <si>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</si>
  <si>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</si>
  <si>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</si>
  <si>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</si>
  <si>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</si>
  <si>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</si>
  <si>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</si>
  <si>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</si>
  <si>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</si>
  <si>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</si>
  <si>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</si>
  <si>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</si>
  <si>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</si>
  <si>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</si>
  <si>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</si>
  <si>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</si>
  <si>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</si>
  <si>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</si>
  <si>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</si>
  <si>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</si>
  <si>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</si>
  <si>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</si>
  <si>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</si>
  <si>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</si>
  <si>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</si>
  <si>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</si>
  <si>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</si>
  <si>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</si>
  <si>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</si>
  <si>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</si>
  <si>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</si>
  <si>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</si>
  <si>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</si>
  <si>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</si>
  <si>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</si>
  <si>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</si>
  <si>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</si>
  <si>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</si>
  <si>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</si>
  <si>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</si>
  <si>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</si>
  <si>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</si>
  <si>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</si>
  <si>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</si>
  <si>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</si>
  <si>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</si>
  <si>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</si>
  <si>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</si>
  <si>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</si>
  <si>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</si>
  <si>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</si>
  <si>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</si>
  <si>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</si>
  <si>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</si>
  <si>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</si>
  <si>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</si>
  <si>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</si>
  <si>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</si>
  <si>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</si>
  <si>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</si>
  <si>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</si>
  <si>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</si>
  <si>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</si>
  <si>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</si>
  <si>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</si>
  <si>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</si>
  <si>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</si>
  <si>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</si>
  <si>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</si>
  <si>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</si>
  <si>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</si>
  <si>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</si>
  <si>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</si>
  <si>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</si>
  <si>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</si>
  <si>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</si>
  <si>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</si>
  <si>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</si>
  <si>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</si>
  <si>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</si>
  <si>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</si>
  <si>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</si>
  <si>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</si>
  <si>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</si>
  <si>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</si>
  <si>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</si>
  <si>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</si>
  <si>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</si>
  <si>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</si>
  <si>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</si>
  <si>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</si>
  <si>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</si>
  <si>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</si>
  <si>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</si>
  <si>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</si>
  <si>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</si>
  <si>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</si>
  <si>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</si>
  <si>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</si>
  <si>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</si>
  <si>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</si>
  <si>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</si>
  <si>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</si>
  <si>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</si>
  <si>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</si>
  <si>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</si>
  <si>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</si>
  <si>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</si>
  <si>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</si>
  <si>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</si>
  <si>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</si>
  <si>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</si>
  <si>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</si>
  <si>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</si>
  <si>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</si>
  <si>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</si>
  <si>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</si>
  <si>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</si>
  <si>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</si>
  <si>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</si>
  <si>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</si>
  <si>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</si>
  <si>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</si>
  <si>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</si>
  <si>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</si>
  <si>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</si>
  <si>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</si>
  <si>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</si>
  <si>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</si>
  <si>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</si>
  <si>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</si>
  <si>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</si>
  <si>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</si>
  <si>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</si>
  <si>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</si>
  <si>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</si>
  <si>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</si>
  <si>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</si>
  <si>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</si>
  <si>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</si>
  <si>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</si>
  <si>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</si>
  <si>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</si>
  <si>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</si>
  <si>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</si>
  <si>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</si>
  <si>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</si>
  <si>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</si>
  <si>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</si>
  <si>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</si>
  <si>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</si>
  <si>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</si>
  <si>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</si>
  <si>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</si>
  <si>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</si>
  <si>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</si>
  <si>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</si>
  <si>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</si>
  <si>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</si>
  <si>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</si>
  <si>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</si>
  <si>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</si>
  <si>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</si>
  <si>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</si>
  <si>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</si>
  <si>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</si>
  <si>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</si>
  <si>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</si>
  <si>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</si>
  <si>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</si>
  <si>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</si>
  <si>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</si>
  <si>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</si>
  <si>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</si>
  <si>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</si>
  <si>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</si>
  <si>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</si>
  <si>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</si>
  <si>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</si>
  <si>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</si>
  <si>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</si>
  <si>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</si>
  <si>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</si>
  <si>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</si>
  <si>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</si>
  <si>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</si>
  <si>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</si>
  <si>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</si>
  <si>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</si>
  <si>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</si>
  <si>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</si>
  <si>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</si>
  <si>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</si>
  <si>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</si>
  <si>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</si>
  <si>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</si>
  <si>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</si>
  <si>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</si>
  <si>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</si>
  <si>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</si>
  <si>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</si>
  <si>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</si>
  <si>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</si>
  <si>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</si>
  <si>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</si>
  <si>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</si>
  <si>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</si>
  <si>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</si>
  <si>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</si>
  <si>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</si>
  <si>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</si>
  <si>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</si>
  <si>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</si>
  <si>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</si>
  <si>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</si>
  <si>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</si>
  <si>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</si>
  <si>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</si>
  <si>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</si>
  <si>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</si>
  <si>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</si>
  <si>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</si>
  <si>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</si>
  <si>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</si>
  <si>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</si>
  <si>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</si>
  <si>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</si>
  <si>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</si>
  <si>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</si>
  <si>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</si>
  <si>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</si>
  <si>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</si>
  <si>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</si>
  <si>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</si>
  <si>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</si>
  <si>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</si>
  <si>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</si>
  <si>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</si>
  <si>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</si>
  <si>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</si>
  <si>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</si>
  <si>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</si>
  <si>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</si>
  <si>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</si>
  <si>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</si>
  <si>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</si>
  <si>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</si>
  <si>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</si>
  <si>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</si>
  <si>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</si>
  <si>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</si>
  <si>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</si>
  <si>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</si>
  <si>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</si>
  <si>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</si>
  <si>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</si>
  <si>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</si>
  <si>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</si>
  <si>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</si>
  <si>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</si>
  <si>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</si>
  <si>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</si>
  <si>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</si>
  <si>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</si>
  <si>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</si>
  <si>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</si>
  <si>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</si>
  <si>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</si>
  <si>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</si>
  <si>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</si>
  <si>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</si>
  <si>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</si>
  <si>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</si>
  <si>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</si>
  <si>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</si>
  <si>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</si>
  <si>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</si>
  <si>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</si>
  <si>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</si>
  <si>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</si>
  <si>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</si>
  <si>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</si>
  <si>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</si>
  <si>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</si>
  <si>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</si>
  <si>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</si>
  <si>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</si>
  <si>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</si>
  <si>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</si>
  <si>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</si>
  <si>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</si>
  <si>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</si>
  <si>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</si>
  <si>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</si>
  <si>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</si>
  <si>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</si>
  <si>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</si>
  <si>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</si>
  <si>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</si>
  <si>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</si>
  <si>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</si>
  <si>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</si>
  <si>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</si>
  <si>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</si>
  <si>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</si>
  <si>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</si>
  <si>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</si>
  <si>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</si>
  <si>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</si>
  <si>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</si>
  <si>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</si>
  <si>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</si>
  <si>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</si>
  <si>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</si>
  <si>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</si>
  <si>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</si>
  <si>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</si>
  <si>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</si>
  <si>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</si>
  <si>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</si>
  <si>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</si>
  <si>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</si>
  <si>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</si>
  <si>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</si>
  <si>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</si>
  <si>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</si>
  <si>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</si>
  <si>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</si>
  <si>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</si>
  <si>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</si>
  <si>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</si>
  <si>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</si>
  <si>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</si>
  <si>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</si>
  <si>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</si>
  <si>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</si>
  <si>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</si>
  <si>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</si>
  <si>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</si>
  <si>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</si>
  <si>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</si>
  <si>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</si>
  <si>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</si>
  <si>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</si>
  <si>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</si>
  <si>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</si>
  <si>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</si>
  <si>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</si>
  <si>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</si>
  <si>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</si>
  <si>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</si>
  <si>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</si>
  <si>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</si>
  <si>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</si>
  <si>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</si>
  <si>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</si>
  <si>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</si>
  <si>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</si>
  <si>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</si>
  <si>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</si>
  <si>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</si>
  <si>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</si>
  <si>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</si>
  <si>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</si>
  <si>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</si>
  <si>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</si>
  <si>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</si>
  <si>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</si>
  <si>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</si>
  <si>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</si>
  <si>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</si>
  <si>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</si>
  <si>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</si>
  <si>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</si>
  <si>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</si>
  <si>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</si>
  <si>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</si>
  <si>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</si>
  <si>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</si>
  <si>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</si>
  <si>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</si>
  <si>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</si>
  <si>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</si>
  <si>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</si>
  <si>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</si>
  <si>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</si>
  <si>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</si>
  <si>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</si>
  <si>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</si>
  <si>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</si>
  <si>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</si>
  <si>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</si>
  <si>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</si>
  <si>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</si>
  <si>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</si>
  <si>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</si>
  <si>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</si>
  <si>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</si>
  <si>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</si>
  <si>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</si>
  <si>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</si>
  <si>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</si>
  <si>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</si>
  <si>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</si>
  <si>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</si>
  <si>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</si>
  <si>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</si>
  <si>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</si>
  <si>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</si>
  <si>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</si>
  <si>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</si>
  <si>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</si>
  <si>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</si>
  <si>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</si>
  <si>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</si>
  <si>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</si>
  <si>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</si>
  <si>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</si>
  <si>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</si>
  <si>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</si>
  <si>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</si>
  <si>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</si>
  <si>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</si>
  <si>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</si>
  <si>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</si>
  <si>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</si>
  <si>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</si>
  <si>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</si>
  <si>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</si>
  <si>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</si>
  <si>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</si>
  <si>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</si>
  <si>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</si>
  <si>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</si>
  <si>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</si>
  <si>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</si>
  <si>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</si>
  <si>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</si>
  <si>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</si>
  <si>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</si>
  <si>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</si>
  <si>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</si>
  <si>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</si>
  <si>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</si>
  <si>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</si>
  <si>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</si>
  <si>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</si>
  <si>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</si>
  <si>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</si>
  <si>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</si>
  <si>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</si>
  <si>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</si>
  <si>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</si>
  <si>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</si>
  <si>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</si>
  <si>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</si>
  <si>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</si>
  <si>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</si>
  <si>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</si>
  <si>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</si>
  <si>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</si>
  <si>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</si>
  <si>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</si>
  <si>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</si>
  <si>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</si>
  <si>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</si>
  <si>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</si>
  <si>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</si>
  <si>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</si>
  <si>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</si>
  <si>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</si>
  <si>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</si>
  <si>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</si>
  <si>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</si>
  <si>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</si>
  <si>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</si>
  <si>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</si>
  <si>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</si>
  <si>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</si>
  <si>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</si>
  <si>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</si>
  <si>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</si>
  <si>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</si>
  <si>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</si>
  <si>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</si>
  <si>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</si>
  <si>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</si>
  <si>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</si>
  <si>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</si>
  <si>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</si>
  <si>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</si>
  <si>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</si>
  <si>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</si>
  <si>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</si>
  <si>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</si>
  <si>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</si>
  <si>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</si>
  <si>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</si>
  <si>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</si>
  <si>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</si>
  <si>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</si>
  <si>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</si>
  <si>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</si>
  <si>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</si>
  <si>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</si>
  <si>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</si>
  <si>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</si>
  <si>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</si>
  <si>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</si>
  <si>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</si>
  <si>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</si>
  <si>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</si>
  <si>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</si>
  <si>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</si>
  <si>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</si>
  <si>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</si>
  <si>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</si>
  <si>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</si>
  <si>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</si>
  <si>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</si>
  <si>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</si>
  <si>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</si>
  <si>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</si>
  <si>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</si>
  <si>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</si>
  <si>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</si>
  <si>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</si>
  <si>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</si>
  <si>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</si>
  <si>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</si>
  <si>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</si>
  <si>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</si>
  <si>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</si>
  <si>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</si>
  <si>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</si>
  <si>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</si>
  <si>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</si>
  <si>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</si>
  <si>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</si>
  <si>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</si>
  <si>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</si>
  <si>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</si>
  <si>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</si>
  <si>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</si>
  <si>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</si>
  <si>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</si>
  <si>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</si>
  <si>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</si>
  <si>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</si>
  <si>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</si>
  <si>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</si>
  <si>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</si>
  <si>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</si>
  <si>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</si>
  <si>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</si>
  <si>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</si>
  <si>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</si>
  <si>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</si>
  <si>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</si>
  <si>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</si>
  <si>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</si>
  <si>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</si>
  <si>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</si>
  <si>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</si>
  <si>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</si>
  <si>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</si>
  <si>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</si>
  <si>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</si>
  <si>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</si>
  <si>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</si>
  <si>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</si>
  <si>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</si>
  <si>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</si>
  <si>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</si>
  <si>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</si>
  <si>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</si>
  <si>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</si>
  <si>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</si>
  <si>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</si>
  <si>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</si>
  <si>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</si>
  <si>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</si>
  <si>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</si>
  <si>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</si>
  <si>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</si>
  <si>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</si>
  <si>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</si>
  <si>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</si>
  <si>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</si>
  <si>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</si>
  <si>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</si>
  <si>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</si>
  <si>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</si>
  <si>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</si>
  <si>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</si>
  <si>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</si>
  <si>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</si>
  <si>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</si>
  <si>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</si>
  <si>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</si>
  <si>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</si>
  <si>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</si>
  <si>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</si>
  <si>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</si>
  <si>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</si>
  <si>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</si>
  <si>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</si>
  <si>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</si>
  <si>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</si>
  <si>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</si>
  <si>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</si>
  <si>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</si>
  <si>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</si>
  <si>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</si>
  <si>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</si>
  <si>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</si>
  <si>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</si>
  <si>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</si>
  <si>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</si>
  <si>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</si>
  <si>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</si>
  <si>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</si>
  <si>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</si>
  <si>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</si>
  <si>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</si>
  <si>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</si>
  <si>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</si>
  <si>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</si>
  <si>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</si>
  <si>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</si>
  <si>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</si>
  <si>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</si>
  <si>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</si>
  <si>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</si>
  <si>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</si>
  <si>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</si>
  <si>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</si>
  <si>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</si>
  <si>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</si>
  <si>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</si>
  <si>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</si>
  <si>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</si>
  <si>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</si>
  <si>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</si>
  <si>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</si>
  <si>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</si>
  <si>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</si>
  <si>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</si>
  <si>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</si>
  <si>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</si>
  <si>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</si>
  <si>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</si>
  <si>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</si>
  <si>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</si>
  <si>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</si>
  <si>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</si>
  <si>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</si>
  <si>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</si>
  <si>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</si>
  <si>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</si>
  <si>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</si>
  <si>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</si>
  <si>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</si>
  <si>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</si>
  <si>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</si>
  <si>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</si>
  <si>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</si>
  <si>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</si>
  <si>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</si>
  <si>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</si>
  <si>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</si>
  <si>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</si>
  <si>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</si>
  <si>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</si>
  <si>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</si>
  <si>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</si>
  <si>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</si>
  <si>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</si>
  <si>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</si>
  <si>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</si>
  <si>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</si>
  <si>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</si>
  <si>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</si>
  <si>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</si>
  <si>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</si>
  <si>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</si>
  <si>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</si>
  <si>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</si>
  <si>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</si>
  <si>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</si>
  <si>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</si>
  <si>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</si>
  <si>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</si>
  <si>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</si>
  <si>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</si>
  <si>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</si>
  <si>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</si>
  <si>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</si>
  <si>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</si>
  <si>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</si>
  <si>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</si>
  <si>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</si>
  <si>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</si>
  <si>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</si>
  <si>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</si>
  <si>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</si>
  <si>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</si>
  <si>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</si>
  <si>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</si>
  <si>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</si>
  <si>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</si>
  <si>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</si>
  <si>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</si>
  <si>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</si>
  <si>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</si>
  <si>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</si>
  <si>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</si>
  <si>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</si>
  <si>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</si>
  <si>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</si>
  <si>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</si>
  <si>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</si>
  <si>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</si>
  <si>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</si>
  <si>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</si>
  <si>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</si>
  <si>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</si>
  <si>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</si>
  <si>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</si>
  <si>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</si>
  <si>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</si>
  <si>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</si>
  <si>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</si>
  <si>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</si>
  <si>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</si>
  <si>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</si>
  <si>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</si>
  <si>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</si>
  <si>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</si>
  <si>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</si>
  <si>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</si>
  <si>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</si>
  <si>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</si>
  <si>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</si>
  <si>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</si>
  <si>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</si>
  <si>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</si>
  <si>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</si>
  <si>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</si>
  <si>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</si>
  <si>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</si>
  <si>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</si>
  <si>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</si>
  <si>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</si>
  <si>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</si>
  <si>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</si>
  <si>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</si>
  <si>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</si>
  <si>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</si>
  <si>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</si>
  <si>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</si>
  <si>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</si>
  <si>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</si>
  <si>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</si>
  <si>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</si>
  <si>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</si>
  <si>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</si>
  <si>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</si>
  <si>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</si>
  <si>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</si>
  <si>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</si>
  <si>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</si>
  <si>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</si>
  <si>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</si>
  <si>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</si>
  <si>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</si>
  <si>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</si>
  <si>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</si>
  <si>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</si>
  <si>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</si>
  <si>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</si>
  <si>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</si>
  <si>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</si>
  <si>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</si>
  <si>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</si>
  <si>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</si>
  <si>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Row Labels</t>
  </si>
  <si>
    <t>Grand Total</t>
  </si>
  <si>
    <t>Count of Cancellation Reason</t>
  </si>
  <si>
    <t>Count of Lead Date</t>
  </si>
  <si>
    <t>Count of Pre-Booking Date</t>
  </si>
  <si>
    <t>Count of Booking Date</t>
  </si>
  <si>
    <t>Count of Delivery Date</t>
  </si>
  <si>
    <t>Average of TAT Pre-Booking (Days)</t>
  </si>
  <si>
    <t>Count of Lead Type</t>
  </si>
  <si>
    <t>Total</t>
  </si>
  <si>
    <t>PROMOTORS</t>
  </si>
  <si>
    <t>Passives</t>
  </si>
  <si>
    <t>Detracters</t>
  </si>
  <si>
    <t>Count of promoters</t>
  </si>
  <si>
    <t>detracts</t>
  </si>
  <si>
    <t>banglore</t>
  </si>
  <si>
    <t>Average of TAT Booking (Days)</t>
  </si>
  <si>
    <t>Average of TAT Delivery (Days)</t>
  </si>
  <si>
    <t>Rating type</t>
  </si>
  <si>
    <t>Detractors</t>
  </si>
  <si>
    <t>Promoters</t>
  </si>
  <si>
    <t>Oct</t>
  </si>
  <si>
    <t>Nov</t>
  </si>
  <si>
    <t>&lt;02-10-2025</t>
  </si>
  <si>
    <t>Count of Cancellation Status</t>
  </si>
  <si>
    <t xml:space="preserve"> </t>
  </si>
  <si>
    <t>Count of Service Follow-up Date</t>
  </si>
  <si>
    <t>Lead - Pre-Booking</t>
  </si>
  <si>
    <t>Pre-booking - Booking</t>
  </si>
  <si>
    <t>Booking - Delivery</t>
  </si>
  <si>
    <t>Delivery- Service Follow up</t>
  </si>
  <si>
    <t>Column Labels</t>
  </si>
  <si>
    <t>Count of Rating type</t>
  </si>
  <si>
    <t>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</si>
</sst>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0000"/>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2" fontId="0" fillId="0" borderId="0" xfId="0" applyNumberFormat="1"/>
    <xf numFmtId="0" fontId="0" fillId="0" borderId="0" xfId="0" applyAlignment="1">
      <alignment horizontal="left" indent="1"/>
    </xf>
    <xf numFmtId="0" fontId="2" fillId="2" borderId="1" xfId="0" applyFont="1" applyFill="1" applyBorder="1"/>
    <xf numFmtId="0" fontId="0" fillId="3" borderId="0" xfId="0" applyFill="1"/>
    <xf numFmtId="0" fontId="0" fillId="4" borderId="0" xfId="0" applyFill="1"/>
    <xf numFmtId="2" fontId="0" fillId="4" borderId="0" xfId="0" applyNumberFormat="1" applyFill="1"/>
  </cellXfs>
  <cellStyles count="2">
    <cellStyle name="Normal" xfId="0" builtinId="0"/>
    <cellStyle name="Percent" xfId="1" builtinId="5"/>
  </cellStyles>
  <dxfs count="26">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7.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6.xml"/><Relationship Id="rId28"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5.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(Recovered).xlsx]Conversion Rates at each stage!PivotTable1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LEAD</a:t>
            </a:r>
            <a:r>
              <a:rPr lang="en-IN" b="1" baseline="0"/>
              <a:t> CONVERSION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30397247934033E-2"/>
          <c:y val="0.14249781277340332"/>
          <c:w val="0.63276638402795937"/>
          <c:h val="0.65853091280256637"/>
        </c:manualLayout>
      </c:layout>
      <c:areaChart>
        <c:grouping val="stacked"/>
        <c:varyColors val="0"/>
        <c:ser>
          <c:idx val="0"/>
          <c:order val="0"/>
          <c:tx>
            <c:strRef>
              <c:f>'Conversion Rates at each stage'!$B$1</c:f>
              <c:strCache>
                <c:ptCount val="1"/>
                <c:pt idx="0">
                  <c:v>Count of Lead Date</c:v>
                </c:pt>
              </c:strCache>
            </c:strRef>
          </c:tx>
          <c:spPr>
            <a:solidFill>
              <a:schemeClr val="accent1"/>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stage'!$B$2:$B$6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95E5-489F-A47A-4725F5A28E4F}"/>
            </c:ext>
          </c:extLst>
        </c:ser>
        <c:ser>
          <c:idx val="1"/>
          <c:order val="1"/>
          <c:tx>
            <c:strRef>
              <c:f>'Conversion Rates at each stage'!$C$1</c:f>
              <c:strCache>
                <c:ptCount val="1"/>
                <c:pt idx="0">
                  <c:v>Count of Pre-Booking Date</c:v>
                </c:pt>
              </c:strCache>
            </c:strRef>
          </c:tx>
          <c:spPr>
            <a:solidFill>
              <a:schemeClr val="accent2"/>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stage'!$C$2:$C$6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1-95E5-489F-A47A-4725F5A28E4F}"/>
            </c:ext>
          </c:extLst>
        </c:ser>
        <c:ser>
          <c:idx val="2"/>
          <c:order val="2"/>
          <c:tx>
            <c:strRef>
              <c:f>'Conversion Rates at each stage'!$D$1</c:f>
              <c:strCache>
                <c:ptCount val="1"/>
                <c:pt idx="0">
                  <c:v>Count of Booking Date</c:v>
                </c:pt>
              </c:strCache>
            </c:strRef>
          </c:tx>
          <c:spPr>
            <a:solidFill>
              <a:schemeClr val="accent3"/>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stage'!$D$2:$D$6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2-95E5-489F-A47A-4725F5A28E4F}"/>
            </c:ext>
          </c:extLst>
        </c:ser>
        <c:ser>
          <c:idx val="3"/>
          <c:order val="3"/>
          <c:tx>
            <c:strRef>
              <c:f>'Conversion Rates at each stage'!$E$1</c:f>
              <c:strCache>
                <c:ptCount val="1"/>
                <c:pt idx="0">
                  <c:v>Count of Delivery Date</c:v>
                </c:pt>
              </c:strCache>
            </c:strRef>
          </c:tx>
          <c:spPr>
            <a:solidFill>
              <a:schemeClr val="accent4"/>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stage'!$E$2:$E$6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3-95E5-489F-A47A-4725F5A28E4F}"/>
            </c:ext>
          </c:extLst>
        </c:ser>
        <c:ser>
          <c:idx val="4"/>
          <c:order val="4"/>
          <c:tx>
            <c:strRef>
              <c:f>'Conversion Rates at each stage'!$F$1</c:f>
              <c:strCache>
                <c:ptCount val="1"/>
                <c:pt idx="0">
                  <c:v>Count of Service Follow-up Date</c:v>
                </c:pt>
              </c:strCache>
            </c:strRef>
          </c:tx>
          <c:spPr>
            <a:solidFill>
              <a:schemeClr val="accent5"/>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stage'!$F$2:$F$6</c:f>
              <c:numCache>
                <c:formatCode>General</c:formatCode>
                <c:ptCount val="4"/>
                <c:pt idx="0">
                  <c:v>74</c:v>
                </c:pt>
                <c:pt idx="1">
                  <c:v>66</c:v>
                </c:pt>
                <c:pt idx="2">
                  <c:v>59</c:v>
                </c:pt>
                <c:pt idx="3">
                  <c:v>78</c:v>
                </c:pt>
              </c:numCache>
            </c:numRef>
          </c:val>
          <c:extLst>
            <c:ext xmlns:c16="http://schemas.microsoft.com/office/drawing/2014/chart" uri="{C3380CC4-5D6E-409C-BE32-E72D297353CC}">
              <c16:uniqueId val="{00000004-95E5-489F-A47A-4725F5A28E4F}"/>
            </c:ext>
          </c:extLst>
        </c:ser>
        <c:dLbls>
          <c:showLegendKey val="0"/>
          <c:showVal val="0"/>
          <c:showCatName val="0"/>
          <c:showSerName val="0"/>
          <c:showPercent val="0"/>
          <c:showBubbleSize val="0"/>
        </c:dLbls>
        <c:axId val="517852384"/>
        <c:axId val="517847104"/>
      </c:areaChart>
      <c:catAx>
        <c:axId val="51785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47104"/>
        <c:crosses val="autoZero"/>
        <c:auto val="1"/>
        <c:lblAlgn val="ctr"/>
        <c:lblOffset val="100"/>
        <c:noMultiLvlLbl val="0"/>
      </c:catAx>
      <c:valAx>
        <c:axId val="51784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52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(Recovered).xlsx]Breakdown of lead type!PivotTable8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Cancellations</a:t>
            </a:r>
            <a:r>
              <a:rPr lang="en-IN" b="1" baseline="0"/>
              <a:t> trends and reasons</a:t>
            </a:r>
            <a:endParaRPr lang="en-IN" b="1"/>
          </a:p>
        </c:rich>
      </c:tx>
      <c:layout>
        <c:manualLayout>
          <c:xMode val="edge"/>
          <c:yMode val="edge"/>
          <c:x val="0.28293770840370297"/>
          <c:y val="4.5950951613869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17991222372577514"/>
          <c:y val="0.14715179436515255"/>
          <c:w val="0.42900262467191602"/>
          <c:h val="0.71500437445319331"/>
        </c:manualLayout>
      </c:layout>
      <c:doughnutChart>
        <c:varyColors val="1"/>
        <c:ser>
          <c:idx val="0"/>
          <c:order val="0"/>
          <c:tx>
            <c:strRef>
              <c:f>'Breakdown of lead type'!$B$1:$B$2</c:f>
              <c:strCache>
                <c:ptCount val="1"/>
                <c:pt idx="0">
                  <c:v>Cold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82-42AD-BE6A-22DF915ABF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82-42AD-BE6A-22DF915ABF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82-42AD-BE6A-22DF915ABF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82-42AD-BE6A-22DF915ABF62}"/>
              </c:ext>
            </c:extLst>
          </c:dPt>
          <c:cat>
            <c:strRef>
              <c:f>'Breakdown of lead type'!$A$3:$A$7</c:f>
              <c:strCache>
                <c:ptCount val="4"/>
                <c:pt idx="0">
                  <c:v>Bangalore MBC</c:v>
                </c:pt>
                <c:pt idx="1">
                  <c:v>Chennai MBC</c:v>
                </c:pt>
                <c:pt idx="2">
                  <c:v>Delhi MBC</c:v>
                </c:pt>
                <c:pt idx="3">
                  <c:v>Mumbai MBC</c:v>
                </c:pt>
              </c:strCache>
            </c:strRef>
          </c:cat>
          <c:val>
            <c:numRef>
              <c:f>'Breakdown of lead type'!$B$3:$B$7</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8-1B82-42AD-BE6A-22DF915ABF62}"/>
            </c:ext>
          </c:extLst>
        </c:ser>
        <c:ser>
          <c:idx val="1"/>
          <c:order val="1"/>
          <c:tx>
            <c:strRef>
              <c:f>'Breakdown of lead type'!$C$1:$C$2</c:f>
              <c:strCache>
                <c:ptCount val="1"/>
                <c:pt idx="0">
                  <c:v>Hot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B82-42AD-BE6A-22DF915ABF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B82-42AD-BE6A-22DF915ABF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B82-42AD-BE6A-22DF915ABF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B82-42AD-BE6A-22DF915ABF62}"/>
              </c:ext>
            </c:extLst>
          </c:dPt>
          <c:cat>
            <c:strRef>
              <c:f>'Breakdown of lead type'!$A$3:$A$7</c:f>
              <c:strCache>
                <c:ptCount val="4"/>
                <c:pt idx="0">
                  <c:v>Bangalore MBC</c:v>
                </c:pt>
                <c:pt idx="1">
                  <c:v>Chennai MBC</c:v>
                </c:pt>
                <c:pt idx="2">
                  <c:v>Delhi MBC</c:v>
                </c:pt>
                <c:pt idx="3">
                  <c:v>Mumbai MBC</c:v>
                </c:pt>
              </c:strCache>
            </c:strRef>
          </c:cat>
          <c:val>
            <c:numRef>
              <c:f>'Breakdown of lead type'!$C$3:$C$7</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11-1B82-42AD-BE6A-22DF915ABF62}"/>
            </c:ext>
          </c:extLst>
        </c:ser>
        <c:ser>
          <c:idx val="2"/>
          <c:order val="2"/>
          <c:tx>
            <c:strRef>
              <c:f>'Breakdown of lead type'!$D$1:$D$2</c:f>
              <c:strCache>
                <c:ptCount val="1"/>
                <c:pt idx="0">
                  <c:v>Warm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EDAF-4A04-BA7C-5FCD5135C5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EDAF-4A04-BA7C-5FCD5135C5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EDAF-4A04-BA7C-5FCD5135C5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EDAF-4A04-BA7C-5FCD5135C519}"/>
              </c:ext>
            </c:extLst>
          </c:dPt>
          <c:cat>
            <c:strRef>
              <c:f>'Breakdown of lead type'!$A$3:$A$7</c:f>
              <c:strCache>
                <c:ptCount val="4"/>
                <c:pt idx="0">
                  <c:v>Bangalore MBC</c:v>
                </c:pt>
                <c:pt idx="1">
                  <c:v>Chennai MBC</c:v>
                </c:pt>
                <c:pt idx="2">
                  <c:v>Delhi MBC</c:v>
                </c:pt>
                <c:pt idx="3">
                  <c:v>Mumbai MBC</c:v>
                </c:pt>
              </c:strCache>
            </c:strRef>
          </c:cat>
          <c:val>
            <c:numRef>
              <c:f>'Breakdown of lead type'!$D$3:$D$7</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1C-1B82-42AD-BE6A-22DF915ABF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(Recovered).xlsx]Breakdown of lead type!PivotTable9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 OVER A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'Breakdown of lead type'!$IT$51</c:f>
              <c:strCache>
                <c:ptCount val="1"/>
                <c:pt idx="0">
                  <c:v>Count of Pre-Booking Date</c:v>
                </c:pt>
              </c:strCache>
            </c:strRef>
          </c:tx>
          <c:spPr>
            <a:ln w="28575" cap="rnd">
              <a:solidFill>
                <a:schemeClr val="accent1"/>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type'!$IT$52:$IT$68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0-E7E0-49BD-8B23-68B8D7143A0F}"/>
            </c:ext>
          </c:extLst>
        </c:ser>
        <c:ser>
          <c:idx val="1"/>
          <c:order val="1"/>
          <c:tx>
            <c:strRef>
              <c:f>'Breakdown of lead type'!$IU$51</c:f>
              <c:strCache>
                <c:ptCount val="1"/>
                <c:pt idx="0">
                  <c:v>Count of Booking Date</c:v>
                </c:pt>
              </c:strCache>
            </c:strRef>
          </c:tx>
          <c:spPr>
            <a:ln w="28575" cap="rnd">
              <a:solidFill>
                <a:schemeClr val="accent2"/>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type'!$IU$52:$IU$68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1-E7E0-49BD-8B23-68B8D7143A0F}"/>
            </c:ext>
          </c:extLst>
        </c:ser>
        <c:ser>
          <c:idx val="2"/>
          <c:order val="2"/>
          <c:tx>
            <c:strRef>
              <c:f>'Breakdown of lead type'!$IV$51</c:f>
              <c:strCache>
                <c:ptCount val="1"/>
                <c:pt idx="0">
                  <c:v>Count of Delivery Date</c:v>
                </c:pt>
              </c:strCache>
            </c:strRef>
          </c:tx>
          <c:spPr>
            <a:ln w="28575" cap="rnd">
              <a:solidFill>
                <a:schemeClr val="accent3"/>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type'!$IV$52:$IV$68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2-E7E0-49BD-8B23-68B8D7143A0F}"/>
            </c:ext>
          </c:extLst>
        </c:ser>
        <c:ser>
          <c:idx val="3"/>
          <c:order val="3"/>
          <c:tx>
            <c:strRef>
              <c:f>'Breakdown of lead type'!$IW$51</c:f>
              <c:strCache>
                <c:ptCount val="1"/>
                <c:pt idx="0">
                  <c:v>Count of Cancellation Status</c:v>
                </c:pt>
              </c:strCache>
            </c:strRef>
          </c:tx>
          <c:spPr>
            <a:ln w="28575" cap="rnd">
              <a:solidFill>
                <a:schemeClr val="accent4"/>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type'!$IW$52:$IW$68</c:f>
              <c:numCache>
                <c:formatCode>General</c:formatCode>
                <c:ptCount val="12"/>
                <c:pt idx="0">
                  <c:v>51</c:v>
                </c:pt>
                <c:pt idx="1">
                  <c:v>193</c:v>
                </c:pt>
                <c:pt idx="2">
                  <c:v>19</c:v>
                </c:pt>
                <c:pt idx="3">
                  <c:v>39</c:v>
                </c:pt>
                <c:pt idx="4">
                  <c:v>164</c:v>
                </c:pt>
                <c:pt idx="5">
                  <c:v>9</c:v>
                </c:pt>
                <c:pt idx="6">
                  <c:v>51</c:v>
                </c:pt>
                <c:pt idx="7">
                  <c:v>187</c:v>
                </c:pt>
                <c:pt idx="8">
                  <c:v>25</c:v>
                </c:pt>
                <c:pt idx="9">
                  <c:v>47</c:v>
                </c:pt>
                <c:pt idx="10">
                  <c:v>193</c:v>
                </c:pt>
                <c:pt idx="11">
                  <c:v>22</c:v>
                </c:pt>
              </c:numCache>
            </c:numRef>
          </c:val>
          <c:smooth val="0"/>
          <c:extLst>
            <c:ext xmlns:c16="http://schemas.microsoft.com/office/drawing/2014/chart" uri="{C3380CC4-5D6E-409C-BE32-E72D297353CC}">
              <c16:uniqueId val="{00000003-E7E0-49BD-8B23-68B8D7143A0F}"/>
            </c:ext>
          </c:extLst>
        </c:ser>
        <c:dLbls>
          <c:showLegendKey val="0"/>
          <c:showVal val="0"/>
          <c:showCatName val="0"/>
          <c:showSerName val="0"/>
          <c:showPercent val="0"/>
          <c:showBubbleSize val="0"/>
        </c:dLbls>
        <c:smooth val="0"/>
        <c:axId val="818727023"/>
        <c:axId val="818729423"/>
      </c:lineChart>
      <c:catAx>
        <c:axId val="81872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29423"/>
        <c:crosses val="autoZero"/>
        <c:auto val="1"/>
        <c:lblAlgn val="ctr"/>
        <c:lblOffset val="100"/>
        <c:noMultiLvlLbl val="0"/>
      </c:catAx>
      <c:valAx>
        <c:axId val="8187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2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(Recovered).xlsx]Average TAT Days!PivotTable13</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TAT</a:t>
            </a:r>
            <a:r>
              <a:rPr lang="en-IN" baseline="0"/>
              <a:t> performance by stage </a:t>
            </a:r>
            <a:endParaRPr lang="en-IN"/>
          </a:p>
        </c:rich>
      </c:tx>
      <c:layout>
        <c:manualLayout>
          <c:xMode val="edge"/>
          <c:yMode val="edge"/>
          <c:x val="0.26971258990675379"/>
          <c:y val="9.214633987082625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'Average TAT Days'!$B$1</c:f>
              <c:strCache>
                <c:ptCount val="1"/>
                <c:pt idx="0">
                  <c:v>Average of TAT Pre-Booking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Days'!$B$2:$B$6</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3923-48FE-A896-30709E6A630C}"/>
            </c:ext>
          </c:extLst>
        </c:ser>
        <c:ser>
          <c:idx val="1"/>
          <c:order val="1"/>
          <c:tx>
            <c:strRef>
              <c:f>'Average TAT Days'!$C$1</c:f>
              <c:strCache>
                <c:ptCount val="1"/>
                <c:pt idx="0">
                  <c:v>Average of TAT Booking (Days)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Days'!$C$2:$C$6</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3923-48FE-A896-30709E6A630C}"/>
            </c:ext>
          </c:extLst>
        </c:ser>
        <c:ser>
          <c:idx val="2"/>
          <c:order val="2"/>
          <c:tx>
            <c:strRef>
              <c:f>'Average TAT Days'!$D$1</c:f>
              <c:strCache>
                <c:ptCount val="1"/>
                <c:pt idx="0">
                  <c:v>Average of TAT Delivery (Days)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Days'!$D$2:$D$6</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3923-48FE-A896-30709E6A630C}"/>
            </c:ext>
          </c:extLst>
        </c:ser>
        <c:dLbls>
          <c:dLblPos val="ctr"/>
          <c:showLegendKey val="0"/>
          <c:showVal val="1"/>
          <c:showCatName val="0"/>
          <c:showSerName val="0"/>
          <c:showPercent val="0"/>
          <c:showBubbleSize val="0"/>
        </c:dLbls>
        <c:gapWidth val="79"/>
        <c:overlap val="100"/>
        <c:axId val="1186959840"/>
        <c:axId val="1186956960"/>
      </c:barChart>
      <c:catAx>
        <c:axId val="11869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86956960"/>
        <c:crosses val="autoZero"/>
        <c:auto val="1"/>
        <c:lblAlgn val="ctr"/>
        <c:lblOffset val="100"/>
        <c:noMultiLvlLbl val="0"/>
      </c:catAx>
      <c:valAx>
        <c:axId val="1186956960"/>
        <c:scaling>
          <c:orientation val="minMax"/>
        </c:scaling>
        <c:delete val="0"/>
        <c:axPos val="b"/>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5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(Recovered).xlsx]Breakdown of lead type!PivotTable8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lead</a:t>
            </a:r>
            <a:r>
              <a:rPr lang="en-IN" b="1" baseline="0"/>
              <a:t> type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'Breakdown of lead type'!$B$1:$B$2</c:f>
              <c:strCache>
                <c:ptCount val="1"/>
                <c:pt idx="0">
                  <c:v>Cold</c:v>
                </c:pt>
              </c:strCache>
            </c:strRef>
          </c:tx>
          <c:spPr>
            <a:solidFill>
              <a:schemeClr val="accent1"/>
            </a:solidFill>
            <a:ln>
              <a:noFill/>
            </a:ln>
            <a:effectLst/>
          </c:spPr>
          <c:invertIfNegative val="0"/>
          <c:cat>
            <c:strRef>
              <c:f>'Breakdown of lead type'!$A$3:$A$7</c:f>
              <c:strCache>
                <c:ptCount val="4"/>
                <c:pt idx="0">
                  <c:v>Bangalore MBC</c:v>
                </c:pt>
                <c:pt idx="1">
                  <c:v>Chennai MBC</c:v>
                </c:pt>
                <c:pt idx="2">
                  <c:v>Delhi MBC</c:v>
                </c:pt>
                <c:pt idx="3">
                  <c:v>Mumbai MBC</c:v>
                </c:pt>
              </c:strCache>
            </c:strRef>
          </c:cat>
          <c:val>
            <c:numRef>
              <c:f>'Breakdown of lead type'!$B$3:$B$7</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0DD7-466C-A837-00164E43AEF6}"/>
            </c:ext>
          </c:extLst>
        </c:ser>
        <c:ser>
          <c:idx val="1"/>
          <c:order val="1"/>
          <c:tx>
            <c:strRef>
              <c:f>'Breakdown of lead type'!$C$1:$C$2</c:f>
              <c:strCache>
                <c:ptCount val="1"/>
                <c:pt idx="0">
                  <c:v>Hot</c:v>
                </c:pt>
              </c:strCache>
            </c:strRef>
          </c:tx>
          <c:spPr>
            <a:solidFill>
              <a:schemeClr val="accent2"/>
            </a:solidFill>
            <a:ln>
              <a:noFill/>
            </a:ln>
            <a:effectLst/>
          </c:spPr>
          <c:invertIfNegative val="0"/>
          <c:cat>
            <c:strRef>
              <c:f>'Breakdown of lead type'!$A$3:$A$7</c:f>
              <c:strCache>
                <c:ptCount val="4"/>
                <c:pt idx="0">
                  <c:v>Bangalore MBC</c:v>
                </c:pt>
                <c:pt idx="1">
                  <c:v>Chennai MBC</c:v>
                </c:pt>
                <c:pt idx="2">
                  <c:v>Delhi MBC</c:v>
                </c:pt>
                <c:pt idx="3">
                  <c:v>Mumbai MBC</c:v>
                </c:pt>
              </c:strCache>
            </c:strRef>
          </c:cat>
          <c:val>
            <c:numRef>
              <c:f>'Breakdown of lead type'!$C$3:$C$7</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1-0DD7-466C-A837-00164E43AEF6}"/>
            </c:ext>
          </c:extLst>
        </c:ser>
        <c:ser>
          <c:idx val="2"/>
          <c:order val="2"/>
          <c:tx>
            <c:strRef>
              <c:f>'Breakdown of lead type'!$D$1:$D$2</c:f>
              <c:strCache>
                <c:ptCount val="1"/>
                <c:pt idx="0">
                  <c:v>Warm</c:v>
                </c:pt>
              </c:strCache>
            </c:strRef>
          </c:tx>
          <c:spPr>
            <a:solidFill>
              <a:schemeClr val="accent3"/>
            </a:solidFill>
            <a:ln>
              <a:noFill/>
            </a:ln>
            <a:effectLst/>
          </c:spPr>
          <c:invertIfNegative val="0"/>
          <c:cat>
            <c:strRef>
              <c:f>'Breakdown of lead type'!$A$3:$A$7</c:f>
              <c:strCache>
                <c:ptCount val="4"/>
                <c:pt idx="0">
                  <c:v>Bangalore MBC</c:v>
                </c:pt>
                <c:pt idx="1">
                  <c:v>Chennai MBC</c:v>
                </c:pt>
                <c:pt idx="2">
                  <c:v>Delhi MBC</c:v>
                </c:pt>
                <c:pt idx="3">
                  <c:v>Mumbai MBC</c:v>
                </c:pt>
              </c:strCache>
            </c:strRef>
          </c:cat>
          <c:val>
            <c:numRef>
              <c:f>'Breakdown of lead type'!$D$3:$D$7</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2-0DD7-466C-A837-00164E43AEF6}"/>
            </c:ext>
          </c:extLst>
        </c:ser>
        <c:dLbls>
          <c:showLegendKey val="0"/>
          <c:showVal val="0"/>
          <c:showCatName val="0"/>
          <c:showSerName val="0"/>
          <c:showPercent val="0"/>
          <c:showBubbleSize val="0"/>
        </c:dLbls>
        <c:gapWidth val="150"/>
        <c:overlap val="100"/>
        <c:axId val="214024928"/>
        <c:axId val="214024448"/>
      </c:barChart>
      <c:catAx>
        <c:axId val="21402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24448"/>
        <c:crosses val="autoZero"/>
        <c:auto val="1"/>
        <c:lblAlgn val="ctr"/>
        <c:lblOffset val="100"/>
        <c:noMultiLvlLbl val="0"/>
      </c:catAx>
      <c:valAx>
        <c:axId val="214024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2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(Recovered).xlsx]NPS of each Store!PivotTable9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rating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'NPS of each Store'!$B$1:$B$2</c:f>
              <c:strCache>
                <c:ptCount val="1"/>
                <c:pt idx="0">
                  <c:v>Detractors</c:v>
                </c:pt>
              </c:strCache>
            </c:strRef>
          </c:tx>
          <c:spPr>
            <a:solidFill>
              <a:schemeClr val="accent1"/>
            </a:solidFill>
            <a:ln>
              <a:noFill/>
            </a:ln>
            <a:effectLst/>
          </c:spPr>
          <c:invertIfNegative val="0"/>
          <c:cat>
            <c:strRef>
              <c:f>'NPS of each Store'!$A$3:$A$7</c:f>
              <c:strCache>
                <c:ptCount val="4"/>
                <c:pt idx="0">
                  <c:v>Bangalore MBC</c:v>
                </c:pt>
                <c:pt idx="1">
                  <c:v>Chennai MBC</c:v>
                </c:pt>
                <c:pt idx="2">
                  <c:v>Delhi MBC</c:v>
                </c:pt>
                <c:pt idx="3">
                  <c:v>Mumbai MBC</c:v>
                </c:pt>
              </c:strCache>
            </c:strRef>
          </c:cat>
          <c:val>
            <c:numRef>
              <c:f>'NPS of each Store'!$B$3:$B$7</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0-8F32-4E8E-A9CA-DF8D698C3C6D}"/>
            </c:ext>
          </c:extLst>
        </c:ser>
        <c:ser>
          <c:idx val="1"/>
          <c:order val="1"/>
          <c:tx>
            <c:strRef>
              <c:f>'NPS of each Store'!$C$1:$C$2</c:f>
              <c:strCache>
                <c:ptCount val="1"/>
                <c:pt idx="0">
                  <c:v>Passives</c:v>
                </c:pt>
              </c:strCache>
            </c:strRef>
          </c:tx>
          <c:spPr>
            <a:solidFill>
              <a:schemeClr val="accent2"/>
            </a:solidFill>
            <a:ln>
              <a:noFill/>
            </a:ln>
            <a:effectLst/>
          </c:spPr>
          <c:invertIfNegative val="0"/>
          <c:cat>
            <c:strRef>
              <c:f>'NPS of each Store'!$A$3:$A$7</c:f>
              <c:strCache>
                <c:ptCount val="4"/>
                <c:pt idx="0">
                  <c:v>Bangalore MBC</c:v>
                </c:pt>
                <c:pt idx="1">
                  <c:v>Chennai MBC</c:v>
                </c:pt>
                <c:pt idx="2">
                  <c:v>Delhi MBC</c:v>
                </c:pt>
                <c:pt idx="3">
                  <c:v>Mumbai MBC</c:v>
                </c:pt>
              </c:strCache>
            </c:strRef>
          </c:cat>
          <c:val>
            <c:numRef>
              <c:f>'NPS of each Store'!$C$3:$C$7</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1-8F32-4E8E-A9CA-DF8D698C3C6D}"/>
            </c:ext>
          </c:extLst>
        </c:ser>
        <c:ser>
          <c:idx val="2"/>
          <c:order val="2"/>
          <c:tx>
            <c:strRef>
              <c:f>'NPS of each Store'!$D$1:$D$2</c:f>
              <c:strCache>
                <c:ptCount val="1"/>
                <c:pt idx="0">
                  <c:v>Promoters</c:v>
                </c:pt>
              </c:strCache>
            </c:strRef>
          </c:tx>
          <c:spPr>
            <a:solidFill>
              <a:schemeClr val="accent3"/>
            </a:solidFill>
            <a:ln>
              <a:noFill/>
            </a:ln>
            <a:effectLst/>
          </c:spPr>
          <c:invertIfNegative val="0"/>
          <c:cat>
            <c:strRef>
              <c:f>'NPS of each Store'!$A$3:$A$7</c:f>
              <c:strCache>
                <c:ptCount val="4"/>
                <c:pt idx="0">
                  <c:v>Bangalore MBC</c:v>
                </c:pt>
                <c:pt idx="1">
                  <c:v>Chennai MBC</c:v>
                </c:pt>
                <c:pt idx="2">
                  <c:v>Delhi MBC</c:v>
                </c:pt>
                <c:pt idx="3">
                  <c:v>Mumbai MBC</c:v>
                </c:pt>
              </c:strCache>
            </c:strRef>
          </c:cat>
          <c:val>
            <c:numRef>
              <c:f>'NPS of each Store'!$D$3:$D$7</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2-8F32-4E8E-A9CA-DF8D698C3C6D}"/>
            </c:ext>
          </c:extLst>
        </c:ser>
        <c:dLbls>
          <c:showLegendKey val="0"/>
          <c:showVal val="0"/>
          <c:showCatName val="0"/>
          <c:showSerName val="0"/>
          <c:showPercent val="0"/>
          <c:showBubbleSize val="0"/>
        </c:dLbls>
        <c:gapWidth val="150"/>
        <c:overlap val="100"/>
        <c:axId val="1951721264"/>
        <c:axId val="1951717904"/>
      </c:barChart>
      <c:catAx>
        <c:axId val="19517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717904"/>
        <c:crosses val="autoZero"/>
        <c:auto val="1"/>
        <c:lblAlgn val="ctr"/>
        <c:lblOffset val="100"/>
        <c:noMultiLvlLbl val="0"/>
      </c:catAx>
      <c:valAx>
        <c:axId val="195171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7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(Recovered).xlsx]Conversion Rates at each stage!PivotTable1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'Conversion Rates at each stage'!$B$1</c:f>
              <c:strCache>
                <c:ptCount val="1"/>
                <c:pt idx="0">
                  <c:v>Count of Lead Date</c:v>
                </c:pt>
              </c:strCache>
            </c:strRef>
          </c:tx>
          <c:spPr>
            <a:solidFill>
              <a:schemeClr val="accent1"/>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stage'!$B$2:$B$6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8A60-45F9-A300-E694ABEDEA12}"/>
            </c:ext>
          </c:extLst>
        </c:ser>
        <c:ser>
          <c:idx val="1"/>
          <c:order val="1"/>
          <c:tx>
            <c:strRef>
              <c:f>'Conversion Rates at each stage'!$C$1</c:f>
              <c:strCache>
                <c:ptCount val="1"/>
                <c:pt idx="0">
                  <c:v>Count of Pre-Booking Date</c:v>
                </c:pt>
              </c:strCache>
            </c:strRef>
          </c:tx>
          <c:spPr>
            <a:solidFill>
              <a:schemeClr val="accent2"/>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stage'!$C$2:$C$6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1-8A60-45F9-A300-E694ABEDEA12}"/>
            </c:ext>
          </c:extLst>
        </c:ser>
        <c:ser>
          <c:idx val="2"/>
          <c:order val="2"/>
          <c:tx>
            <c:strRef>
              <c:f>'Conversion Rates at each stage'!$D$1</c:f>
              <c:strCache>
                <c:ptCount val="1"/>
                <c:pt idx="0">
                  <c:v>Count of Booking Date</c:v>
                </c:pt>
              </c:strCache>
            </c:strRef>
          </c:tx>
          <c:spPr>
            <a:solidFill>
              <a:schemeClr val="accent3"/>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stage'!$D$2:$D$6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2-8A60-45F9-A300-E694ABEDEA12}"/>
            </c:ext>
          </c:extLst>
        </c:ser>
        <c:ser>
          <c:idx val="3"/>
          <c:order val="3"/>
          <c:tx>
            <c:strRef>
              <c:f>'Conversion Rates at each stage'!$E$1</c:f>
              <c:strCache>
                <c:ptCount val="1"/>
                <c:pt idx="0">
                  <c:v>Count of Delivery Date</c:v>
                </c:pt>
              </c:strCache>
            </c:strRef>
          </c:tx>
          <c:spPr>
            <a:solidFill>
              <a:schemeClr val="accent4"/>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stage'!$E$2:$E$6</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3-8A60-45F9-A300-E694ABEDEA12}"/>
            </c:ext>
          </c:extLst>
        </c:ser>
        <c:ser>
          <c:idx val="4"/>
          <c:order val="4"/>
          <c:tx>
            <c:strRef>
              <c:f>'Conversion Rates at each stage'!$F$1</c:f>
              <c:strCache>
                <c:ptCount val="1"/>
                <c:pt idx="0">
                  <c:v>Count of Service Follow-up Date</c:v>
                </c:pt>
              </c:strCache>
            </c:strRef>
          </c:tx>
          <c:spPr>
            <a:solidFill>
              <a:schemeClr val="accent5"/>
            </a:solidFill>
            <a:ln>
              <a:noFill/>
            </a:ln>
            <a:effectLst/>
          </c:spPr>
          <c:cat>
            <c:strRef>
              <c:f>'Conversion Rates at each stage'!$A$2:$A$6</c:f>
              <c:strCache>
                <c:ptCount val="4"/>
                <c:pt idx="0">
                  <c:v>Bangalore MBC</c:v>
                </c:pt>
                <c:pt idx="1">
                  <c:v>Chennai MBC</c:v>
                </c:pt>
                <c:pt idx="2">
                  <c:v>Delhi MBC</c:v>
                </c:pt>
                <c:pt idx="3">
                  <c:v>Mumbai MBC</c:v>
                </c:pt>
              </c:strCache>
            </c:strRef>
          </c:cat>
          <c:val>
            <c:numRef>
              <c:f>'Conversion Rates at each stage'!$F$2:$F$6</c:f>
              <c:numCache>
                <c:formatCode>General</c:formatCode>
                <c:ptCount val="4"/>
                <c:pt idx="0">
                  <c:v>74</c:v>
                </c:pt>
                <c:pt idx="1">
                  <c:v>66</c:v>
                </c:pt>
                <c:pt idx="2">
                  <c:v>59</c:v>
                </c:pt>
                <c:pt idx="3">
                  <c:v>78</c:v>
                </c:pt>
              </c:numCache>
            </c:numRef>
          </c:val>
          <c:extLst>
            <c:ext xmlns:c16="http://schemas.microsoft.com/office/drawing/2014/chart" uri="{C3380CC4-5D6E-409C-BE32-E72D297353CC}">
              <c16:uniqueId val="{00000004-8A60-45F9-A300-E694ABEDEA12}"/>
            </c:ext>
          </c:extLst>
        </c:ser>
        <c:dLbls>
          <c:showLegendKey val="0"/>
          <c:showVal val="0"/>
          <c:showCatName val="0"/>
          <c:showSerName val="0"/>
          <c:showPercent val="0"/>
          <c:showBubbleSize val="0"/>
        </c:dLbls>
        <c:axId val="517852384"/>
        <c:axId val="517847104"/>
      </c:areaChart>
      <c:catAx>
        <c:axId val="51785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47104"/>
        <c:crosses val="autoZero"/>
        <c:auto val="1"/>
        <c:lblAlgn val="ctr"/>
        <c:lblOffset val="100"/>
        <c:noMultiLvlLbl val="0"/>
      </c:catAx>
      <c:valAx>
        <c:axId val="51784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52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Average of TAT Pre-Booking (Days)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
              <c:pt idx="0">
                <c:v>Bangalore MBC</c:v>
              </c:pt>
              <c:pt idx="1">
                <c:v>Chennai MBC</c:v>
              </c:pt>
              <c:pt idx="2">
                <c:v>Delhi MBC</c:v>
              </c:pt>
              <c:pt idx="3">
                <c:v>Mumbai MBC</c:v>
              </c:pt>
            </c:strLit>
          </c:cat>
          <c:val>
            <c:numLit>
              <c:formatCode>General</c:formatCode>
              <c:ptCount val="4"/>
              <c:pt idx="0">
                <c:v>3.0370370370370372</c:v>
              </c:pt>
              <c:pt idx="1">
                <c:v>3.3255813953488373</c:v>
              </c:pt>
              <c:pt idx="2">
                <c:v>3.1749999999999998</c:v>
              </c:pt>
              <c:pt idx="3">
                <c:v>2.7083333333333335</c:v>
              </c:pt>
            </c:numLit>
          </c:val>
          <c:smooth val="0"/>
          <c:extLst>
            <c:ext xmlns:c16="http://schemas.microsoft.com/office/drawing/2014/chart" uri="{C3380CC4-5D6E-409C-BE32-E72D297353CC}">
              <c16:uniqueId val="{00000000-575D-4BC9-881C-85217A9C52F9}"/>
            </c:ext>
          </c:extLst>
        </c:ser>
        <c:ser>
          <c:idx val="1"/>
          <c:order val="1"/>
          <c:tx>
            <c:v>Average of TAT Booking (Days)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4"/>
              <c:pt idx="0">
                <c:v>Bangalore MBC</c:v>
              </c:pt>
              <c:pt idx="1">
                <c:v>Chennai MBC</c:v>
              </c:pt>
              <c:pt idx="2">
                <c:v>Delhi MBC</c:v>
              </c:pt>
              <c:pt idx="3">
                <c:v>Mumbai MBC</c:v>
              </c:pt>
            </c:strLit>
          </c:cat>
          <c:val>
            <c:numLit>
              <c:formatCode>General</c:formatCode>
              <c:ptCount val="4"/>
              <c:pt idx="0">
                <c:v>3.2592592592592591</c:v>
              </c:pt>
              <c:pt idx="1">
                <c:v>3.1860465116279069</c:v>
              </c:pt>
              <c:pt idx="2">
                <c:v>2.85</c:v>
              </c:pt>
              <c:pt idx="3">
                <c:v>2.8541666666666665</c:v>
              </c:pt>
            </c:numLit>
          </c:val>
          <c:smooth val="0"/>
          <c:extLst>
            <c:ext xmlns:c16="http://schemas.microsoft.com/office/drawing/2014/chart" uri="{C3380CC4-5D6E-409C-BE32-E72D297353CC}">
              <c16:uniqueId val="{00000001-575D-4BC9-881C-85217A9C52F9}"/>
            </c:ext>
          </c:extLst>
        </c:ser>
        <c:ser>
          <c:idx val="2"/>
          <c:order val="2"/>
          <c:tx>
            <c:v>Average of TAT Delivery (Days)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4"/>
              <c:pt idx="0">
                <c:v>Bangalore MBC</c:v>
              </c:pt>
              <c:pt idx="1">
                <c:v>Chennai MBC</c:v>
              </c:pt>
              <c:pt idx="2">
                <c:v>Delhi MBC</c:v>
              </c:pt>
              <c:pt idx="3">
                <c:v>Mumbai MBC</c:v>
              </c:pt>
            </c:strLit>
          </c:cat>
          <c:val>
            <c:numLit>
              <c:formatCode>General</c:formatCode>
              <c:ptCount val="4"/>
              <c:pt idx="0">
                <c:v>4.5370370370370372</c:v>
              </c:pt>
              <c:pt idx="1">
                <c:v>4.6744186046511631</c:v>
              </c:pt>
              <c:pt idx="2">
                <c:v>4.5250000000000004</c:v>
              </c:pt>
              <c:pt idx="3">
                <c:v>4.8125</c:v>
              </c:pt>
            </c:numLit>
          </c:val>
          <c:smooth val="0"/>
          <c:extLst>
            <c:ext xmlns:c16="http://schemas.microsoft.com/office/drawing/2014/chart" uri="{C3380CC4-5D6E-409C-BE32-E72D297353CC}">
              <c16:uniqueId val="{00000002-575D-4BC9-881C-85217A9C52F9}"/>
            </c:ext>
          </c:extLst>
        </c:ser>
        <c:dLbls>
          <c:showLegendKey val="0"/>
          <c:showVal val="0"/>
          <c:showCatName val="0"/>
          <c:showSerName val="0"/>
          <c:showPercent val="0"/>
          <c:showBubbleSize val="0"/>
        </c:dLbls>
        <c:marker val="1"/>
        <c:smooth val="0"/>
        <c:axId val="1934624527"/>
        <c:axId val="1934625007"/>
      </c:lineChart>
      <c:catAx>
        <c:axId val="193462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25007"/>
        <c:crosses val="autoZero"/>
        <c:auto val="1"/>
        <c:lblAlgn val="ctr"/>
        <c:lblOffset val="100"/>
        <c:noMultiLvlLbl val="0"/>
      </c:catAx>
      <c:valAx>
        <c:axId val="19346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2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(Recovered).xlsx]Average TAT Days!PivotTable13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'Average TAT Days'!$B$1</c:f>
              <c:strCache>
                <c:ptCount val="1"/>
                <c:pt idx="0">
                  <c:v>Average of TAT Pre-Booking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Days'!$B$2:$B$6</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C8DA-4972-ABAB-5635DFBAF5E0}"/>
            </c:ext>
          </c:extLst>
        </c:ser>
        <c:ser>
          <c:idx val="1"/>
          <c:order val="1"/>
          <c:tx>
            <c:strRef>
              <c:f>'Average TAT Days'!$C$1</c:f>
              <c:strCache>
                <c:ptCount val="1"/>
                <c:pt idx="0">
                  <c:v>Average of TAT Booking (Days)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Days'!$C$2:$C$6</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C8DA-4972-ABAB-5635DFBAF5E0}"/>
            </c:ext>
          </c:extLst>
        </c:ser>
        <c:ser>
          <c:idx val="2"/>
          <c:order val="2"/>
          <c:tx>
            <c:strRef>
              <c:f>'Average TAT Days'!$D$1</c:f>
              <c:strCache>
                <c:ptCount val="1"/>
                <c:pt idx="0">
                  <c:v>Average of TAT Delivery (Days)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TAT Days'!$A$2:$A$6</c:f>
              <c:strCache>
                <c:ptCount val="4"/>
                <c:pt idx="0">
                  <c:v>Bangalore MBC</c:v>
                </c:pt>
                <c:pt idx="1">
                  <c:v>Chennai MBC</c:v>
                </c:pt>
                <c:pt idx="2">
                  <c:v>Delhi MBC</c:v>
                </c:pt>
                <c:pt idx="3">
                  <c:v>Mumbai MBC</c:v>
                </c:pt>
              </c:strCache>
            </c:strRef>
          </c:cat>
          <c:val>
            <c:numRef>
              <c:f>'Average TAT Days'!$D$2:$D$6</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C8DA-4972-ABAB-5635DFBAF5E0}"/>
            </c:ext>
          </c:extLst>
        </c:ser>
        <c:dLbls>
          <c:dLblPos val="ctr"/>
          <c:showLegendKey val="0"/>
          <c:showVal val="1"/>
          <c:showCatName val="0"/>
          <c:showSerName val="0"/>
          <c:showPercent val="0"/>
          <c:showBubbleSize val="0"/>
        </c:dLbls>
        <c:gapWidth val="79"/>
        <c:overlap val="100"/>
        <c:axId val="1186959840"/>
        <c:axId val="1186956960"/>
      </c:barChart>
      <c:catAx>
        <c:axId val="11869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86956960"/>
        <c:crosses val="autoZero"/>
        <c:auto val="1"/>
        <c:lblAlgn val="ctr"/>
        <c:lblOffset val="100"/>
        <c:noMultiLvlLbl val="0"/>
      </c:catAx>
      <c:valAx>
        <c:axId val="1186956960"/>
        <c:scaling>
          <c:orientation val="minMax"/>
        </c:scaling>
        <c:delete val="0"/>
        <c:axPos val="b"/>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5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(Recovered).xlsx]Cancellations patterns by store!PivotTable7</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'Cancellations patterns by store'!$B$1:$B$2</c:f>
              <c:strCache>
                <c:ptCount val="1"/>
                <c:pt idx="0">
                  <c:v>Changed Mind</c:v>
                </c:pt>
              </c:strCache>
            </c:strRef>
          </c:tx>
          <c:spPr>
            <a:solidFill>
              <a:schemeClr val="accent1"/>
            </a:solidFill>
            <a:ln>
              <a:noFill/>
            </a:ln>
            <a:effectLst/>
          </c:spPr>
          <c:invertIfNegative val="0"/>
          <c:cat>
            <c:strRef>
              <c:f>'Cancellations patterns by store'!$A$3:$A$7</c:f>
              <c:strCache>
                <c:ptCount val="4"/>
                <c:pt idx="0">
                  <c:v>Bangalore MBC</c:v>
                </c:pt>
                <c:pt idx="1">
                  <c:v>Chennai MBC</c:v>
                </c:pt>
                <c:pt idx="2">
                  <c:v>Delhi MBC</c:v>
                </c:pt>
                <c:pt idx="3">
                  <c:v>Mumbai MBC</c:v>
                </c:pt>
              </c:strCache>
            </c:strRef>
          </c:cat>
          <c:val>
            <c:numRef>
              <c:f>'Cancellations patterns by store'!$B$3:$B$7</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7-74E9-47E7-BABD-EC2DEC32AD8A}"/>
            </c:ext>
          </c:extLst>
        </c:ser>
        <c:ser>
          <c:idx val="1"/>
          <c:order val="1"/>
          <c:tx>
            <c:strRef>
              <c:f>'Cancellations patterns by store'!$C$1:$C$2</c:f>
              <c:strCache>
                <c:ptCount val="1"/>
                <c:pt idx="0">
                  <c:v>Financing Issue</c:v>
                </c:pt>
              </c:strCache>
            </c:strRef>
          </c:tx>
          <c:spPr>
            <a:solidFill>
              <a:schemeClr val="accent2"/>
            </a:solidFill>
            <a:ln>
              <a:noFill/>
            </a:ln>
            <a:effectLst/>
          </c:spPr>
          <c:invertIfNegative val="0"/>
          <c:cat>
            <c:strRef>
              <c:f>'Cancellations patterns by store'!$A$3:$A$7</c:f>
              <c:strCache>
                <c:ptCount val="4"/>
                <c:pt idx="0">
                  <c:v>Bangalore MBC</c:v>
                </c:pt>
                <c:pt idx="1">
                  <c:v>Chennai MBC</c:v>
                </c:pt>
                <c:pt idx="2">
                  <c:v>Delhi MBC</c:v>
                </c:pt>
                <c:pt idx="3">
                  <c:v>Mumbai MBC</c:v>
                </c:pt>
              </c:strCache>
            </c:strRef>
          </c:cat>
          <c:val>
            <c:numRef>
              <c:f>'Cancellations patterns by store'!$C$3:$C$7</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8-74E9-47E7-BABD-EC2DEC32AD8A}"/>
            </c:ext>
          </c:extLst>
        </c:ser>
        <c:ser>
          <c:idx val="2"/>
          <c:order val="2"/>
          <c:tx>
            <c:strRef>
              <c:f>'Cancellations patterns by store'!$D$1:$D$2</c:f>
              <c:strCache>
                <c:ptCount val="1"/>
                <c:pt idx="0">
                  <c:v>Model Unavailable</c:v>
                </c:pt>
              </c:strCache>
            </c:strRef>
          </c:tx>
          <c:spPr>
            <a:solidFill>
              <a:schemeClr val="accent3"/>
            </a:solidFill>
            <a:ln>
              <a:noFill/>
            </a:ln>
            <a:effectLst/>
          </c:spPr>
          <c:invertIfNegative val="0"/>
          <c:cat>
            <c:strRef>
              <c:f>'Cancellations patterns by store'!$A$3:$A$7</c:f>
              <c:strCache>
                <c:ptCount val="4"/>
                <c:pt idx="0">
                  <c:v>Bangalore MBC</c:v>
                </c:pt>
                <c:pt idx="1">
                  <c:v>Chennai MBC</c:v>
                </c:pt>
                <c:pt idx="2">
                  <c:v>Delhi MBC</c:v>
                </c:pt>
                <c:pt idx="3">
                  <c:v>Mumbai MBC</c:v>
                </c:pt>
              </c:strCache>
            </c:strRef>
          </c:cat>
          <c:val>
            <c:numRef>
              <c:f>'Cancellations patterns by store'!$D$3:$D$7</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9-74E9-47E7-BABD-EC2DEC32AD8A}"/>
            </c:ext>
          </c:extLst>
        </c:ser>
        <c:ser>
          <c:idx val="3"/>
          <c:order val="3"/>
          <c:tx>
            <c:strRef>
              <c:f>'Cancellations patterns by store'!$E$1:$E$2</c:f>
              <c:strCache>
                <c:ptCount val="1"/>
                <c:pt idx="0">
                  <c:v>Other</c:v>
                </c:pt>
              </c:strCache>
            </c:strRef>
          </c:tx>
          <c:spPr>
            <a:solidFill>
              <a:schemeClr val="accent4"/>
            </a:solidFill>
            <a:ln>
              <a:noFill/>
            </a:ln>
            <a:effectLst/>
          </c:spPr>
          <c:invertIfNegative val="0"/>
          <c:cat>
            <c:strRef>
              <c:f>'Cancellations patterns by store'!$A$3:$A$7</c:f>
              <c:strCache>
                <c:ptCount val="4"/>
                <c:pt idx="0">
                  <c:v>Bangalore MBC</c:v>
                </c:pt>
                <c:pt idx="1">
                  <c:v>Chennai MBC</c:v>
                </c:pt>
                <c:pt idx="2">
                  <c:v>Delhi MBC</c:v>
                </c:pt>
                <c:pt idx="3">
                  <c:v>Mumbai MBC</c:v>
                </c:pt>
              </c:strCache>
            </c:strRef>
          </c:cat>
          <c:val>
            <c:numRef>
              <c:f>'Cancellations patterns by store'!$E$3:$E$7</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A-74E9-47E7-BABD-EC2DEC32AD8A}"/>
            </c:ext>
          </c:extLst>
        </c:ser>
        <c:ser>
          <c:idx val="4"/>
          <c:order val="4"/>
          <c:tx>
            <c:strRef>
              <c:f>'Cancellations patterns by store'!$F$1:$F$2</c:f>
              <c:strCache>
                <c:ptCount val="1"/>
                <c:pt idx="0">
                  <c:v>Price</c:v>
                </c:pt>
              </c:strCache>
            </c:strRef>
          </c:tx>
          <c:spPr>
            <a:solidFill>
              <a:schemeClr val="accent5"/>
            </a:solidFill>
            <a:ln>
              <a:noFill/>
            </a:ln>
            <a:effectLst/>
          </c:spPr>
          <c:invertIfNegative val="0"/>
          <c:cat>
            <c:strRef>
              <c:f>'Cancellations patterns by store'!$A$3:$A$7</c:f>
              <c:strCache>
                <c:ptCount val="4"/>
                <c:pt idx="0">
                  <c:v>Bangalore MBC</c:v>
                </c:pt>
                <c:pt idx="1">
                  <c:v>Chennai MBC</c:v>
                </c:pt>
                <c:pt idx="2">
                  <c:v>Delhi MBC</c:v>
                </c:pt>
                <c:pt idx="3">
                  <c:v>Mumbai MBC</c:v>
                </c:pt>
              </c:strCache>
            </c:strRef>
          </c:cat>
          <c:val>
            <c:numRef>
              <c:f>'Cancellations patterns by store'!$F$3:$F$7</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B-74E9-47E7-BABD-EC2DEC32AD8A}"/>
            </c:ext>
          </c:extLst>
        </c:ser>
        <c:dLbls>
          <c:showLegendKey val="0"/>
          <c:showVal val="0"/>
          <c:showCatName val="0"/>
          <c:showSerName val="0"/>
          <c:showPercent val="0"/>
          <c:showBubbleSize val="0"/>
        </c:dLbls>
        <c:gapWidth val="150"/>
        <c:overlap val="100"/>
        <c:axId val="1861049056"/>
        <c:axId val="1861035136"/>
      </c:barChart>
      <c:catAx>
        <c:axId val="186104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35136"/>
        <c:crosses val="autoZero"/>
        <c:auto val="1"/>
        <c:lblAlgn val="ctr"/>
        <c:lblOffset val="100"/>
        <c:noMultiLvlLbl val="0"/>
      </c:catAx>
      <c:valAx>
        <c:axId val="18610351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Cold</c:v>
          </c:tx>
          <c:spPr>
            <a:solidFill>
              <a:schemeClr val="accent1"/>
            </a:solidFill>
            <a:ln>
              <a:noFill/>
            </a:ln>
            <a:effectLst/>
          </c:spPr>
          <c:invertIfNegative val="0"/>
          <c:cat>
            <c:strLit>
              <c:ptCount val="4"/>
              <c:pt idx="0">
                <c:v>Bangalore MBC</c:v>
              </c:pt>
              <c:pt idx="1">
                <c:v>Chennai MBC</c:v>
              </c:pt>
              <c:pt idx="2">
                <c:v>Delhi MBC</c:v>
              </c:pt>
              <c:pt idx="3">
                <c:v>Mumbai MBC</c:v>
              </c:pt>
            </c:strLit>
          </c:cat>
          <c:val>
            <c:numLit>
              <c:formatCode>General</c:formatCode>
              <c:ptCount val="4"/>
              <c:pt idx="0">
                <c:v>51</c:v>
              </c:pt>
              <c:pt idx="1">
                <c:v>39</c:v>
              </c:pt>
              <c:pt idx="2">
                <c:v>51</c:v>
              </c:pt>
              <c:pt idx="3">
                <c:v>47</c:v>
              </c:pt>
            </c:numLit>
          </c:val>
          <c:extLst>
            <c:ext xmlns:c16="http://schemas.microsoft.com/office/drawing/2014/chart" uri="{C3380CC4-5D6E-409C-BE32-E72D297353CC}">
              <c16:uniqueId val="{00000000-D51C-4585-BF7C-32F126C1E793}"/>
            </c:ext>
          </c:extLst>
        </c:ser>
        <c:ser>
          <c:idx val="1"/>
          <c:order val="1"/>
          <c:tx>
            <c:v>Hot</c:v>
          </c:tx>
          <c:spPr>
            <a:solidFill>
              <a:schemeClr val="accent2"/>
            </a:solidFill>
            <a:ln>
              <a:noFill/>
            </a:ln>
            <a:effectLst/>
          </c:spPr>
          <c:invertIfNegative val="0"/>
          <c:cat>
            <c:strLit>
              <c:ptCount val="4"/>
              <c:pt idx="0">
                <c:v>Bangalore MBC</c:v>
              </c:pt>
              <c:pt idx="1">
                <c:v>Chennai MBC</c:v>
              </c:pt>
              <c:pt idx="2">
                <c:v>Delhi MBC</c:v>
              </c:pt>
              <c:pt idx="3">
                <c:v>Mumbai MBC</c:v>
              </c:pt>
            </c:strLit>
          </c:cat>
          <c:val>
            <c:numLit>
              <c:formatCode>General</c:formatCode>
              <c:ptCount val="4"/>
              <c:pt idx="0">
                <c:v>80</c:v>
              </c:pt>
              <c:pt idx="1">
                <c:v>70</c:v>
              </c:pt>
              <c:pt idx="2">
                <c:v>70</c:v>
              </c:pt>
              <c:pt idx="3">
                <c:v>83</c:v>
              </c:pt>
            </c:numLit>
          </c:val>
          <c:extLst>
            <c:ext xmlns:c16="http://schemas.microsoft.com/office/drawing/2014/chart" uri="{C3380CC4-5D6E-409C-BE32-E72D297353CC}">
              <c16:uniqueId val="{00000001-D51C-4585-BF7C-32F126C1E793}"/>
            </c:ext>
          </c:extLst>
        </c:ser>
        <c:ser>
          <c:idx val="2"/>
          <c:order val="2"/>
          <c:tx>
            <c:v>Warm</c:v>
          </c:tx>
          <c:spPr>
            <a:solidFill>
              <a:schemeClr val="accent3"/>
            </a:solidFill>
            <a:ln>
              <a:noFill/>
            </a:ln>
            <a:effectLst/>
          </c:spPr>
          <c:invertIfNegative val="0"/>
          <c:cat>
            <c:strLit>
              <c:ptCount val="4"/>
              <c:pt idx="0">
                <c:v>Bangalore MBC</c:v>
              </c:pt>
              <c:pt idx="1">
                <c:v>Chennai MBC</c:v>
              </c:pt>
              <c:pt idx="2">
                <c:v>Delhi MBC</c:v>
              </c:pt>
              <c:pt idx="3">
                <c:v>Mumbai MBC</c:v>
              </c:pt>
            </c:strLit>
          </c:cat>
          <c:val>
            <c:numLit>
              <c:formatCode>General</c:formatCode>
              <c:ptCount val="4"/>
              <c:pt idx="0">
                <c:v>132</c:v>
              </c:pt>
              <c:pt idx="1">
                <c:v>103</c:v>
              </c:pt>
              <c:pt idx="2">
                <c:v>142</c:v>
              </c:pt>
              <c:pt idx="3">
                <c:v>132</c:v>
              </c:pt>
            </c:numLit>
          </c:val>
          <c:extLst>
            <c:ext xmlns:c16="http://schemas.microsoft.com/office/drawing/2014/chart" uri="{C3380CC4-5D6E-409C-BE32-E72D297353CC}">
              <c16:uniqueId val="{00000002-D51C-4585-BF7C-32F126C1E793}"/>
            </c:ext>
          </c:extLst>
        </c:ser>
        <c:dLbls>
          <c:showLegendKey val="0"/>
          <c:showVal val="0"/>
          <c:showCatName val="0"/>
          <c:showSerName val="0"/>
          <c:showPercent val="0"/>
          <c:showBubbleSize val="0"/>
        </c:dLbls>
        <c:gapWidth val="219"/>
        <c:axId val="517868704"/>
        <c:axId val="517869184"/>
      </c:barChart>
      <c:catAx>
        <c:axId val="5178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9184"/>
        <c:crosses val="autoZero"/>
        <c:auto val="1"/>
        <c:lblAlgn val="ctr"/>
        <c:lblOffset val="100"/>
        <c:noMultiLvlLbl val="0"/>
      </c:catAx>
      <c:valAx>
        <c:axId val="5178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(Recovered).xlsx]NPS of each Store!PivotTable9</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851574803149606"/>
          <c:h val="0.65853091280256637"/>
        </c:manualLayout>
      </c:layout>
      <c:lineChart>
        <c:grouping val="stacked"/>
        <c:varyColors val="0"/>
        <c:ser>
          <c:idx val="0"/>
          <c:order val="0"/>
          <c:tx>
            <c:strRef>
              <c:f>'NPS of each Store'!$B$1:$B$2</c:f>
              <c:strCache>
                <c:ptCount val="1"/>
                <c:pt idx="0">
                  <c:v>Detractors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'NPS of each Store'!$A$3:$A$7</c:f>
              <c:strCache>
                <c:ptCount val="4"/>
                <c:pt idx="0">
                  <c:v>Bangalore MBC</c:v>
                </c:pt>
                <c:pt idx="1">
                  <c:v>Chennai MBC</c:v>
                </c:pt>
                <c:pt idx="2">
                  <c:v>Delhi MBC</c:v>
                </c:pt>
                <c:pt idx="3">
                  <c:v>Mumbai MBC</c:v>
                </c:pt>
              </c:strCache>
            </c:strRef>
          </c:cat>
          <c:val>
            <c:numRef>
              <c:f>'NPS of each Store'!$B$3:$B$7</c:f>
              <c:numCache>
                <c:formatCode>General</c:formatCode>
                <c:ptCount val="4"/>
                <c:pt idx="0">
                  <c:v>134</c:v>
                </c:pt>
                <c:pt idx="1">
                  <c:v>99</c:v>
                </c:pt>
                <c:pt idx="2">
                  <c:v>123</c:v>
                </c:pt>
                <c:pt idx="3">
                  <c:v>138</c:v>
                </c:pt>
              </c:numCache>
            </c:numRef>
          </c:val>
          <c:smooth val="0"/>
          <c:extLst>
            <c:ext xmlns:c16="http://schemas.microsoft.com/office/drawing/2014/chart" uri="{C3380CC4-5D6E-409C-BE32-E72D297353CC}">
              <c16:uniqueId val="{00000007-83C3-4FE0-A590-61A5DBDBD5B1}"/>
            </c:ext>
          </c:extLst>
        </c:ser>
        <c:ser>
          <c:idx val="1"/>
          <c:order val="1"/>
          <c:tx>
            <c:strRef>
              <c:f>'NPS of each Store'!$C$1:$C$2</c:f>
              <c:strCache>
                <c:ptCount val="1"/>
                <c:pt idx="0">
                  <c:v>Passives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'NPS of each Store'!$A$3:$A$7</c:f>
              <c:strCache>
                <c:ptCount val="4"/>
                <c:pt idx="0">
                  <c:v>Bangalore MBC</c:v>
                </c:pt>
                <c:pt idx="1">
                  <c:v>Chennai MBC</c:v>
                </c:pt>
                <c:pt idx="2">
                  <c:v>Delhi MBC</c:v>
                </c:pt>
                <c:pt idx="3">
                  <c:v>Mumbai MBC</c:v>
                </c:pt>
              </c:strCache>
            </c:strRef>
          </c:cat>
          <c:val>
            <c:numRef>
              <c:f>'NPS of each Store'!$C$3:$C$7</c:f>
              <c:numCache>
                <c:formatCode>General</c:formatCode>
                <c:ptCount val="4"/>
                <c:pt idx="0">
                  <c:v>34</c:v>
                </c:pt>
                <c:pt idx="1">
                  <c:v>26</c:v>
                </c:pt>
                <c:pt idx="2">
                  <c:v>33</c:v>
                </c:pt>
                <c:pt idx="3">
                  <c:v>38</c:v>
                </c:pt>
              </c:numCache>
            </c:numRef>
          </c:val>
          <c:smooth val="0"/>
          <c:extLst>
            <c:ext xmlns:c16="http://schemas.microsoft.com/office/drawing/2014/chart" uri="{C3380CC4-5D6E-409C-BE32-E72D297353CC}">
              <c16:uniqueId val="{00000008-83C3-4FE0-A590-61A5DBDBD5B1}"/>
            </c:ext>
          </c:extLst>
        </c:ser>
        <c:ser>
          <c:idx val="2"/>
          <c:order val="2"/>
          <c:tx>
            <c:strRef>
              <c:f>'NPS of each Store'!$D$1:$D$2</c:f>
              <c:strCache>
                <c:ptCount val="1"/>
                <c:pt idx="0">
                  <c:v>Promoters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'NPS of each Store'!$A$3:$A$7</c:f>
              <c:strCache>
                <c:ptCount val="4"/>
                <c:pt idx="0">
                  <c:v>Bangalore MBC</c:v>
                </c:pt>
                <c:pt idx="1">
                  <c:v>Chennai MBC</c:v>
                </c:pt>
                <c:pt idx="2">
                  <c:v>Delhi MBC</c:v>
                </c:pt>
                <c:pt idx="3">
                  <c:v>Mumbai MBC</c:v>
                </c:pt>
              </c:strCache>
            </c:strRef>
          </c:cat>
          <c:val>
            <c:numRef>
              <c:f>'NPS of each Store'!$D$3:$D$7</c:f>
              <c:numCache>
                <c:formatCode>General</c:formatCode>
                <c:ptCount val="4"/>
                <c:pt idx="0">
                  <c:v>23</c:v>
                </c:pt>
                <c:pt idx="1">
                  <c:v>28</c:v>
                </c:pt>
                <c:pt idx="2">
                  <c:v>30</c:v>
                </c:pt>
                <c:pt idx="3">
                  <c:v>23</c:v>
                </c:pt>
              </c:numCache>
            </c:numRef>
          </c:val>
          <c:smooth val="0"/>
          <c:extLst>
            <c:ext xmlns:c16="http://schemas.microsoft.com/office/drawing/2014/chart" uri="{C3380CC4-5D6E-409C-BE32-E72D297353CC}">
              <c16:uniqueId val="{00000009-83C3-4FE0-A590-61A5DBDBD5B1}"/>
            </c:ext>
          </c:extLst>
        </c:ser>
        <c:dLbls>
          <c:showLegendKey val="0"/>
          <c:showVal val="0"/>
          <c:showCatName val="0"/>
          <c:showSerName val="0"/>
          <c:showPercent val="0"/>
          <c:showBubbleSize val="0"/>
        </c:dLbls>
        <c:marker val="1"/>
        <c:smooth val="0"/>
        <c:axId val="517817824"/>
        <c:axId val="517829824"/>
      </c:lineChart>
      <c:catAx>
        <c:axId val="5178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29824"/>
        <c:crosses val="autoZero"/>
        <c:auto val="1"/>
        <c:lblAlgn val="ctr"/>
        <c:lblOffset val="100"/>
        <c:noMultiLvlLbl val="0"/>
      </c:catAx>
      <c:valAx>
        <c:axId val="51782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[New%20Microsoft%20Excel%20Worksheet (Recovered).xlsx]Breakdown of lead type!PivotTable9</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'Breakdown of lead type'!$IT$51</c:f>
              <c:strCache>
                <c:ptCount val="1"/>
                <c:pt idx="0">
                  <c:v>Count of Pre-Booking Date</c:v>
                </c:pt>
              </c:strCache>
            </c:strRef>
          </c:tx>
          <c:spPr>
            <a:ln w="28575" cap="rnd">
              <a:solidFill>
                <a:schemeClr val="accent1"/>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type'!$IT$52:$IT$68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0-9DCC-4469-A900-C28E54881791}"/>
            </c:ext>
          </c:extLst>
        </c:ser>
        <c:ser>
          <c:idx val="1"/>
          <c:order val="1"/>
          <c:tx>
            <c:strRef>
              <c:f>'Breakdown of lead type'!$IU$51</c:f>
              <c:strCache>
                <c:ptCount val="1"/>
                <c:pt idx="0">
                  <c:v>Count of Booking Date</c:v>
                </c:pt>
              </c:strCache>
            </c:strRef>
          </c:tx>
          <c:spPr>
            <a:ln w="28575" cap="rnd">
              <a:solidFill>
                <a:schemeClr val="accent2"/>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type'!$IU$52:$IU$68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1-9DCC-4469-A900-C28E54881791}"/>
            </c:ext>
          </c:extLst>
        </c:ser>
        <c:ser>
          <c:idx val="2"/>
          <c:order val="2"/>
          <c:tx>
            <c:strRef>
              <c:f>'Breakdown of lead type'!$IV$51</c:f>
              <c:strCache>
                <c:ptCount val="1"/>
                <c:pt idx="0">
                  <c:v>Count of Delivery Date</c:v>
                </c:pt>
              </c:strCache>
            </c:strRef>
          </c:tx>
          <c:spPr>
            <a:ln w="28575" cap="rnd">
              <a:solidFill>
                <a:schemeClr val="accent3"/>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type'!$IV$52:$IV$68</c:f>
              <c:numCache>
                <c:formatCode>General</c:formatCode>
                <c:ptCount val="12"/>
                <c:pt idx="1">
                  <c:v>193</c:v>
                </c:pt>
                <c:pt idx="2">
                  <c:v>19</c:v>
                </c:pt>
                <c:pt idx="4">
                  <c:v>164</c:v>
                </c:pt>
                <c:pt idx="5">
                  <c:v>9</c:v>
                </c:pt>
                <c:pt idx="7">
                  <c:v>187</c:v>
                </c:pt>
                <c:pt idx="8">
                  <c:v>25</c:v>
                </c:pt>
                <c:pt idx="10">
                  <c:v>193</c:v>
                </c:pt>
                <c:pt idx="11">
                  <c:v>22</c:v>
                </c:pt>
              </c:numCache>
            </c:numRef>
          </c:val>
          <c:smooth val="0"/>
          <c:extLst>
            <c:ext xmlns:c16="http://schemas.microsoft.com/office/drawing/2014/chart" uri="{C3380CC4-5D6E-409C-BE32-E72D297353CC}">
              <c16:uniqueId val="{00000002-9DCC-4469-A900-C28E54881791}"/>
            </c:ext>
          </c:extLst>
        </c:ser>
        <c:ser>
          <c:idx val="3"/>
          <c:order val="3"/>
          <c:tx>
            <c:strRef>
              <c:f>'Breakdown of lead type'!$IW$51</c:f>
              <c:strCache>
                <c:ptCount val="1"/>
                <c:pt idx="0">
                  <c:v>Count of Cancellation Status</c:v>
                </c:pt>
              </c:strCache>
            </c:strRef>
          </c:tx>
          <c:spPr>
            <a:ln w="28575" cap="rnd">
              <a:solidFill>
                <a:schemeClr val="accent4"/>
              </a:solidFill>
              <a:round/>
            </a:ln>
            <a:effectLst/>
          </c:spPr>
          <c:marker>
            <c:symbol val="none"/>
          </c:marker>
          <c:cat>
            <c:multiLvlStrRef>
              <c:f>'Breakdown of lead type'!$IS$52:$IS$68</c:f>
              <c:multiLvlStrCache>
                <c:ptCount val="12"/>
                <c:lvl>
                  <c:pt idx="0">
                    <c:v>&lt;02-10-2025</c:v>
                  </c:pt>
                  <c:pt idx="1">
                    <c:v>Oct</c:v>
                  </c:pt>
                  <c:pt idx="2">
                    <c:v>Nov</c:v>
                  </c:pt>
                  <c:pt idx="3">
                    <c:v>&lt;02-10-2025</c:v>
                  </c:pt>
                  <c:pt idx="4">
                    <c:v>Oct</c:v>
                  </c:pt>
                  <c:pt idx="5">
                    <c:v>Nov</c:v>
                  </c:pt>
                  <c:pt idx="6">
                    <c:v>&lt;02-10-2025</c:v>
                  </c:pt>
                  <c:pt idx="7">
                    <c:v>Oct</c:v>
                  </c:pt>
                  <c:pt idx="8">
                    <c:v>Nov</c:v>
                  </c:pt>
                  <c:pt idx="9">
                    <c:v>&lt;02-10-2025</c:v>
                  </c:pt>
                  <c:pt idx="10">
                    <c:v>Oct</c:v>
                  </c:pt>
                  <c:pt idx="11">
                    <c:v>Nov</c:v>
                  </c:pt>
                </c:lvl>
                <c:lvl>
                  <c:pt idx="0">
                    <c:v>Bangalore MBC</c:v>
                  </c:pt>
                  <c:pt idx="3">
                    <c:v>Chennai MBC</c:v>
                  </c:pt>
                  <c:pt idx="6">
                    <c:v>Delhi MBC</c:v>
                  </c:pt>
                  <c:pt idx="9">
                    <c:v>Mumbai MBC</c:v>
                  </c:pt>
                </c:lvl>
              </c:multiLvlStrCache>
            </c:multiLvlStrRef>
          </c:cat>
          <c:val>
            <c:numRef>
              <c:f>'Breakdown of lead type'!$IW$52:$IW$68</c:f>
              <c:numCache>
                <c:formatCode>General</c:formatCode>
                <c:ptCount val="12"/>
                <c:pt idx="0">
                  <c:v>51</c:v>
                </c:pt>
                <c:pt idx="1">
                  <c:v>193</c:v>
                </c:pt>
                <c:pt idx="2">
                  <c:v>19</c:v>
                </c:pt>
                <c:pt idx="3">
                  <c:v>39</c:v>
                </c:pt>
                <c:pt idx="4">
                  <c:v>164</c:v>
                </c:pt>
                <c:pt idx="5">
                  <c:v>9</c:v>
                </c:pt>
                <c:pt idx="6">
                  <c:v>51</c:v>
                </c:pt>
                <c:pt idx="7">
                  <c:v>187</c:v>
                </c:pt>
                <c:pt idx="8">
                  <c:v>25</c:v>
                </c:pt>
                <c:pt idx="9">
                  <c:v>47</c:v>
                </c:pt>
                <c:pt idx="10">
                  <c:v>193</c:v>
                </c:pt>
                <c:pt idx="11">
                  <c:v>22</c:v>
                </c:pt>
              </c:numCache>
            </c:numRef>
          </c:val>
          <c:smooth val="0"/>
          <c:extLst>
            <c:ext xmlns:c16="http://schemas.microsoft.com/office/drawing/2014/chart" uri="{C3380CC4-5D6E-409C-BE32-E72D297353CC}">
              <c16:uniqueId val="{00000003-9DCC-4469-A900-C28E54881791}"/>
            </c:ext>
          </c:extLst>
        </c:ser>
        <c:dLbls>
          <c:showLegendKey val="0"/>
          <c:showVal val="0"/>
          <c:showCatName val="0"/>
          <c:showSerName val="0"/>
          <c:showPercent val="0"/>
          <c:showBubbleSize val="0"/>
        </c:dLbls>
        <c:smooth val="0"/>
        <c:axId val="818727023"/>
        <c:axId val="818729423"/>
      </c:lineChart>
      <c:catAx>
        <c:axId val="81872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29423"/>
        <c:crosses val="autoZero"/>
        <c:auto val="1"/>
        <c:lblAlgn val="ctr"/>
        <c:lblOffset val="100"/>
        <c:noMultiLvlLbl val="0"/>
      </c:catAx>
      <c:valAx>
        <c:axId val="8187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2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_xlchart.v2.5</cx:f>
      </cx:numDim>
    </cx:data>
    <cx:data id="1">
      <cx:numDim type="val">
        <cx:f dir="row">_xlchart.v2.6</cx:f>
      </cx:numDim>
    </cx:data>
    <cx:data id="2">
      <cx:numDim type="val">
        <cx:f dir="row">_xlchart.v2.7</cx:f>
      </cx:numDim>
    </cx:data>
    <cx:data id="3">
      <cx:numDim type="val">
        <cx:f dir="row">_xlchart.v2.8</cx:f>
      </cx:numDim>
    </cx:data>
    <cx:data id="4">
      <cx:numDim type="val">
        <cx:f dir="row">_xlchart.v2.9</cx:f>
      </cx:numDim>
    </cx:data>
  </cx:chartData>
  <cx:chart>
    <cx:title pos="t" align="ctr" overlay="0">
      <cx:tx>
        <cx:txData>
          <cx:v>Conversion Funnel</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Conversion Funnel</a:t>
          </a:r>
        </a:p>
      </cx:txPr>
    </cx:title>
    <cx:plotArea>
      <cx:plotAreaRegion>
        <cx:series layoutId="funnel" uniqueId="{9EF833EE-D67C-49E4-B4CB-2DE70FE06638}" formatIdx="0">
          <cx:tx>
            <cx:txData>
              <cx:f>_xlchart.v2.0</cx:f>
              <cx:v>Bangalore MBC</cx:v>
            </cx:txData>
          </cx:tx>
          <cx:dataLabels>
            <cx:visibility seriesName="0" categoryName="0" value="1"/>
          </cx:dataLabels>
          <cx:dataId val="0"/>
        </cx:series>
        <cx:series layoutId="funnel" hidden="1" uniqueId="{E6F2AD85-6818-4B84-94CE-B3B3B7C598DD}" formatIdx="1">
          <cx:tx>
            <cx:txData>
              <cx:f>_xlchart.v2.1</cx:f>
              <cx:v>Chennai MBC</cx:v>
            </cx:txData>
          </cx:tx>
          <cx:dataLabels>
            <cx:visibility seriesName="0" categoryName="0" value="1"/>
          </cx:dataLabels>
          <cx:dataId val="1"/>
        </cx:series>
        <cx:series layoutId="funnel" hidden="1" uniqueId="{A6D563A6-9816-4759-A3A7-C1351A6E8870}" formatIdx="2">
          <cx:tx>
            <cx:txData>
              <cx:f>_xlchart.v2.2</cx:f>
              <cx:v>Delhi MBC</cx:v>
            </cx:txData>
          </cx:tx>
          <cx:dataLabels>
            <cx:visibility seriesName="0" categoryName="0" value="1"/>
          </cx:dataLabels>
          <cx:dataId val="2"/>
        </cx:series>
        <cx:series layoutId="funnel" hidden="1" uniqueId="{B7EF2F83-974F-461C-A6DF-AF61F679E864}" formatIdx="3">
          <cx:tx>
            <cx:txData>
              <cx:f>_xlchart.v2.3</cx:f>
              <cx:v>Mumbai MBC</cx:v>
            </cx:txData>
          </cx:tx>
          <cx:dataLabels>
            <cx:visibility seriesName="0" categoryName="0" value="1"/>
          </cx:dataLabels>
          <cx:dataId val="3"/>
        </cx:series>
        <cx:series layoutId="funnel" hidden="1" uniqueId="{FCC81A2C-55ED-4FC2-ADC5-E038E9906854}" formatIdx="4">
          <cx:tx>
            <cx:txData>
              <cx:f>_xlchart.v2.4</cx:f>
              <cx:v>Grand Total</cx:v>
            </cx:txData>
          </cx:tx>
          <cx:dataLabels>
            <cx:visibility seriesName="0" categoryName="0" value="1"/>
          </cx:dataLabels>
          <cx:dataId val="4"/>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 dir="row">_xlchart.v2.15</cx:f>
      </cx:numDim>
    </cx:data>
    <cx:data id="1">
      <cx:numDim type="val">
        <cx:f dir="row">_xlchart.v2.16</cx:f>
      </cx:numDim>
    </cx:data>
    <cx:data id="2">
      <cx:numDim type="val">
        <cx:f dir="row">_xlchart.v2.17</cx:f>
      </cx:numDim>
    </cx:data>
    <cx:data id="3">
      <cx:numDim type="val">
        <cx:f dir="row">_xlchart.v2.18</cx:f>
      </cx:numDim>
    </cx:data>
    <cx:data id="4">
      <cx:numDim type="val">
        <cx:f dir="row">_xlchart.v2.19</cx:f>
      </cx:numDim>
    </cx:data>
  </cx:chartData>
  <cx:chart>
    <cx:title pos="t" align="ctr" overlay="0">
      <cx:tx>
        <cx:txData>
          <cx:v>Conversion Funnel</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Conversion Funnel</a:t>
          </a:r>
        </a:p>
      </cx:txPr>
    </cx:title>
    <cx:plotArea>
      <cx:plotAreaRegion>
        <cx:series layoutId="funnel" uniqueId="{9EF833EE-D67C-49E4-B4CB-2DE70FE06638}" formatIdx="0">
          <cx:tx>
            <cx:txData>
              <cx:f>_xlchart.v2.10</cx:f>
              <cx:v>Bangalore MBC</cx:v>
            </cx:txData>
          </cx:tx>
          <cx:dataLabels>
            <cx:visibility seriesName="0" categoryName="0" value="1"/>
          </cx:dataLabels>
          <cx:dataId val="0"/>
        </cx:series>
        <cx:series layoutId="funnel" hidden="1" uniqueId="{E6F2AD85-6818-4B84-94CE-B3B3B7C598DD}" formatIdx="1">
          <cx:tx>
            <cx:txData>
              <cx:f>_xlchart.v2.11</cx:f>
              <cx:v>Chennai MBC</cx:v>
            </cx:txData>
          </cx:tx>
          <cx:dataLabels>
            <cx:visibility seriesName="0" categoryName="0" value="1"/>
          </cx:dataLabels>
          <cx:dataId val="1"/>
        </cx:series>
        <cx:series layoutId="funnel" hidden="1" uniqueId="{A6D563A6-9816-4759-A3A7-C1351A6E8870}" formatIdx="2">
          <cx:tx>
            <cx:txData>
              <cx:f>_xlchart.v2.12</cx:f>
              <cx:v>Delhi MBC</cx:v>
            </cx:txData>
          </cx:tx>
          <cx:dataLabels>
            <cx:visibility seriesName="0" categoryName="0" value="1"/>
          </cx:dataLabels>
          <cx:dataId val="2"/>
        </cx:series>
        <cx:series layoutId="funnel" hidden="1" uniqueId="{B7EF2F83-974F-461C-A6DF-AF61F679E864}" formatIdx="3">
          <cx:tx>
            <cx:txData>
              <cx:f>_xlchart.v2.13</cx:f>
              <cx:v>Mumbai MBC</cx:v>
            </cx:txData>
          </cx:tx>
          <cx:dataLabels>
            <cx:visibility seriesName="0" categoryName="0" value="1"/>
          </cx:dataLabels>
          <cx:dataId val="3"/>
        </cx:series>
        <cx:series layoutId="funnel" hidden="1" uniqueId="{FCC81A2C-55ED-4FC2-ADC5-E038E9906854}" formatIdx="4">
          <cx:tx>
            <cx:txData>
              <cx:f>_xlchart.v2.14</cx:f>
              <cx:v>Grand Total</cx:v>
            </cx:txData>
          </cx:tx>
          <cx:dataLabels>
            <cx:visibility seriesName="0" categoryName="0" value="1"/>
          </cx:dataLabels>
          <cx:dataId val="4"/>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507679</xdr:colOff>
      <xdr:row>2</xdr:row>
      <xdr:rowOff>81430</xdr:rowOff>
    </xdr:from>
    <xdr:to>
      <xdr:col>8</xdr:col>
      <xdr:colOff>338388</xdr:colOff>
      <xdr:row>21</xdr:row>
      <xdr:rowOff>75190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339D86A-51B5-4FD5-9D32-ADD45FA627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679" y="447190"/>
              <a:ext cx="4707509" cy="3468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154962</xdr:colOff>
      <xdr:row>3</xdr:row>
      <xdr:rowOff>1921</xdr:rowOff>
    </xdr:from>
    <xdr:to>
      <xdr:col>21</xdr:col>
      <xdr:colOff>338098</xdr:colOff>
      <xdr:row>18</xdr:row>
      <xdr:rowOff>21557</xdr:rowOff>
    </xdr:to>
    <xdr:graphicFrame macro="">
      <xdr:nvGraphicFramePr>
        <xdr:cNvPr id="3" name="Chart 2">
          <a:extLst>
            <a:ext uri="{FF2B5EF4-FFF2-40B4-BE49-F238E27FC236}">
              <a16:creationId xmlns:a16="http://schemas.microsoft.com/office/drawing/2014/main" id="{FA6B7277-0011-42A2-AB57-08DA12F6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333958</xdr:colOff>
      <xdr:row>10</xdr:row>
      <xdr:rowOff>106742</xdr:rowOff>
    </xdr:from>
    <xdr:to>
      <xdr:col>24</xdr:col>
      <xdr:colOff>339401</xdr:colOff>
      <xdr:row>16</xdr:row>
      <xdr:rowOff>143071</xdr:rowOff>
    </xdr:to>
    <mc:AlternateContent xmlns:mc="http://schemas.openxmlformats.org/markup-compatibility/2006" xmlns:a14="http://schemas.microsoft.com/office/drawing/2010/main">
      <mc:Choice Requires="a14">
        <xdr:graphicFrame macro="">
          <xdr:nvGraphicFramePr>
            <xdr:cNvPr id="4" name="Lead Type 4">
              <a:extLst>
                <a:ext uri="{FF2B5EF4-FFF2-40B4-BE49-F238E27FC236}">
                  <a16:creationId xmlns:a16="http://schemas.microsoft.com/office/drawing/2014/main" id="{29AFE5E6-1A6B-255E-8E7B-4FEE1D0A92DE}"/>
                </a:ext>
              </a:extLst>
            </xdr:cNvPr>
            <xdr:cNvGraphicFramePr/>
          </xdr:nvGraphicFramePr>
          <xdr:xfrm>
            <a:off x="0" y="0"/>
            <a:ext cx="0" cy="0"/>
          </xdr:xfrm>
          <a:graphic>
            <a:graphicData uri="http://schemas.microsoft.com/office/drawing/2010/slicer">
              <sle:slicer xmlns:sle="http://schemas.microsoft.com/office/drawing/2010/slicer" name="Lead Type 4"/>
            </a:graphicData>
          </a:graphic>
        </xdr:graphicFrame>
      </mc:Choice>
      <mc:Fallback xmlns="">
        <xdr:sp macro="" textlink="">
          <xdr:nvSpPr>
            <xdr:cNvPr id="0" name=""/>
            <xdr:cNvSpPr>
              <a:spLocks noTextEdit="1"/>
            </xdr:cNvSpPr>
          </xdr:nvSpPr>
          <xdr:spPr>
            <a:xfrm>
              <a:off x="13135558" y="1957313"/>
              <a:ext cx="1834243" cy="1146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337264</xdr:colOff>
      <xdr:row>3</xdr:row>
      <xdr:rowOff>10367</xdr:rowOff>
    </xdr:from>
    <xdr:to>
      <xdr:col>24</xdr:col>
      <xdr:colOff>342707</xdr:colOff>
      <xdr:row>10</xdr:row>
      <xdr:rowOff>92778</xdr:rowOff>
    </xdr:to>
    <mc:AlternateContent xmlns:mc="http://schemas.openxmlformats.org/markup-compatibility/2006" xmlns:a14="http://schemas.microsoft.com/office/drawing/2010/main">
      <mc:Choice Requires="a14">
        <xdr:graphicFrame macro="">
          <xdr:nvGraphicFramePr>
            <xdr:cNvPr id="5" name="Rating type 2">
              <a:extLst>
                <a:ext uri="{FF2B5EF4-FFF2-40B4-BE49-F238E27FC236}">
                  <a16:creationId xmlns:a16="http://schemas.microsoft.com/office/drawing/2014/main" id="{70FC81AD-4E2B-A4BB-7AB5-2A91EEDC5375}"/>
                </a:ext>
              </a:extLst>
            </xdr:cNvPr>
            <xdr:cNvGraphicFramePr/>
          </xdr:nvGraphicFramePr>
          <xdr:xfrm>
            <a:off x="0" y="0"/>
            <a:ext cx="0" cy="0"/>
          </xdr:xfrm>
          <a:graphic>
            <a:graphicData uri="http://schemas.microsoft.com/office/drawing/2010/slicer">
              <sle:slicer xmlns:sle="http://schemas.microsoft.com/office/drawing/2010/slicer" name="Rating type 2"/>
            </a:graphicData>
          </a:graphic>
        </xdr:graphicFrame>
      </mc:Choice>
      <mc:Fallback xmlns="">
        <xdr:sp macro="" textlink="">
          <xdr:nvSpPr>
            <xdr:cNvPr id="0" name=""/>
            <xdr:cNvSpPr>
              <a:spLocks noTextEdit="1"/>
            </xdr:cNvSpPr>
          </xdr:nvSpPr>
          <xdr:spPr>
            <a:xfrm>
              <a:off x="13138864" y="565538"/>
              <a:ext cx="1834243" cy="1377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569321</xdr:colOff>
      <xdr:row>22</xdr:row>
      <xdr:rowOff>98716</xdr:rowOff>
    </xdr:from>
    <xdr:to>
      <xdr:col>8</xdr:col>
      <xdr:colOff>275216</xdr:colOff>
      <xdr:row>37</xdr:row>
      <xdr:rowOff>120487</xdr:rowOff>
    </xdr:to>
    <xdr:graphicFrame macro="">
      <xdr:nvGraphicFramePr>
        <xdr:cNvPr id="6" name="Chart 5">
          <a:extLst>
            <a:ext uri="{FF2B5EF4-FFF2-40B4-BE49-F238E27FC236}">
              <a16:creationId xmlns:a16="http://schemas.microsoft.com/office/drawing/2014/main" id="{8F9189C5-9DFE-4C99-AA8C-57FD1E7DD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199572</xdr:colOff>
      <xdr:row>22</xdr:row>
      <xdr:rowOff>118883</xdr:rowOff>
    </xdr:from>
    <xdr:to>
      <xdr:col>11</xdr:col>
      <xdr:colOff>203541</xdr:colOff>
      <xdr:row>30</xdr:row>
      <xdr:rowOff>54225</xdr:rowOff>
    </xdr:to>
    <mc:AlternateContent xmlns:mc="http://schemas.openxmlformats.org/markup-compatibility/2006" xmlns:a14="http://schemas.microsoft.com/office/drawing/2010/main">
      <mc:Choice Requires="a14">
        <xdr:graphicFrame macro="">
          <xdr:nvGraphicFramePr>
            <xdr:cNvPr id="7" name="Rating type 4">
              <a:extLst>
                <a:ext uri="{FF2B5EF4-FFF2-40B4-BE49-F238E27FC236}">
                  <a16:creationId xmlns:a16="http://schemas.microsoft.com/office/drawing/2014/main" id="{B32B3C6C-6B9F-4F93-8711-186319F1BBEA}"/>
                </a:ext>
              </a:extLst>
            </xdr:cNvPr>
            <xdr:cNvGraphicFramePr/>
          </xdr:nvGraphicFramePr>
          <xdr:xfrm>
            <a:off x="0" y="0"/>
            <a:ext cx="0" cy="0"/>
          </xdr:xfrm>
          <a:graphic>
            <a:graphicData uri="http://schemas.microsoft.com/office/drawing/2010/slicer">
              <sle:slicer xmlns:sle="http://schemas.microsoft.com/office/drawing/2010/slicer" name="Rating type 4"/>
            </a:graphicData>
          </a:graphic>
        </xdr:graphicFrame>
      </mc:Choice>
      <mc:Fallback xmlns="">
        <xdr:sp macro="" textlink="">
          <xdr:nvSpPr>
            <xdr:cNvPr id="0" name=""/>
            <xdr:cNvSpPr>
              <a:spLocks noTextEdit="1"/>
            </xdr:cNvSpPr>
          </xdr:nvSpPr>
          <xdr:spPr>
            <a:xfrm>
              <a:off x="5076372" y="4190140"/>
              <a:ext cx="1832769" cy="141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219625</xdr:colOff>
      <xdr:row>21</xdr:row>
      <xdr:rowOff>38673</xdr:rowOff>
    </xdr:from>
    <xdr:to>
      <xdr:col>24</xdr:col>
      <xdr:colOff>551448</xdr:colOff>
      <xdr:row>40</xdr:row>
      <xdr:rowOff>170448</xdr:rowOff>
    </xdr:to>
    <xdr:graphicFrame macro="">
      <xdr:nvGraphicFramePr>
        <xdr:cNvPr id="8" name="Chart 7">
          <a:extLst>
            <a:ext uri="{FF2B5EF4-FFF2-40B4-BE49-F238E27FC236}">
              <a16:creationId xmlns:a16="http://schemas.microsoft.com/office/drawing/2014/main" id="{99468A6C-A563-4EBB-BC67-48AB4FCEB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461784</xdr:colOff>
      <xdr:row>21</xdr:row>
      <xdr:rowOff>71903</xdr:rowOff>
    </xdr:from>
    <xdr:to>
      <xdr:col>27</xdr:col>
      <xdr:colOff>449841</xdr:colOff>
      <xdr:row>27</xdr:row>
      <xdr:rowOff>148436</xdr:rowOff>
    </xdr:to>
    <mc:AlternateContent xmlns:mc="http://schemas.openxmlformats.org/markup-compatibility/2006" xmlns:a14="http://schemas.microsoft.com/office/drawing/2010/main">
      <mc:Choice Requires="a14">
        <xdr:graphicFrame macro="">
          <xdr:nvGraphicFramePr>
            <xdr:cNvPr id="9" name="Lead Type 5">
              <a:extLst>
                <a:ext uri="{FF2B5EF4-FFF2-40B4-BE49-F238E27FC236}">
                  <a16:creationId xmlns:a16="http://schemas.microsoft.com/office/drawing/2014/main" id="{CDF53478-52AD-41F3-9C46-48BDF84F5358}"/>
                </a:ext>
              </a:extLst>
            </xdr:cNvPr>
            <xdr:cNvGraphicFramePr/>
          </xdr:nvGraphicFramePr>
          <xdr:xfrm>
            <a:off x="0" y="0"/>
            <a:ext cx="0" cy="0"/>
          </xdr:xfrm>
          <a:graphic>
            <a:graphicData uri="http://schemas.microsoft.com/office/drawing/2010/slicer">
              <sle:slicer xmlns:sle="http://schemas.microsoft.com/office/drawing/2010/slicer" name="Lead Type 5"/>
            </a:graphicData>
          </a:graphic>
        </xdr:graphicFrame>
      </mc:Choice>
      <mc:Fallback xmlns="">
        <xdr:sp macro="" textlink="">
          <xdr:nvSpPr>
            <xdr:cNvPr id="0" name=""/>
            <xdr:cNvSpPr>
              <a:spLocks noTextEdit="1"/>
            </xdr:cNvSpPr>
          </xdr:nvSpPr>
          <xdr:spPr>
            <a:xfrm>
              <a:off x="15092184" y="3958103"/>
              <a:ext cx="1816857" cy="1186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41</xdr:row>
      <xdr:rowOff>54428</xdr:rowOff>
    </xdr:from>
    <xdr:to>
      <xdr:col>10</xdr:col>
      <xdr:colOff>555171</xdr:colOff>
      <xdr:row>61</xdr:row>
      <xdr:rowOff>32657</xdr:rowOff>
    </xdr:to>
    <xdr:graphicFrame macro="">
      <xdr:nvGraphicFramePr>
        <xdr:cNvPr id="10" name="Chart 9">
          <a:extLst>
            <a:ext uri="{FF2B5EF4-FFF2-40B4-BE49-F238E27FC236}">
              <a16:creationId xmlns:a16="http://schemas.microsoft.com/office/drawing/2014/main" id="{6D7D1200-18C9-42C7-AAFC-56684CE10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29391</xdr:colOff>
      <xdr:row>41</xdr:row>
      <xdr:rowOff>50075</xdr:rowOff>
    </xdr:from>
    <xdr:to>
      <xdr:col>14</xdr:col>
      <xdr:colOff>29391</xdr:colOff>
      <xdr:row>47</xdr:row>
      <xdr:rowOff>87086</xdr:rowOff>
    </xdr:to>
    <mc:AlternateContent xmlns:mc="http://schemas.openxmlformats.org/markup-compatibility/2006" xmlns:a14="http://schemas.microsoft.com/office/drawing/2010/main">
      <mc:Choice Requires="a14">
        <xdr:graphicFrame macro="">
          <xdr:nvGraphicFramePr>
            <xdr:cNvPr id="11" name="Lead Type 6">
              <a:extLst>
                <a:ext uri="{FF2B5EF4-FFF2-40B4-BE49-F238E27FC236}">
                  <a16:creationId xmlns:a16="http://schemas.microsoft.com/office/drawing/2014/main" id="{3FA3EBD8-DADE-0F05-34BE-5CAC7544F5E5}"/>
                </a:ext>
              </a:extLst>
            </xdr:cNvPr>
            <xdr:cNvGraphicFramePr/>
          </xdr:nvGraphicFramePr>
          <xdr:xfrm>
            <a:off x="0" y="0"/>
            <a:ext cx="0" cy="0"/>
          </xdr:xfrm>
          <a:graphic>
            <a:graphicData uri="http://schemas.microsoft.com/office/drawing/2010/slicer">
              <sle:slicer xmlns:sle="http://schemas.microsoft.com/office/drawing/2010/slicer" name="Lead Type 6"/>
            </a:graphicData>
          </a:graphic>
        </xdr:graphicFrame>
      </mc:Choice>
      <mc:Fallback xmlns="">
        <xdr:sp macro="" textlink="">
          <xdr:nvSpPr>
            <xdr:cNvPr id="0" name=""/>
            <xdr:cNvSpPr>
              <a:spLocks noTextEdit="1"/>
            </xdr:cNvSpPr>
          </xdr:nvSpPr>
          <xdr:spPr>
            <a:xfrm>
              <a:off x="6734991" y="763741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596537</xdr:colOff>
      <xdr:row>49</xdr:row>
      <xdr:rowOff>40279</xdr:rowOff>
    </xdr:from>
    <xdr:to>
      <xdr:col>13</xdr:col>
      <xdr:colOff>596537</xdr:colOff>
      <xdr:row>56</xdr:row>
      <xdr:rowOff>108859</xdr:rowOff>
    </xdr:to>
    <mc:AlternateContent xmlns:mc="http://schemas.openxmlformats.org/markup-compatibility/2006" xmlns:a14="http://schemas.microsoft.com/office/drawing/2010/main">
      <mc:Choice Requires="a14">
        <xdr:graphicFrame macro="">
          <xdr:nvGraphicFramePr>
            <xdr:cNvPr id="12" name="Rating type 5">
              <a:extLst>
                <a:ext uri="{FF2B5EF4-FFF2-40B4-BE49-F238E27FC236}">
                  <a16:creationId xmlns:a16="http://schemas.microsoft.com/office/drawing/2014/main" id="{47615CDD-086D-A0FE-B7F8-29C05631EA4E}"/>
                </a:ext>
              </a:extLst>
            </xdr:cNvPr>
            <xdr:cNvGraphicFramePr/>
          </xdr:nvGraphicFramePr>
          <xdr:xfrm>
            <a:off x="0" y="0"/>
            <a:ext cx="0" cy="0"/>
          </xdr:xfrm>
          <a:graphic>
            <a:graphicData uri="http://schemas.microsoft.com/office/drawing/2010/slicer">
              <sle:slicer xmlns:sle="http://schemas.microsoft.com/office/drawing/2010/slicer" name="Rating type 5"/>
            </a:graphicData>
          </a:graphic>
        </xdr:graphicFrame>
      </mc:Choice>
      <mc:Fallback xmlns="">
        <xdr:sp macro="" textlink="">
          <xdr:nvSpPr>
            <xdr:cNvPr id="0" name=""/>
            <xdr:cNvSpPr>
              <a:spLocks noTextEdit="1"/>
            </xdr:cNvSpPr>
          </xdr:nvSpPr>
          <xdr:spPr>
            <a:xfrm>
              <a:off x="6711352" y="8798575"/>
              <a:ext cx="1834444" cy="1319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42</xdr:row>
      <xdr:rowOff>0</xdr:rowOff>
    </xdr:from>
    <xdr:to>
      <xdr:col>22</xdr:col>
      <xdr:colOff>291629</xdr:colOff>
      <xdr:row>57</xdr:row>
      <xdr:rowOff>62089</xdr:rowOff>
    </xdr:to>
    <xdr:graphicFrame macro="">
      <xdr:nvGraphicFramePr>
        <xdr:cNvPr id="13" name="Chart 12">
          <a:extLst>
            <a:ext uri="{FF2B5EF4-FFF2-40B4-BE49-F238E27FC236}">
              <a16:creationId xmlns:a16="http://schemas.microsoft.com/office/drawing/2014/main" id="{396320B5-02A1-44FE-8899-C9C7541E2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361150</xdr:colOff>
      <xdr:row>44</xdr:row>
      <xdr:rowOff>14770</xdr:rowOff>
    </xdr:from>
    <xdr:to>
      <xdr:col>25</xdr:col>
      <xdr:colOff>355506</xdr:colOff>
      <xdr:row>52</xdr:row>
      <xdr:rowOff>9408</xdr:rowOff>
    </xdr:to>
    <mc:AlternateContent xmlns:mc="http://schemas.openxmlformats.org/markup-compatibility/2006" xmlns:a14="http://schemas.microsoft.com/office/drawing/2010/main">
      <mc:Choice Requires="a14">
        <xdr:graphicFrame macro="">
          <xdr:nvGraphicFramePr>
            <xdr:cNvPr id="14" name="Rating type 6">
              <a:extLst>
                <a:ext uri="{FF2B5EF4-FFF2-40B4-BE49-F238E27FC236}">
                  <a16:creationId xmlns:a16="http://schemas.microsoft.com/office/drawing/2014/main" id="{FA2DD480-F125-7B38-8E43-98747BCED6B0}"/>
                </a:ext>
              </a:extLst>
            </xdr:cNvPr>
            <xdr:cNvGraphicFramePr/>
          </xdr:nvGraphicFramePr>
          <xdr:xfrm>
            <a:off x="0" y="0"/>
            <a:ext cx="0" cy="0"/>
          </xdr:xfrm>
          <a:graphic>
            <a:graphicData uri="http://schemas.microsoft.com/office/drawing/2010/slicer">
              <sle:slicer xmlns:sle="http://schemas.microsoft.com/office/drawing/2010/slicer" name="Rating type 6"/>
            </a:graphicData>
          </a:graphic>
        </xdr:graphicFrame>
      </mc:Choice>
      <mc:Fallback xmlns="">
        <xdr:sp macro="" textlink="">
          <xdr:nvSpPr>
            <xdr:cNvPr id="0" name=""/>
            <xdr:cNvSpPr>
              <a:spLocks noTextEdit="1"/>
            </xdr:cNvSpPr>
          </xdr:nvSpPr>
          <xdr:spPr>
            <a:xfrm>
              <a:off x="13813743" y="7879363"/>
              <a:ext cx="1828800" cy="142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357481</xdr:colOff>
      <xdr:row>62</xdr:row>
      <xdr:rowOff>103481</xdr:rowOff>
    </xdr:from>
    <xdr:to>
      <xdr:col>9</xdr:col>
      <xdr:colOff>432741</xdr:colOff>
      <xdr:row>79</xdr:row>
      <xdr:rowOff>99718</xdr:rowOff>
    </xdr:to>
    <xdr:graphicFrame macro="">
      <xdr:nvGraphicFramePr>
        <xdr:cNvPr id="15" name="Chart 14">
          <a:extLst>
            <a:ext uri="{FF2B5EF4-FFF2-40B4-BE49-F238E27FC236}">
              <a16:creationId xmlns:a16="http://schemas.microsoft.com/office/drawing/2014/main" id="{54BB599B-20E0-4506-8501-4A2C4EF0E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450427</xdr:colOff>
      <xdr:row>64</xdr:row>
      <xdr:rowOff>29823</xdr:rowOff>
    </xdr:from>
    <xdr:to>
      <xdr:col>12</xdr:col>
      <xdr:colOff>444782</xdr:colOff>
      <xdr:row>71</xdr:row>
      <xdr:rowOff>1</xdr:rowOff>
    </xdr:to>
    <mc:AlternateContent xmlns:mc="http://schemas.openxmlformats.org/markup-compatibility/2006">
      <mc:Choice xmlns:a14="http://schemas.microsoft.com/office/drawing/2010/main" Requires="a14">
        <xdr:graphicFrame macro="">
          <xdr:nvGraphicFramePr>
            <xdr:cNvPr id="16" name="Lead Type 2">
              <a:extLst>
                <a:ext uri="{FF2B5EF4-FFF2-40B4-BE49-F238E27FC236}">
                  <a16:creationId xmlns:a16="http://schemas.microsoft.com/office/drawing/2014/main" id="{ADB79256-7050-12D2-2382-C4FA54B1EDBE}"/>
                </a:ext>
              </a:extLst>
            </xdr:cNvPr>
            <xdr:cNvGraphicFramePr/>
          </xdr:nvGraphicFramePr>
          <xdr:xfrm>
            <a:off x="0" y="0"/>
            <a:ext cx="0" cy="0"/>
          </xdr:xfrm>
          <a:graphic>
            <a:graphicData uri="http://schemas.microsoft.com/office/drawing/2010/slicer">
              <sle:slicer xmlns:sle="http://schemas.microsoft.com/office/drawing/2010/slicer" name="Lead Type 2"/>
            </a:graphicData>
          </a:graphic>
        </xdr:graphicFrame>
      </mc:Choice>
      <mc:Fallback>
        <xdr:sp macro="" textlink="">
          <xdr:nvSpPr>
            <xdr:cNvPr id="0" name=""/>
            <xdr:cNvSpPr>
              <a:spLocks noTextEdit="1"/>
            </xdr:cNvSpPr>
          </xdr:nvSpPr>
          <xdr:spPr>
            <a:xfrm>
              <a:off x="5953760" y="11469230"/>
              <a:ext cx="1828800" cy="1221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1101574</xdr:colOff>
      <xdr:row>23</xdr:row>
      <xdr:rowOff>143482</xdr:rowOff>
    </xdr:from>
    <xdr:to>
      <xdr:col>4</xdr:col>
      <xdr:colOff>1455021</xdr:colOff>
      <xdr:row>31</xdr:row>
      <xdr:rowOff>107576</xdr:rowOff>
    </xdr:to>
    <mc:AlternateContent xmlns:mc="http://schemas.openxmlformats.org/markup-compatibility/2006" xmlns:a14="http://schemas.microsoft.com/office/drawing/2010/main">
      <mc:Choice Requires="a14">
        <xdr:graphicFrame macro="">
          <xdr:nvGraphicFramePr>
            <xdr:cNvPr id="10" name="Rating type">
              <a:extLst>
                <a:ext uri="{FF2B5EF4-FFF2-40B4-BE49-F238E27FC236}">
                  <a16:creationId xmlns:a16="http://schemas.microsoft.com/office/drawing/2014/main" id="{97DC5A00-8F94-8CD5-2A80-F66D4F2DBC02}"/>
                </a:ext>
              </a:extLst>
            </xdr:cNvPr>
            <xdr:cNvGraphicFramePr/>
          </xdr:nvGraphicFramePr>
          <xdr:xfrm>
            <a:off x="0" y="0"/>
            <a:ext cx="0" cy="0"/>
          </xdr:xfrm>
          <a:graphic>
            <a:graphicData uri="http://schemas.microsoft.com/office/drawing/2010/slicer">
              <sle:slicer xmlns:sle="http://schemas.microsoft.com/office/drawing/2010/slicer" name="Rating type"/>
            </a:graphicData>
          </a:graphic>
        </xdr:graphicFrame>
      </mc:Choice>
      <mc:Fallback xmlns="">
        <xdr:sp macro="" textlink="">
          <xdr:nvSpPr>
            <xdr:cNvPr id="0" name=""/>
            <xdr:cNvSpPr>
              <a:spLocks noTextEdit="1"/>
            </xdr:cNvSpPr>
          </xdr:nvSpPr>
          <xdr:spPr>
            <a:xfrm>
              <a:off x="5063974" y="4267247"/>
              <a:ext cx="1823659" cy="1398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91838</xdr:rowOff>
    </xdr:from>
    <xdr:to>
      <xdr:col>3</xdr:col>
      <xdr:colOff>730594</xdr:colOff>
      <xdr:row>26</xdr:row>
      <xdr:rowOff>126153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AB33842-20C3-BCBA-9BDE-3C836E443A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371998"/>
              <a:ext cx="4692994" cy="3509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1021975</xdr:colOff>
      <xdr:row>7</xdr:row>
      <xdr:rowOff>129988</xdr:rowOff>
    </xdr:from>
    <xdr:to>
      <xdr:col>8</xdr:col>
      <xdr:colOff>519952</xdr:colOff>
      <xdr:row>23</xdr:row>
      <xdr:rowOff>4482</xdr:rowOff>
    </xdr:to>
    <xdr:graphicFrame macro="">
      <xdr:nvGraphicFramePr>
        <xdr:cNvPr id="17" name="Chart 16">
          <a:extLst>
            <a:ext uri="{FF2B5EF4-FFF2-40B4-BE49-F238E27FC236}">
              <a16:creationId xmlns:a16="http://schemas.microsoft.com/office/drawing/2014/main" id="{7D9D51EF-9969-71FD-5E08-A63296286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91440</xdr:rowOff>
    </xdr:from>
    <xdr:to>
      <xdr:col>2</xdr:col>
      <xdr:colOff>1516380</xdr:colOff>
      <xdr:row>22</xdr:row>
      <xdr:rowOff>91440</xdr:rowOff>
    </xdr:to>
    <xdr:graphicFrame macro="">
      <xdr:nvGraphicFramePr>
        <xdr:cNvPr id="2" name="Chart 1">
          <a:extLst>
            <a:ext uri="{FF2B5EF4-FFF2-40B4-BE49-F238E27FC236}">
              <a16:creationId xmlns:a16="http://schemas.microsoft.com/office/drawing/2014/main" id="{E45FD2D3-AADF-4E71-9165-A8F3B303C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220980</xdr:colOff>
      <xdr:row>0</xdr:row>
      <xdr:rowOff>0</xdr:rowOff>
    </xdr:from>
    <xdr:to>
      <xdr:col>7</xdr:col>
      <xdr:colOff>220980</xdr:colOff>
      <xdr:row>7</xdr:row>
      <xdr:rowOff>91440</xdr:rowOff>
    </xdr:to>
    <mc:AlternateContent xmlns:mc="http://schemas.openxmlformats.org/markup-compatibility/2006">
      <mc:Choice xmlns:a14="http://schemas.microsoft.com/office/drawing/2010/main" Requires="a14">
        <xdr:graphicFrame macro="">
          <xdr:nvGraphicFramePr>
            <xdr:cNvPr id="3" name="Rating type 1">
              <a:extLst>
                <a:ext uri="{FF2B5EF4-FFF2-40B4-BE49-F238E27FC236}">
                  <a16:creationId xmlns:a16="http://schemas.microsoft.com/office/drawing/2014/main" id="{BB3D0DAD-8E2D-49B0-A31C-9E282D3F6637}"/>
                </a:ext>
              </a:extLst>
            </xdr:cNvPr>
            <xdr:cNvGraphicFramePr/>
          </xdr:nvGraphicFramePr>
          <xdr:xfrm>
            <a:off x="0" y="0"/>
            <a:ext cx="0" cy="0"/>
          </xdr:xfrm>
          <a:graphic>
            <a:graphicData uri="http://schemas.microsoft.com/office/drawing/2010/slicer">
              <sle:slicer xmlns:sle="http://schemas.microsoft.com/office/drawing/2010/slicer" name="Rating type 1"/>
            </a:graphicData>
          </a:graphic>
        </xdr:graphicFrame>
      </mc:Choice>
      <mc:Fallback>
        <xdr:sp macro="" textlink="">
          <xdr:nvSpPr>
            <xdr:cNvPr id="0" name=""/>
            <xdr:cNvSpPr>
              <a:spLocks noTextEdit="1"/>
            </xdr:cNvSpPr>
          </xdr:nvSpPr>
          <xdr:spPr>
            <a:xfrm>
              <a:off x="7018020" y="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0</xdr:row>
      <xdr:rowOff>91441</xdr:rowOff>
    </xdr:from>
    <xdr:to>
      <xdr:col>10</xdr:col>
      <xdr:colOff>320040</xdr:colOff>
      <xdr:row>6</xdr:row>
      <xdr:rowOff>152401</xdr:rowOff>
    </xdr:to>
    <mc:AlternateContent xmlns:mc="http://schemas.openxmlformats.org/markup-compatibility/2006">
      <mc:Choice xmlns:a14="http://schemas.microsoft.com/office/drawing/2010/main" Requires="a14">
        <xdr:graphicFrame macro="">
          <xdr:nvGraphicFramePr>
            <xdr:cNvPr id="4" name="Lead Type">
              <a:extLst>
                <a:ext uri="{FF2B5EF4-FFF2-40B4-BE49-F238E27FC236}">
                  <a16:creationId xmlns:a16="http://schemas.microsoft.com/office/drawing/2014/main" id="{E83CC8B8-5FED-EAFE-6D99-6A76DAE4410A}"/>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dr:sp macro="" textlink="">
          <xdr:nvSpPr>
            <xdr:cNvPr id="0" name=""/>
            <xdr:cNvSpPr>
              <a:spLocks noTextEdit="1"/>
            </xdr:cNvSpPr>
          </xdr:nvSpPr>
          <xdr:spPr>
            <a:xfrm>
              <a:off x="8945880" y="914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1607820</xdr:colOff>
      <xdr:row>7</xdr:row>
      <xdr:rowOff>121920</xdr:rowOff>
    </xdr:from>
    <xdr:to>
      <xdr:col>9</xdr:col>
      <xdr:colOff>320040</xdr:colOff>
      <xdr:row>22</xdr:row>
      <xdr:rowOff>121920</xdr:rowOff>
    </xdr:to>
    <xdr:graphicFrame macro="">
      <xdr:nvGraphicFramePr>
        <xdr:cNvPr id="5" name="Chart 4">
          <a:extLst>
            <a:ext uri="{FF2B5EF4-FFF2-40B4-BE49-F238E27FC236}">
              <a16:creationId xmlns:a16="http://schemas.microsoft.com/office/drawing/2014/main" id="{904B4E19-F2C4-F0E4-E0FF-278CEF913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228600</xdr:colOff>
      <xdr:row>10</xdr:row>
      <xdr:rowOff>76201</xdr:rowOff>
    </xdr:from>
    <xdr:to>
      <xdr:col>8</xdr:col>
      <xdr:colOff>233012</xdr:colOff>
      <xdr:row>17</xdr:row>
      <xdr:rowOff>1</xdr:rowOff>
    </xdr:to>
    <mc:AlternateContent xmlns:mc="http://schemas.openxmlformats.org/markup-compatibility/2006" xmlns:a14="http://schemas.microsoft.com/office/drawing/2010/main">
      <mc:Choice Requires="a14">
        <xdr:graphicFrame macro="">
          <xdr:nvGraphicFramePr>
            <xdr:cNvPr id="3" name="Lead Type 8">
              <a:extLst>
                <a:ext uri="{FF2B5EF4-FFF2-40B4-BE49-F238E27FC236}">
                  <a16:creationId xmlns:a16="http://schemas.microsoft.com/office/drawing/2014/main" id="{D6577FD7-DD82-4663-B5F8-8835CCFCBDB9}"/>
                </a:ext>
              </a:extLst>
            </xdr:cNvPr>
            <xdr:cNvGraphicFramePr/>
          </xdr:nvGraphicFramePr>
          <xdr:xfrm>
            <a:off x="0" y="0"/>
            <a:ext cx="0" cy="0"/>
          </xdr:xfrm>
          <a:graphic>
            <a:graphicData uri="http://schemas.microsoft.com/office/drawing/2010/slicer">
              <sle:slicer xmlns:sle="http://schemas.microsoft.com/office/drawing/2010/slicer" name="Lead Type 8"/>
            </a:graphicData>
          </a:graphic>
        </xdr:graphicFrame>
      </mc:Choice>
      <mc:Fallback xmlns="">
        <xdr:sp macro="" textlink="">
          <xdr:nvSpPr>
            <xdr:cNvPr id="0" name=""/>
            <xdr:cNvSpPr>
              <a:spLocks noTextEdit="1"/>
            </xdr:cNvSpPr>
          </xdr:nvSpPr>
          <xdr:spPr>
            <a:xfrm>
              <a:off x="5440680" y="1905001"/>
              <a:ext cx="1833212"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541020</xdr:colOff>
      <xdr:row>8</xdr:row>
      <xdr:rowOff>99060</xdr:rowOff>
    </xdr:from>
    <xdr:to>
      <xdr:col>4</xdr:col>
      <xdr:colOff>297180</xdr:colOff>
      <xdr:row>23</xdr:row>
      <xdr:rowOff>99060</xdr:rowOff>
    </xdr:to>
    <xdr:graphicFrame macro="">
      <xdr:nvGraphicFramePr>
        <xdr:cNvPr id="4" name="Chart 3">
          <a:extLst>
            <a:ext uri="{FF2B5EF4-FFF2-40B4-BE49-F238E27FC236}">
              <a16:creationId xmlns:a16="http://schemas.microsoft.com/office/drawing/2014/main" id="{90BD9FAF-F02E-1B40-69F0-10CCAC994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535021</xdr:colOff>
      <xdr:row>9</xdr:row>
      <xdr:rowOff>0</xdr:rowOff>
    </xdr:from>
    <xdr:to>
      <xdr:col>7</xdr:col>
      <xdr:colOff>170233</xdr:colOff>
      <xdr:row>24</xdr:row>
      <xdr:rowOff>15586</xdr:rowOff>
    </xdr:to>
    <xdr:graphicFrame macro="">
      <xdr:nvGraphicFramePr>
        <xdr:cNvPr id="12" name="Chart 11">
          <a:extLst>
            <a:ext uri="{FF2B5EF4-FFF2-40B4-BE49-F238E27FC236}">
              <a16:creationId xmlns:a16="http://schemas.microsoft.com/office/drawing/2014/main" id="{6FF1B2BC-01E1-403C-9305-8FB7E9EC1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897879</xdr:colOff>
      <xdr:row>0</xdr:row>
      <xdr:rowOff>36287</xdr:rowOff>
    </xdr:from>
    <xdr:to>
      <xdr:col>6</xdr:col>
      <xdr:colOff>1306589</xdr:colOff>
      <xdr:row>7</xdr:row>
      <xdr:rowOff>117929</xdr:rowOff>
    </xdr:to>
    <mc:AlternateContent xmlns:mc="http://schemas.openxmlformats.org/markup-compatibility/2006" xmlns:a14="http://schemas.microsoft.com/office/drawing/2010/main">
      <mc:Choice Requires="a14">
        <xdr:graphicFrame macro="">
          <xdr:nvGraphicFramePr>
            <xdr:cNvPr id="13" name="Rating type 3">
              <a:extLst>
                <a:ext uri="{FF2B5EF4-FFF2-40B4-BE49-F238E27FC236}">
                  <a16:creationId xmlns:a16="http://schemas.microsoft.com/office/drawing/2014/main" id="{8B550862-D85C-4BD2-82BE-984EE112A4D3}"/>
                </a:ext>
              </a:extLst>
            </xdr:cNvPr>
            <xdr:cNvGraphicFramePr/>
          </xdr:nvGraphicFramePr>
          <xdr:xfrm>
            <a:off x="0" y="0"/>
            <a:ext cx="0" cy="0"/>
          </xdr:xfrm>
          <a:graphic>
            <a:graphicData uri="http://schemas.microsoft.com/office/drawing/2010/slicer">
              <sle:slicer xmlns:sle="http://schemas.microsoft.com/office/drawing/2010/slicer" name="Rating type 3"/>
            </a:graphicData>
          </a:graphic>
        </xdr:graphicFrame>
      </mc:Choice>
      <mc:Fallback xmlns="">
        <xdr:sp macro="" textlink="">
          <xdr:nvSpPr>
            <xdr:cNvPr id="0" name=""/>
            <xdr:cNvSpPr>
              <a:spLocks noTextEdit="1"/>
            </xdr:cNvSpPr>
          </xdr:nvSpPr>
          <xdr:spPr>
            <a:xfrm>
              <a:off x="8120666" y="36287"/>
              <a:ext cx="1827327" cy="1386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666750</xdr:colOff>
      <xdr:row>1</xdr:row>
      <xdr:rowOff>93345</xdr:rowOff>
    </xdr:from>
    <xdr:to>
      <xdr:col>7</xdr:col>
      <xdr:colOff>923925</xdr:colOff>
      <xdr:row>7</xdr:row>
      <xdr:rowOff>171450</xdr:rowOff>
    </xdr:to>
    <mc:AlternateContent xmlns:mc="http://schemas.openxmlformats.org/markup-compatibility/2006" xmlns:a14="http://schemas.microsoft.com/office/drawing/2010/main">
      <mc:Choice Requires="a14">
        <xdr:graphicFrame macro="">
          <xdr:nvGraphicFramePr>
            <xdr:cNvPr id="10" name="Lead Type 1">
              <a:extLst>
                <a:ext uri="{FF2B5EF4-FFF2-40B4-BE49-F238E27FC236}">
                  <a16:creationId xmlns:a16="http://schemas.microsoft.com/office/drawing/2014/main" id="{9E92F453-B52D-D12D-3217-263193DB40AD}"/>
                </a:ext>
              </a:extLst>
            </xdr:cNvPr>
            <xdr:cNvGraphicFramePr/>
          </xdr:nvGraphicFramePr>
          <xdr:xfrm>
            <a:off x="0" y="0"/>
            <a:ext cx="0" cy="0"/>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5476875" y="274320"/>
              <a:ext cx="1828800" cy="116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904875</xdr:colOff>
      <xdr:row>9</xdr:row>
      <xdr:rowOff>47625</xdr:rowOff>
    </xdr:from>
    <xdr:to>
      <xdr:col>6</xdr:col>
      <xdr:colOff>314325</xdr:colOff>
      <xdr:row>24</xdr:row>
      <xdr:rowOff>76200</xdr:rowOff>
    </xdr:to>
    <xdr:graphicFrame macro="">
      <xdr:nvGraphicFramePr>
        <xdr:cNvPr id="11" name="Chart 10">
          <a:extLst>
            <a:ext uri="{FF2B5EF4-FFF2-40B4-BE49-F238E27FC236}">
              <a16:creationId xmlns:a16="http://schemas.microsoft.com/office/drawing/2014/main" id="{A375A678-6616-5E5D-52E8-D952301BD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xdr:row>
      <xdr:rowOff>0</xdr:rowOff>
    </xdr:from>
    <xdr:to>
      <xdr:col>16</xdr:col>
      <xdr:colOff>472256</xdr:colOff>
      <xdr:row>16</xdr:row>
      <xdr:rowOff>20845</xdr:rowOff>
    </xdr:to>
    <xdr:graphicFrame macro="">
      <xdr:nvGraphicFramePr>
        <xdr:cNvPr id="2" name="Chart 1">
          <a:extLst>
            <a:ext uri="{FF2B5EF4-FFF2-40B4-BE49-F238E27FC236}">
              <a16:creationId xmlns:a16="http://schemas.microsoft.com/office/drawing/2014/main" id="{8969FF8E-95D0-4ACA-BA5E-4AD0E3F5F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495300</xdr:colOff>
      <xdr:row>1</xdr:row>
      <xdr:rowOff>83821</xdr:rowOff>
    </xdr:from>
    <xdr:to>
      <xdr:col>19</xdr:col>
      <xdr:colOff>495300</xdr:colOff>
      <xdr:row>7</xdr:row>
      <xdr:rowOff>114301</xdr:rowOff>
    </xdr:to>
    <mc:AlternateContent xmlns:mc="http://schemas.openxmlformats.org/markup-compatibility/2006" xmlns:a14="http://schemas.microsoft.com/office/drawing/2010/main">
      <mc:Choice Requires="a14">
        <xdr:graphicFrame macro="">
          <xdr:nvGraphicFramePr>
            <xdr:cNvPr id="3" name="Lead Type 7">
              <a:extLst>
                <a:ext uri="{FF2B5EF4-FFF2-40B4-BE49-F238E27FC236}">
                  <a16:creationId xmlns:a16="http://schemas.microsoft.com/office/drawing/2014/main" id="{B2299822-36DB-7427-94C5-E20CFCF419DC}"/>
                </a:ext>
              </a:extLst>
            </xdr:cNvPr>
            <xdr:cNvGraphicFramePr/>
          </xdr:nvGraphicFramePr>
          <xdr:xfrm>
            <a:off x="0" y="0"/>
            <a:ext cx="0" cy="0"/>
          </xdr:xfrm>
          <a:graphic>
            <a:graphicData uri="http://schemas.microsoft.com/office/drawing/2010/slicer">
              <sle:slicer xmlns:sle="http://schemas.microsoft.com/office/drawing/2010/slicer" name="Lead Type 7"/>
            </a:graphicData>
          </a:graphic>
        </xdr:graphicFrame>
      </mc:Choice>
      <mc:Fallback xmlns="">
        <xdr:sp macro="" textlink="">
          <xdr:nvSpPr>
            <xdr:cNvPr id="0" name=""/>
            <xdr:cNvSpPr>
              <a:spLocks noTextEdit="1"/>
            </xdr:cNvSpPr>
          </xdr:nvSpPr>
          <xdr:spPr>
            <a:xfrm>
              <a:off x="14417040" y="26670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umar" refreshedDate="45959.827230092589" createdVersion="8" refreshedVersion="8" minRefreshableVersion="3" recordCount="1000" xr:uid="{4E1E87FB-0497-4791-B127-23810E9565C1}">
  <cacheSource type="worksheet">
    <worksheetSource name="EPe_BA_intern_assesment_Raw_data___Sheet1"/>
  </cacheSource>
  <cacheFields count="21">
    <cacheField name="Lead 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14">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fieldGroup par="16"/>
    </cacheField>
    <cacheField name="Booking Date" numFmtId="14">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fieldGroup par="18"/>
    </cacheField>
    <cacheField name="Delivery Date" numFmtId="14">
      <sharedItems containsNonDate="0" containsDate="1" containsString="0" containsBlank="1" minDate="2025-10-06T00:00:00" maxDate="2025-11-18T00:00:00" count="44">
        <d v="2025-11-03T00:00:00"/>
        <d v="2025-10-26T00:00:00"/>
        <m/>
        <d v="2025-10-24T00:00:00"/>
        <d v="2025-11-07T00:00:00"/>
        <d v="2025-10-28T00:00:00"/>
        <d v="2025-10-15T00:00:00"/>
        <d v="2025-10-25T00:00:00"/>
        <d v="2025-11-10T00:00:00"/>
        <d v="2025-10-30T00:00:00"/>
        <d v="2025-11-13T00:00:00"/>
        <d v="2025-11-08T00:00:00"/>
        <d v="2025-10-21T00:00:00"/>
        <d v="2025-11-06T00:00:00"/>
        <d v="2025-10-16T00:00:00"/>
        <d v="2025-10-23T00:00:00"/>
        <d v="2025-10-17T00:00:00"/>
        <d v="2025-11-01T00:00:00"/>
        <d v="2025-11-05T00:00:00"/>
        <d v="2025-10-19T00:00:00"/>
        <d v="2025-11-15T00:00:00"/>
        <d v="2025-10-29T00:00:00"/>
        <d v="2025-10-20T00:00:00"/>
        <d v="2025-11-09T00:00:00"/>
        <d v="2025-10-31T00:00:00"/>
        <d v="2025-10-14T00:00:00"/>
        <d v="2025-11-02T00:00:00"/>
        <d v="2025-10-18T00:00:00"/>
        <d v="2025-10-12T00:00:00"/>
        <d v="2025-10-08T00:00:00"/>
        <d v="2025-10-10T00:00:00"/>
        <d v="2025-10-22T00:00:00"/>
        <d v="2025-10-27T00:00:00"/>
        <d v="2025-11-14T00:00:00"/>
        <d v="2025-11-04T00:00:00"/>
        <d v="2025-10-09T00:00:00"/>
        <d v="2025-11-11T00:00:00"/>
        <d v="2025-10-07T00:00:00"/>
        <d v="2025-10-13T00:00:00"/>
        <d v="2025-11-12T00:00:00"/>
        <d v="2025-11-17T00:00:00"/>
        <d v="2025-10-06T00:00:00"/>
        <d v="2025-10-11T00:00:00"/>
        <d v="2025-11-16T00:00:00"/>
      </sharedItems>
      <fieldGroup par="20"/>
    </cacheField>
    <cacheField name="Cancellation Status" numFmtId="0">
      <sharedItems/>
    </cacheField>
    <cacheField name="Cancellation Reason" numFmtId="0">
      <sharedItems count="6">
        <s v=""/>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ount="12">
        <n v="2"/>
        <n v="8"/>
        <m/>
        <n v="9"/>
        <n v="10"/>
        <n v="6"/>
        <n v="0"/>
        <n v="5"/>
        <n v="4"/>
        <n v="3"/>
        <n v="1"/>
        <n v="7"/>
      </sharedItems>
    </cacheField>
    <cacheField name="TAT Overall(days)" numFmtId="0">
      <sharedItems containsString="0" containsBlank="1" containsNumber="1" containsInteger="1" minValue="4" maxValue="17" count="15">
        <n v="13"/>
        <n v="15"/>
        <m/>
        <n v="10"/>
        <n v="11"/>
        <n v="12"/>
        <n v="9"/>
        <n v="6"/>
        <n v="14"/>
        <n v="8"/>
        <n v="5"/>
        <n v="16"/>
        <n v="7"/>
        <n v="4"/>
        <n v="17"/>
      </sharedItems>
    </cacheField>
    <cacheField name="Days (Pre-Booking Date)" numFmtId="0" databaseField="0">
      <fieldGroup base="4">
        <rangePr groupBy="days" startDate="2025-10-02T00:00:00" endDate="2025-11-06T00:00:00"/>
        <groupItems count="368">
          <s v="&lt;02-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5"/>
        </groupItems>
      </fieldGroup>
    </cacheField>
    <cacheField name="Months (Pre-Booking Date)" numFmtId="0" databaseField="0">
      <fieldGroup base="4">
        <rangePr groupBy="months" startDate="2025-10-02T00:00:00" endDate="2025-11-06T00:00:00"/>
        <groupItems count="14">
          <s v="&lt;02-10-2025"/>
          <s v="Jan"/>
          <s v="Feb"/>
          <s v="Mar"/>
          <s v="Apr"/>
          <s v="May"/>
          <s v="Jun"/>
          <s v="Jul"/>
          <s v="Aug"/>
          <s v="Sep"/>
          <s v="Oct"/>
          <s v="Nov"/>
          <s v="Dec"/>
          <s v="&gt;06-11-2025"/>
        </groupItems>
      </fieldGroup>
    </cacheField>
    <cacheField name="Days (Booking Date)" numFmtId="0" databaseField="0">
      <fieldGroup base="5">
        <rangePr groupBy="days" startDate="2025-10-03T00:00:00" endDate="2025-11-11T00:00:00"/>
        <groupItems count="368">
          <s v="&lt;03-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1-2025"/>
        </groupItems>
      </fieldGroup>
    </cacheField>
    <cacheField name="Months (Booking Date)" numFmtId="0" databaseField="0">
      <fieldGroup base="5">
        <rangePr groupBy="months" startDate="2025-10-03T00:00:00" endDate="2025-11-11T00:00:00"/>
        <groupItems count="14">
          <s v="&lt;03-10-2025"/>
          <s v="Jan"/>
          <s v="Feb"/>
          <s v="Mar"/>
          <s v="Apr"/>
          <s v="May"/>
          <s v="Jun"/>
          <s v="Jul"/>
          <s v="Aug"/>
          <s v="Sep"/>
          <s v="Oct"/>
          <s v="Nov"/>
          <s v="Dec"/>
          <s v="&gt;11-11-2025"/>
        </groupItems>
      </fieldGroup>
    </cacheField>
    <cacheField name="Days (Delivery Date)" numFmtId="0" databaseField="0">
      <fieldGroup base="6">
        <rangePr groupBy="days" startDate="2025-10-06T00:00:00" endDate="2025-11-18T00:00:00"/>
        <groupItems count="368">
          <s v="&lt;06-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1-2025"/>
        </groupItems>
      </fieldGroup>
    </cacheField>
    <cacheField name="Months (Delivery Date)" numFmtId="0" databaseField="0">
      <fieldGroup base="6">
        <rangePr groupBy="months" startDate="2025-10-06T00:00:00" endDate="2025-11-18T00:00:00"/>
        <groupItems count="14">
          <s v="&lt;06-10-2025"/>
          <s v="Jan"/>
          <s v="Feb"/>
          <s v="Mar"/>
          <s v="Apr"/>
          <s v="May"/>
          <s v="Jun"/>
          <s v="Jul"/>
          <s v="Aug"/>
          <s v="Sep"/>
          <s v="Oct"/>
          <s v="Nov"/>
          <s v="Dec"/>
          <s v="&gt;18-11-2025"/>
        </groupItems>
      </fieldGroup>
    </cacheField>
  </cacheFields>
  <extLst>
    <ext xmlns:x14="http://schemas.microsoft.com/office/spreadsheetml/2009/9/main" uri="{725AE2AE-9491-48be-B2B4-4EB974FC3084}">
      <x14:pivotCacheDefinition pivotCacheId="7817071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2.617704050928" backgroundQuery="1" createdVersion="8" refreshedVersion="8" minRefreshableVersion="3" recordCount="0" supportSubquery="1" supportAdvancedDrill="1" xr:uid="{A57AC230-ED81-4DE0-B8B7-FE07CE51B6B8}">
  <cacheSource type="external" connectionId="4"/>
  <cacheFields count="5">
    <cacheField name="[EPe_BA_intern_assesment_Raw_data___Sheet1].[Store Name].[Store Name]" caption="Store Name" numFmtId="0" hierarchy="1" level="1">
      <sharedItems count="4">
        <s v="Bangalore MBC"/>
        <s v="Chennai MBC"/>
        <s v="Delhi MBC"/>
        <s v="Mumbai MBC"/>
      </sharedItems>
    </cacheField>
    <cacheField name="[Measures].[Average of TAT Pre-Booking (Days)]" caption="Average of TAT Pre-Booking (Days)" numFmtId="0" hierarchy="25" level="32767"/>
    <cacheField name="[Measures].[Average of TAT Booking (Days)]" caption="Average of TAT Booking (Days)" numFmtId="0" hierarchy="26" level="32767"/>
    <cacheField name="[Measures].[Average of TAT Delivery (Days)]" caption="Average of TAT Delivery (Days)" numFmtId="0" hierarchy="27" level="32767"/>
    <cacheField name="[EPe_BA_intern_assesment_Raw_data___Sheet1].[Rating type].[Rating type]" caption="Rating type" numFmtId="0" hierarchy="15" level="1">
      <sharedItems containsSemiMixedTypes="0" containsNonDate="0" containsString="0"/>
    </cacheField>
  </cacheFields>
  <cacheHierarchies count="37">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2"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2" memberValueDatatype="130" unbalanced="0">
      <fieldsUsage count="2">
        <fieldUsage x="-1"/>
        <fieldUsage x="0"/>
      </fieldsUsage>
    </cacheHierarchy>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2"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2"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2"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2"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2"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2" memberValueDatatype="130" unbalanced="0"/>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2"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2"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2"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2"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2"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2"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2" memberValueDatatype="130" unbalanced="0">
      <fieldsUsage count="2">
        <fieldUsage x="-1"/>
        <fieldUsage x="4"/>
      </fieldsUsage>
    </cacheHierarchy>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2"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2"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hidden="1">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hidden="1">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hidden="1">
      <extLst>
        <ext xmlns:x15="http://schemas.microsoft.com/office/spreadsheetml/2010/11/main" uri="{B97F6D7D-B522-45F9-BDA1-12C45D357490}">
          <x15:cacheHierarchy aggregatedColumn="2"/>
        </ext>
      </extLst>
    </cacheHierarchy>
    <cacheHierarchy uniqueName="[Measures].[Count of Cancellation Status]" caption="Count of Cancellation Status" measure="1" displayFolder="" measureGroup="EPe_BA_intern_assesment_Raw_data___Sheet1" count="0" hidden="1">
      <extLst>
        <ext xmlns:x15="http://schemas.microsoft.com/office/spreadsheetml/2010/11/main" uri="{B97F6D7D-B522-45F9-BDA1-12C45D357490}">
          <x15:cacheHierarchy aggregatedColumn="7"/>
        </ext>
      </extLst>
    </cacheHierarchy>
    <cacheHierarchy uniqueName="[Measures].[Count of Cancellation Reason]" caption="Count of Cancellation Reason" measure="1" displayFolder="" measureGroup="EPe_BA_intern_assesment_Raw_data___Sheet1" count="0" hidden="1">
      <extLst>
        <ext xmlns:x15="http://schemas.microsoft.com/office/spreadsheetml/2010/11/main" uri="{B97F6D7D-B522-45F9-BDA1-12C45D357490}">
          <x15:cacheHierarchy aggregatedColumn="8"/>
        </ext>
      </extLst>
    </cacheHierarchy>
    <cacheHierarchy uniqueName="[Measures].[Sum of TAT Overall(days)]" caption="Sum of TAT Overall(days)" measure="1" displayFolder="" measureGroup="EPe_BA_intern_assesment_Raw_data___Sheet1" count="0" hidden="1">
      <extLst>
        <ext xmlns:x15="http://schemas.microsoft.com/office/spreadsheetml/2010/11/main" uri="{B97F6D7D-B522-45F9-BDA1-12C45D357490}">
          <x15:cacheHierarchy aggregatedColumn="14"/>
        </ext>
      </extLst>
    </cacheHierarchy>
  </cacheHierarchies>
  <kpis count="0"/>
  <dimensions count="2">
    <dimension name="EPe_BA_intern_assesment_Raw_data___Sheet1" uniqueName="[EPe_BA_intern_assesment_Raw_data___Sheet1]" caption="EPe_BA_intern_assesment_Raw_data___Sheet1"/>
    <dimension measure="1" name="Measures" uniqueName="[Measures]" caption="Measures"/>
  </dimensions>
  <measureGroups count="1">
    <measureGroup name="EPe_BA_intern_assesment_Raw_data___Sheet1" caption="EPe_BA_intern_assesment_Raw_data___Sheet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2.59813726852" backgroundQuery="1" createdVersion="8" refreshedVersion="8" minRefreshableVersion="3" recordCount="0" supportSubquery="1" supportAdvancedDrill="1" xr:uid="{92F41D61-F5DE-4B1A-8EDF-834D5684E0AA}">
  <cacheSource type="external" connectionId="4"/>
  <cacheFields count="4">
    <cacheField name="[EPe_BA_intern_assesment_Raw_data___Sheet1].[Store Name].[Store Name]" caption="Store Name" numFmtId="0" hierarchy="1" level="1">
      <sharedItems count="4">
        <s v="Bangalore MBC"/>
        <s v="Chennai MBC"/>
        <s v="Delhi MBC"/>
        <s v="Mumbai MBC"/>
      </sharedItems>
    </cacheField>
    <cacheField name="[EPe_BA_intern_assesment_Raw_data___Sheet1].[Cancellation Reason].[Cancellation Reason]" caption="Cancellation Reason" numFmtId="0" hierarchy="8" level="1">
      <sharedItems count="6">
        <s v="Changed Mind"/>
        <s v="Financing Issue"/>
        <s v="Model Unavailable"/>
        <s v="Other"/>
        <s v="Price"/>
        <s v="" u="1"/>
      </sharedItems>
    </cacheField>
    <cacheField name="[Measures].[Count of Cancellation Reason]" caption="Count of Cancellation Reason" numFmtId="0" hierarchy="35" level="32767"/>
    <cacheField name="[EPe_BA_intern_assesment_Raw_data___Sheet1].[Lead Type].[Lead Type]" caption="Lead Type" numFmtId="0" hierarchy="2" level="1">
      <sharedItems containsSemiMixedTypes="0" containsNonDate="0" containsString="0"/>
    </cacheField>
  </cacheFields>
  <cacheHierarchies count="37">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0"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2" memberValueDatatype="130" unbalanced="0">
      <fieldsUsage count="2">
        <fieldUsage x="-1"/>
        <fieldUsage x="0"/>
      </fieldsUsage>
    </cacheHierarchy>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fieldsUsage count="2">
        <fieldUsage x="-1"/>
        <fieldUsage x="3"/>
      </fieldsUsage>
    </cacheHierarchy>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0"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0"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0"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0"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0"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2" memberValueDatatype="130" unbalanced="0">
      <fieldsUsage count="2">
        <fieldUsage x="-1"/>
        <fieldUsage x="1"/>
      </fieldsUsage>
    </cacheHierarchy>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0"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0"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0"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0"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0"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0"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0" memberValueDatatype="130" unbalanced="0"/>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0"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0"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hidden="1">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hidden="1">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hidden="1">
      <extLst>
        <ext xmlns:x15="http://schemas.microsoft.com/office/spreadsheetml/2010/11/main" uri="{B97F6D7D-B522-45F9-BDA1-12C45D357490}">
          <x15:cacheHierarchy aggregatedColumn="2"/>
        </ext>
      </extLst>
    </cacheHierarchy>
    <cacheHierarchy uniqueName="[Measures].[Count of Cancellation Status]" caption="Count of Cancellation Status" measure="1" displayFolder="" measureGroup="EPe_BA_intern_assesment_Raw_data___Sheet1" count="0" hidden="1">
      <extLst>
        <ext xmlns:x15="http://schemas.microsoft.com/office/spreadsheetml/2010/11/main" uri="{B97F6D7D-B522-45F9-BDA1-12C45D357490}">
          <x15:cacheHierarchy aggregatedColumn="7"/>
        </ext>
      </extLst>
    </cacheHierarchy>
    <cacheHierarchy uniqueName="[Measures].[Count of Cancellation Reason]" caption="Count of Cancellation Reason" measure="1" displayFolder="" measureGroup="EPe_BA_intern_assesment_Raw_data___Sheet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TAT Overall(days)]" caption="Sum of TAT Overall(days)" measure="1" displayFolder="" measureGroup="EPe_BA_intern_assesment_Raw_data___Sheet1" count="0" hidden="1">
      <extLst>
        <ext xmlns:x15="http://schemas.microsoft.com/office/spreadsheetml/2010/11/main" uri="{B97F6D7D-B522-45F9-BDA1-12C45D357490}">
          <x15:cacheHierarchy aggregatedColumn="14"/>
        </ext>
      </extLst>
    </cacheHierarchy>
  </cacheHierarchies>
  <kpis count="0"/>
  <dimensions count="2">
    <dimension name="EPe_BA_intern_assesment_Raw_data___Sheet1" uniqueName="[EPe_BA_intern_assesment_Raw_data___Sheet1]" caption="EPe_BA_intern_assesment_Raw_data___Sheet1"/>
    <dimension measure="1" name="Measures" uniqueName="[Measures]" caption="Measures"/>
  </dimensions>
  <measureGroups count="1">
    <measureGroup name="EPe_BA_intern_assesment_Raw_data___Sheet1" caption="EPe_BA_intern_assesment_Raw_data___Sheet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3.11496215278" backgroundQuery="1" createdVersion="8" refreshedVersion="8" minRefreshableVersion="3" recordCount="0" supportSubquery="1" supportAdvancedDrill="1" xr:uid="{50A6FD3D-2F03-43DF-9907-14BBE1FD8895}">
  <cacheSource type="external" connectionId="4"/>
  <cacheFields count="4">
    <cacheField name="[EPe_BA_intern_assesment_Raw_data___Sheet1].[Store Name].[Store Name]" caption="Store Name" numFmtId="0" hierarchy="1" level="1">
      <sharedItems count="4">
        <s v="Bangalore MBC"/>
        <s v="Chennai MBC"/>
        <s v="Delhi MBC"/>
        <s v="Mumbai MBC"/>
      </sharedItems>
    </cacheField>
    <cacheField name="[EPe_BA_intern_assesment_Raw_data___Sheet1].[Rating type].[Rating type]" caption="Rating type" numFmtId="0" hierarchy="15" level="1">
      <sharedItems count="3">
        <s v="Detractors"/>
        <s v="Passives"/>
        <s v="Promoters"/>
      </sharedItems>
    </cacheField>
    <cacheField name="[Measures].[Count of Rating type]" caption="Count of Rating type" numFmtId="0" hierarchy="20" level="32767"/>
    <cacheField name="[EPe_BA_intern_assesment_Raw_data___Sheet1].[Lead Type].[Lead Type]" caption="Lead Type" numFmtId="0" hierarchy="2" level="1">
      <sharedItems containsSemiMixedTypes="0" containsNonDate="0" containsString="0"/>
    </cacheField>
  </cacheFields>
  <cacheHierarchies count="37">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2"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2" memberValueDatatype="130" unbalanced="0">
      <fieldsUsage count="2">
        <fieldUsage x="-1"/>
        <fieldUsage x="0"/>
      </fieldsUsage>
    </cacheHierarchy>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fieldsUsage count="2">
        <fieldUsage x="-1"/>
        <fieldUsage x="3"/>
      </fieldsUsage>
    </cacheHierarchy>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2"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2"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2"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2"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2"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2" memberValueDatatype="130" unbalanced="0"/>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2"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2"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2"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2"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2"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2"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2" memberValueDatatype="130" unbalanced="0">
      <fieldsUsage count="2">
        <fieldUsage x="-1"/>
        <fieldUsage x="1"/>
      </fieldsUsage>
    </cacheHierarchy>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2"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2"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hidden="1">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hidden="1">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hidden="1">
      <extLst>
        <ext xmlns:x15="http://schemas.microsoft.com/office/spreadsheetml/2010/11/main" uri="{B97F6D7D-B522-45F9-BDA1-12C45D357490}">
          <x15:cacheHierarchy aggregatedColumn="2"/>
        </ext>
      </extLst>
    </cacheHierarchy>
    <cacheHierarchy uniqueName="[Measures].[Count of Cancellation Status]" caption="Count of Cancellation Status" measure="1" displayFolder="" measureGroup="EPe_BA_intern_assesment_Raw_data___Sheet1" count="0" hidden="1">
      <extLst>
        <ext xmlns:x15="http://schemas.microsoft.com/office/spreadsheetml/2010/11/main" uri="{B97F6D7D-B522-45F9-BDA1-12C45D357490}">
          <x15:cacheHierarchy aggregatedColumn="7"/>
        </ext>
      </extLst>
    </cacheHierarchy>
    <cacheHierarchy uniqueName="[Measures].[Count of Cancellation Reason]" caption="Count of Cancellation Reason" measure="1" displayFolder="" measureGroup="EPe_BA_intern_assesment_Raw_data___Sheet1" count="0" hidden="1">
      <extLst>
        <ext xmlns:x15="http://schemas.microsoft.com/office/spreadsheetml/2010/11/main" uri="{B97F6D7D-B522-45F9-BDA1-12C45D357490}">
          <x15:cacheHierarchy aggregatedColumn="8"/>
        </ext>
      </extLst>
    </cacheHierarchy>
    <cacheHierarchy uniqueName="[Measures].[Sum of TAT Overall(days)]" caption="Sum of TAT Overall(days)" measure="1" displayFolder="" measureGroup="EPe_BA_intern_assesment_Raw_data___Sheet1" count="0" hidden="1">
      <extLst>
        <ext xmlns:x15="http://schemas.microsoft.com/office/spreadsheetml/2010/11/main" uri="{B97F6D7D-B522-45F9-BDA1-12C45D357490}">
          <x15:cacheHierarchy aggregatedColumn="14"/>
        </ext>
      </extLst>
    </cacheHierarchy>
  </cacheHierarchies>
  <kpis count="0"/>
  <dimensions count="2">
    <dimension name="EPe_BA_intern_assesment_Raw_data___Sheet1" uniqueName="[EPe_BA_intern_assesment_Raw_data___Sheet1]" caption="EPe_BA_intern_assesment_Raw_data___Sheet1"/>
    <dimension measure="1" name="Measures" uniqueName="[Measures]" caption="Measures"/>
  </dimensions>
  <measureGroups count="1">
    <measureGroup name="EPe_BA_intern_assesment_Raw_data___Sheet1" caption="EPe_BA_intern_assesment_Raw_data___Sheet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3.119358101852" backgroundQuery="1" createdVersion="8" refreshedVersion="8" minRefreshableVersion="3" recordCount="0" supportSubquery="1" supportAdvancedDrill="1" xr:uid="{38E7CD70-5DE3-4B7E-A61B-935D59BB9A1B}">
  <cacheSource type="external" connectionId="4"/>
  <cacheFields count="5">
    <cacheField name="[EPe_BA_intern_assesment_Raw_data___Sheet1].[Cancellation Reason].[Cancellation Reason]" caption="Cancellation Reason" numFmtId="0" hierarchy="8" level="1">
      <sharedItems count="6">
        <s v="Changed Mind"/>
        <s v="Financing Issue"/>
        <s v="Model Unavailable"/>
        <s v="Other"/>
        <s v="Price"/>
        <s v="" u="1"/>
      </sharedItems>
    </cacheField>
    <cacheField name="[EPe_BA_intern_assesment_Raw_data___Sheet1].[Store Name].[Store Name]" caption="Store Name" numFmtId="0" hierarchy="1" level="1">
      <sharedItems count="4">
        <s v="Bangalore MBC"/>
        <s v="Chennai MBC"/>
        <s v="Delhi MBC"/>
        <s v="Mumbai MBC"/>
      </sharedItems>
    </cacheField>
    <cacheField name="[Measures].[Count of Lead Type]" caption="Count of Lead Type" numFmtId="0" hierarchy="33" level="32767"/>
    <cacheField name="[EPe_BA_intern_assesment_Raw_data___Sheet1].[Lead Type].[Lead Type]" caption="Lead Type" numFmtId="0" hierarchy="2" level="1">
      <sharedItems count="3">
        <s v="Cold"/>
        <s v="Hot"/>
        <s v="Warm"/>
      </sharedItems>
    </cacheField>
    <cacheField name="[EPe_BA_intern_assesment_Raw_data___Sheet1].[Rating type].[Rating type]" caption="Rating type" numFmtId="0" hierarchy="15" level="1">
      <sharedItems containsSemiMixedTypes="0" containsNonDate="0" containsString="0"/>
    </cacheField>
  </cacheFields>
  <cacheHierarchies count="37">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2"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2" memberValueDatatype="130" unbalanced="0">
      <fieldsUsage count="2">
        <fieldUsage x="-1"/>
        <fieldUsage x="1"/>
      </fieldsUsage>
    </cacheHierarchy>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fieldsUsage count="2">
        <fieldUsage x="-1"/>
        <fieldUsage x="3"/>
      </fieldsUsage>
    </cacheHierarchy>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2"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2"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2"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2"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2"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2" memberValueDatatype="130" unbalanced="0">
      <fieldsUsage count="2">
        <fieldUsage x="-1"/>
        <fieldUsage x="0"/>
      </fieldsUsage>
    </cacheHierarchy>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2"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2"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2"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2"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2"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2"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2" memberValueDatatype="130" unbalanced="0">
      <fieldsUsage count="2">
        <fieldUsage x="-1"/>
        <fieldUsage x="4"/>
      </fieldsUsage>
    </cacheHierarchy>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2"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2"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hidden="1">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hidden="1">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Cancellation Status]" caption="Count of Cancellation Status" measure="1" displayFolder="" measureGroup="EPe_BA_intern_assesment_Raw_data___Sheet1" count="0" hidden="1">
      <extLst>
        <ext xmlns:x15="http://schemas.microsoft.com/office/spreadsheetml/2010/11/main" uri="{B97F6D7D-B522-45F9-BDA1-12C45D357490}">
          <x15:cacheHierarchy aggregatedColumn="7"/>
        </ext>
      </extLst>
    </cacheHierarchy>
    <cacheHierarchy uniqueName="[Measures].[Count of Cancellation Reason]" caption="Count of Cancellation Reason" measure="1" displayFolder="" measureGroup="EPe_BA_intern_assesment_Raw_data___Sheet1" count="0" hidden="1">
      <extLst>
        <ext xmlns:x15="http://schemas.microsoft.com/office/spreadsheetml/2010/11/main" uri="{B97F6D7D-B522-45F9-BDA1-12C45D357490}">
          <x15:cacheHierarchy aggregatedColumn="8"/>
        </ext>
      </extLst>
    </cacheHierarchy>
    <cacheHierarchy uniqueName="[Measures].[Sum of TAT Overall(days)]" caption="Sum of TAT Overall(days)" measure="1" displayFolder="" measureGroup="EPe_BA_intern_assesment_Raw_data___Sheet1" count="0" hidden="1">
      <extLst>
        <ext xmlns:x15="http://schemas.microsoft.com/office/spreadsheetml/2010/11/main" uri="{B97F6D7D-B522-45F9-BDA1-12C45D357490}">
          <x15:cacheHierarchy aggregatedColumn="14"/>
        </ext>
      </extLst>
    </cacheHierarchy>
  </cacheHierarchies>
  <kpis count="0"/>
  <dimensions count="2">
    <dimension name="EPe_BA_intern_assesment_Raw_data___Sheet1" uniqueName="[EPe_BA_intern_assesment_Raw_data___Sheet1]" caption="EPe_BA_intern_assesment_Raw_data___Sheet1"/>
    <dimension measure="1" name="Measures" uniqueName="[Measures]" caption="Measures"/>
  </dimensions>
  <measureGroups count="1">
    <measureGroup name="EPe_BA_intern_assesment_Raw_data___Sheet1" caption="EPe_BA_intern_assesment_Raw_data___Sheet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ya Kumar" refreshedDate="45963.120282754629" backgroundQuery="1" createdVersion="8" refreshedVersion="8" minRefreshableVersion="3" recordCount="0" supportSubquery="1" supportAdvancedDrill="1" xr:uid="{2FE73CBF-D782-466C-A225-3EC5C05B8C30}">
  <cacheSource type="external" connectionId="4"/>
  <cacheFields count="8">
    <cacheField name="[EPe_BA_intern_assesment_Raw_data___Sheet1].[Store Name].[Store Name]" caption="Store Name" numFmtId="0" hierarchy="1" level="1">
      <sharedItems count="4">
        <s v="Bangalore MBC"/>
        <s v="Chennai MBC"/>
        <s v="Delhi MBC"/>
        <s v="Mumbai MBC"/>
      </sharedItems>
    </cacheField>
    <cacheField name="[Measures].[Count of Lead Date]" caption="Count of Lead Date" numFmtId="0" hierarchy="28" level="32767"/>
    <cacheField name="[Measures].[Count of Pre-Booking Date]" caption="Count of Pre-Booking Date" numFmtId="0" hierarchy="21" level="32767"/>
    <cacheField name="[Measures].[Count of Booking Date]" caption="Count of Booking Date" numFmtId="0" hierarchy="29" level="32767"/>
    <cacheField name="[Measures].[Count of Delivery Date]" caption="Count of Delivery Date" numFmtId="0" hierarchy="30" level="32767"/>
    <cacheField name="[Measures].[Count of Service Follow-up Date]" caption="Count of Service Follow-up Date" numFmtId="0" hierarchy="31" level="32767"/>
    <cacheField name="[EPe_BA_intern_assesment_Raw_data___Sheet1].[Lead Type].[Lead Type]" caption="Lead Type" numFmtId="0" hierarchy="2" level="1">
      <sharedItems containsSemiMixedTypes="0" containsNonDate="0" containsString="0"/>
    </cacheField>
    <cacheField name="[EPe_BA_intern_assesment_Raw_data___Sheet1].[Rating type].[Rating type]" caption="Rating type" numFmtId="0" hierarchy="15" level="1">
      <sharedItems containsSemiMixedTypes="0" containsNonDate="0" containsString="0"/>
    </cacheField>
  </cacheFields>
  <cacheHierarchies count="37">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2"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2" memberValueDatatype="130" unbalanced="0">
      <fieldsUsage count="2">
        <fieldUsage x="-1"/>
        <fieldUsage x="0"/>
      </fieldsUsage>
    </cacheHierarchy>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fieldsUsage count="2">
        <fieldUsage x="-1"/>
        <fieldUsage x="6"/>
      </fieldsUsage>
    </cacheHierarchy>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2"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2"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2"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2"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2"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2" memberValueDatatype="130" unbalanced="0"/>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2"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2"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2"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2"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2"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2"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2" memberValueDatatype="130" unbalanced="0">
      <fieldsUsage count="2">
        <fieldUsage x="-1"/>
        <fieldUsage x="7"/>
      </fieldsUsage>
    </cacheHierarchy>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2"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2"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oneField="1" hidden="1">
      <fieldsUsage count="1">
        <fieldUsage x="5"/>
      </fieldsUsage>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hidden="1">
      <extLst>
        <ext xmlns:x15="http://schemas.microsoft.com/office/spreadsheetml/2010/11/main" uri="{B97F6D7D-B522-45F9-BDA1-12C45D357490}">
          <x15:cacheHierarchy aggregatedColumn="2"/>
        </ext>
      </extLst>
    </cacheHierarchy>
    <cacheHierarchy uniqueName="[Measures].[Count of Cancellation Status]" caption="Count of Cancellation Status" measure="1" displayFolder="" measureGroup="EPe_BA_intern_assesment_Raw_data___Sheet1" count="0" hidden="1">
      <extLst>
        <ext xmlns:x15="http://schemas.microsoft.com/office/spreadsheetml/2010/11/main" uri="{B97F6D7D-B522-45F9-BDA1-12C45D357490}">
          <x15:cacheHierarchy aggregatedColumn="7"/>
        </ext>
      </extLst>
    </cacheHierarchy>
    <cacheHierarchy uniqueName="[Measures].[Count of Cancellation Reason]" caption="Count of Cancellation Reason" measure="1" displayFolder="" measureGroup="EPe_BA_intern_assesment_Raw_data___Sheet1" count="0" hidden="1">
      <extLst>
        <ext xmlns:x15="http://schemas.microsoft.com/office/spreadsheetml/2010/11/main" uri="{B97F6D7D-B522-45F9-BDA1-12C45D357490}">
          <x15:cacheHierarchy aggregatedColumn="8"/>
        </ext>
      </extLst>
    </cacheHierarchy>
    <cacheHierarchy uniqueName="[Measures].[Sum of TAT Overall(days)]" caption="Sum of TAT Overall(days)" measure="1" displayFolder="" measureGroup="EPe_BA_intern_assesment_Raw_data___Sheet1" count="0" hidden="1">
      <extLst>
        <ext xmlns:x15="http://schemas.microsoft.com/office/spreadsheetml/2010/11/main" uri="{B97F6D7D-B522-45F9-BDA1-12C45D357490}">
          <x15:cacheHierarchy aggregatedColumn="14"/>
        </ext>
      </extLst>
    </cacheHierarchy>
  </cacheHierarchies>
  <kpis count="0"/>
  <dimensions count="2">
    <dimension name="EPe_BA_intern_assesment_Raw_data___Sheet1" uniqueName="[EPe_BA_intern_assesment_Raw_data___Sheet1]" caption="EPe_BA_intern_assesment_Raw_data___Sheet1"/>
    <dimension measure="1" name="Measures" uniqueName="[Measures]" caption="Measures"/>
  </dimensions>
  <measureGroups count="1">
    <measureGroup name="EPe_BA_intern_assesment_Raw_data___Sheet1" caption="EPe_BA_intern_assesment_Raw_data___Sheet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2.524168634256" backgroundQuery="1" createdVersion="3" refreshedVersion="8" minRefreshableVersion="3" recordCount="0" supportSubquery="1" supportAdvancedDrill="1" xr:uid="{1B2D99AF-AABA-4208-870D-FD4F7EE1AA67}">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0"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0" memberValueDatatype="130" unbalanced="0"/>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0"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0"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0"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0"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0"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0" memberValueDatatype="130" unbalanced="0"/>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0"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0"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0"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0"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0"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0"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2" memberValueDatatype="130" unbalanced="0"/>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0"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0"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378893"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5962.534294675927" backgroundQuery="1" createdVersion="3" refreshedVersion="8" minRefreshableVersion="3" recordCount="0" supportSubquery="1" supportAdvancedDrill="1" xr:uid="{4EBB46B2-A8D6-4D8B-88A8-C46316E397AB}">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EPe_BA_intern_assesment_Raw_data___Sheet1].[Lead ID]" caption="Lead ID" attribute="1" defaultMemberUniqueName="[EPe_BA_intern_assesment_Raw_data___Sheet1].[Lead ID].[All]" allUniqueName="[EPe_BA_intern_assesment_Raw_data___Sheet1].[Lead ID].[All]" dimensionUniqueName="[EPe_BA_intern_assesment_Raw_data___Sheet1]" displayFolder="" count="0" memberValueDatatype="130" unbalanced="0"/>
    <cacheHierarchy uniqueName="[EPe_BA_intern_assesment_Raw_data___Sheet1].[Store Name]" caption="Store Name" attribute="1" defaultMemberUniqueName="[EPe_BA_intern_assesment_Raw_data___Sheet1].[Store Name].[All]" allUniqueName="[EPe_BA_intern_assesment_Raw_data___Sheet1].[Store Name].[All]" dimensionUniqueName="[EPe_BA_intern_assesment_Raw_data___Sheet1]" displayFolder="" count="0" memberValueDatatype="130" unbalanced="0"/>
    <cacheHierarchy uniqueName="[EPe_BA_intern_assesment_Raw_data___Sheet1].[Lead Type]" caption="Lead Type" attribute="1" defaultMemberUniqueName="[EPe_BA_intern_assesment_Raw_data___Sheet1].[Lead Type].[All]" allUniqueName="[EPe_BA_intern_assesment_Raw_data___Sheet1].[Lead Type].[All]" dimensionUniqueName="[EPe_BA_intern_assesment_Raw_data___Sheet1]" displayFolder="" count="2" memberValueDatatype="130" unbalanced="0"/>
    <cacheHierarchy uniqueName="[EPe_BA_intern_assesment_Raw_data___Sheet1].[Lead Date]" caption="Lead Date" attribute="1" time="1" defaultMemberUniqueName="[EPe_BA_intern_assesment_Raw_data___Sheet1].[Lead Date].[All]" allUniqueName="[EPe_BA_intern_assesment_Raw_data___Sheet1].[Lead Date].[All]" dimensionUniqueName="[EPe_BA_intern_assesment_Raw_data___Sheet1]" displayFolder="" count="0" memberValueDatatype="7" unbalanced="0"/>
    <cacheHierarchy uniqueName="[EPe_BA_intern_assesment_Raw_data___Sheet1].[Pre-Booking Date]" caption="Pre-Booking Date" attribute="1" time="1" defaultMemberUniqueName="[EPe_BA_intern_assesment_Raw_data___Sheet1].[Pre-Booking Date].[All]" allUniqueName="[EPe_BA_intern_assesment_Raw_data___Sheet1].[Pre-Booking Date].[All]" dimensionUniqueName="[EPe_BA_intern_assesment_Raw_data___Sheet1]" displayFolder="" count="0" memberValueDatatype="7" unbalanced="0"/>
    <cacheHierarchy uniqueName="[EPe_BA_intern_assesment_Raw_data___Sheet1].[Booking Date]" caption="Booking Date" attribute="1" time="1" defaultMemberUniqueName="[EPe_BA_intern_assesment_Raw_data___Sheet1].[Booking Date].[All]" allUniqueName="[EPe_BA_intern_assesment_Raw_data___Sheet1].[Booking Date].[All]" dimensionUniqueName="[EPe_BA_intern_assesment_Raw_data___Sheet1]" displayFolder="" count="0" memberValueDatatype="7" unbalanced="0"/>
    <cacheHierarchy uniqueName="[EPe_BA_intern_assesment_Raw_data___Sheet1].[Delivery Date]" caption="Delivery Date" attribute="1" time="1" defaultMemberUniqueName="[EPe_BA_intern_assesment_Raw_data___Sheet1].[Delivery Date].[All]" allUniqueName="[EPe_BA_intern_assesment_Raw_data___Sheet1].[Delivery Date].[All]" dimensionUniqueName="[EPe_BA_intern_assesment_Raw_data___Sheet1]" displayFolder="" count="0" memberValueDatatype="7" unbalanced="0"/>
    <cacheHierarchy uniqueName="[EPe_BA_intern_assesment_Raw_data___Sheet1].[Cancellation Status]" caption="Cancellation Status" attribute="1" defaultMemberUniqueName="[EPe_BA_intern_assesment_Raw_data___Sheet1].[Cancellation Status].[All]" allUniqueName="[EPe_BA_intern_assesment_Raw_data___Sheet1].[Cancellation Status].[All]" dimensionUniqueName="[EPe_BA_intern_assesment_Raw_data___Sheet1]" displayFolder="" count="0" memberValueDatatype="130" unbalanced="0"/>
    <cacheHierarchy uniqueName="[EPe_BA_intern_assesment_Raw_data___Sheet1].[Cancellation Reason]" caption="Cancellation Reason" attribute="1" defaultMemberUniqueName="[EPe_BA_intern_assesment_Raw_data___Sheet1].[Cancellation Reason].[All]" allUniqueName="[EPe_BA_intern_assesment_Raw_data___Sheet1].[Cancellation Reason].[All]" dimensionUniqueName="[EPe_BA_intern_assesment_Raw_data___Sheet1]" displayFolder="" count="0" memberValueDatatype="130" unbalanced="0"/>
    <cacheHierarchy uniqueName="[EPe_BA_intern_assesment_Raw_data___Sheet1].[Service Follow-up Date]" caption="Service Follow-up Date" attribute="1" time="1" defaultMemberUniqueName="[EPe_BA_intern_assesment_Raw_data___Sheet1].[Service Follow-up Date].[All]" allUniqueName="[EPe_BA_intern_assesment_Raw_data___Sheet1].[Service Follow-up Date].[All]" dimensionUniqueName="[EPe_BA_intern_assesment_Raw_data___Sheet1]" displayFolder="" count="0" memberValueDatatype="7" unbalanced="0"/>
    <cacheHierarchy uniqueName="[EPe_BA_intern_assesment_Raw_data___Sheet1].[TAT Pre-Booking (Days)]" caption="TAT Pre-Booking (Days)" attribute="1" defaultMemberUniqueName="[EPe_BA_intern_assesment_Raw_data___Sheet1].[TAT Pre-Booking (Days)].[All]" allUniqueName="[EPe_BA_intern_assesment_Raw_data___Sheet1].[TAT Pre-Booking (Days)].[All]" dimensionUniqueName="[EPe_BA_intern_assesment_Raw_data___Sheet1]" displayFolder="" count="0" memberValueDatatype="20" unbalanced="0"/>
    <cacheHierarchy uniqueName="[EPe_BA_intern_assesment_Raw_data___Sheet1].[TAT Booking (Days)]" caption="TAT Booking (Days)" attribute="1" defaultMemberUniqueName="[EPe_BA_intern_assesment_Raw_data___Sheet1].[TAT Booking (Days)].[All]" allUniqueName="[EPe_BA_intern_assesment_Raw_data___Sheet1].[TAT Booking (Days)].[All]" dimensionUniqueName="[EPe_BA_intern_assesment_Raw_data___Sheet1]" displayFolder="" count="0" memberValueDatatype="20" unbalanced="0"/>
    <cacheHierarchy uniqueName="[EPe_BA_intern_assesment_Raw_data___Sheet1].[TAT Delivery (Days)]" caption="TAT Delivery (Days)" attribute="1" defaultMemberUniqueName="[EPe_BA_intern_assesment_Raw_data___Sheet1].[TAT Delivery (Days)].[All]" allUniqueName="[EPe_BA_intern_assesment_Raw_data___Sheet1].[TAT Delivery (Days)].[All]" dimensionUniqueName="[EPe_BA_intern_assesment_Raw_data___Sheet1]" displayFolder="" count="0" memberValueDatatype="20" unbalanced="0"/>
    <cacheHierarchy uniqueName="[EPe_BA_intern_assesment_Raw_data___Sheet1].[Customer Rating]" caption="Customer Rating" attribute="1" defaultMemberUniqueName="[EPe_BA_intern_assesment_Raw_data___Sheet1].[Customer Rating].[All]" allUniqueName="[EPe_BA_intern_assesment_Raw_data___Sheet1].[Customer Rating].[All]" dimensionUniqueName="[EPe_BA_intern_assesment_Raw_data___Sheet1]" displayFolder="" count="0" memberValueDatatype="20" unbalanced="0"/>
    <cacheHierarchy uniqueName="[EPe_BA_intern_assesment_Raw_data___Sheet1].[TAT Overall(days)]" caption="TAT Overall(days)" attribute="1" defaultMemberUniqueName="[EPe_BA_intern_assesment_Raw_data___Sheet1].[TAT Overall(days)].[All]" allUniqueName="[EPe_BA_intern_assesment_Raw_data___Sheet1].[TAT Overall(days)].[All]" dimensionUniqueName="[EPe_BA_intern_assesment_Raw_data___Sheet1]" displayFolder="" count="0" memberValueDatatype="20" unbalanced="0"/>
    <cacheHierarchy uniqueName="[EPe_BA_intern_assesment_Raw_data___Sheet1].[Rating type]" caption="Rating type" attribute="1" defaultMemberUniqueName="[EPe_BA_intern_assesment_Raw_data___Sheet1].[Rating type].[All]" allUniqueName="[EPe_BA_intern_assesment_Raw_data___Sheet1].[Rating type].[All]" dimensionUniqueName="[EPe_BA_intern_assesment_Raw_data___Sheet1]" displayFolder="" count="0" memberValueDatatype="130" unbalanced="0"/>
    <cacheHierarchy uniqueName="[EPe_BA_intern_assesment_Raw_data___Sheet1].[Pre-Booking Date (Month)]" caption="Pre-Booking Date (Month)" attribute="1" defaultMemberUniqueName="[EPe_BA_intern_assesment_Raw_data___Sheet1].[Pre-Booking Date (Month)].[All]" allUniqueName="[EPe_BA_intern_assesment_Raw_data___Sheet1].[Pre-Booking Date (Month)].[All]" dimensionUniqueName="[EPe_BA_intern_assesment_Raw_data___Sheet1]" displayFolder="" count="0" memberValueDatatype="130" unbalanced="0"/>
    <cacheHierarchy uniqueName="[EPe_BA_intern_assesment_Raw_data___Sheet1].[Pre-Booking Date (Month Index)]" caption="Pre-Booking Date (Month Index)" attribute="1" defaultMemberUniqueName="[EPe_BA_intern_assesment_Raw_data___Sheet1].[Pre-Booking Date (Month Index)].[All]" allUniqueName="[EPe_BA_intern_assesment_Raw_data___Sheet1].[Pre-Booking Date (Month Index)].[All]" dimensionUniqueName="[EPe_BA_intern_assesment_Raw_data___Sheet1]" displayFolder="" count="0" memberValueDatatype="20" unbalanced="0" hidden="1"/>
    <cacheHierarchy uniqueName="[Measures].[__XL_Count EPe_BA_intern_assesment_Raw_data___Sheet1]" caption="__XL_Count EPe_BA_intern_assesment_Raw_data___Sheet1" measure="1" displayFolder="" measureGroup="EPe_BA_intern_assesment_Raw_data___Sheet1" count="0" hidden="1"/>
    <cacheHierarchy uniqueName="[Measures].[__No measures defined]" caption="__No measures defined" measure="1" displayFolder="" count="0" hidden="1"/>
    <cacheHierarchy uniqueName="[Measures].[Count of Rating type]" caption="Count of Rating type" measure="1" displayFolder="" measureGroup="EPe_BA_intern_assesment_Raw_data___Sheet1" count="0" hidden="1">
      <extLst>
        <ext xmlns:x15="http://schemas.microsoft.com/office/spreadsheetml/2010/11/main" uri="{B97F6D7D-B522-45F9-BDA1-12C45D357490}">
          <x15:cacheHierarchy aggregatedColumn="15"/>
        </ext>
      </extLst>
    </cacheHierarchy>
    <cacheHierarchy uniqueName="[Measures].[Count of Pre-Booking Date]" caption="Count of Pre-Booking Date" measure="1" displayFolder="" measureGroup="EPe_BA_intern_assesment_Raw_data___Sheet1" count="0" hidden="1">
      <extLst>
        <ext xmlns:x15="http://schemas.microsoft.com/office/spreadsheetml/2010/11/main" uri="{B97F6D7D-B522-45F9-BDA1-12C45D357490}">
          <x15:cacheHierarchy aggregatedColumn="4"/>
        </ext>
      </extLst>
    </cacheHierarchy>
    <cacheHierarchy uniqueName="[Measures].[Sum of TAT Pre-Booking (Days)]" caption="Sum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Sum of TAT Booking (Days)]" caption="Sum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Sum of TAT Delivery (Days)]" caption="Sum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Average of TAT Pre-Booking (Days)]" caption="Average of TAT Pre-Booking (Days)" measure="1" displayFolder="" measureGroup="EPe_BA_intern_assesment_Raw_data___Sheet1" count="0" hidden="1">
      <extLst>
        <ext xmlns:x15="http://schemas.microsoft.com/office/spreadsheetml/2010/11/main" uri="{B97F6D7D-B522-45F9-BDA1-12C45D357490}">
          <x15:cacheHierarchy aggregatedColumn="10"/>
        </ext>
      </extLst>
    </cacheHierarchy>
    <cacheHierarchy uniqueName="[Measures].[Average of TAT Booking (Days)]" caption="Average of TAT Booking (Days)" measure="1" displayFolder="" measureGroup="EPe_BA_intern_assesment_Raw_data___Sheet1" count="0" hidden="1">
      <extLst>
        <ext xmlns:x15="http://schemas.microsoft.com/office/spreadsheetml/2010/11/main" uri="{B97F6D7D-B522-45F9-BDA1-12C45D357490}">
          <x15:cacheHierarchy aggregatedColumn="11"/>
        </ext>
      </extLst>
    </cacheHierarchy>
    <cacheHierarchy uniqueName="[Measures].[Average of TAT Delivery (Days)]" caption="Average of TAT Delivery (Days)" measure="1" displayFolder="" measureGroup="EPe_BA_intern_assesment_Raw_data___Sheet1" count="0" hidden="1">
      <extLst>
        <ext xmlns:x15="http://schemas.microsoft.com/office/spreadsheetml/2010/11/main" uri="{B97F6D7D-B522-45F9-BDA1-12C45D357490}">
          <x15:cacheHierarchy aggregatedColumn="12"/>
        </ext>
      </extLst>
    </cacheHierarchy>
    <cacheHierarchy uniqueName="[Measures].[Count of Lead Date]" caption="Count of Lead Date" measure="1" displayFolder="" measureGroup="EPe_BA_intern_assesment_Raw_data___Sheet1" count="0" hidden="1">
      <extLst>
        <ext xmlns:x15="http://schemas.microsoft.com/office/spreadsheetml/2010/11/main" uri="{B97F6D7D-B522-45F9-BDA1-12C45D357490}">
          <x15:cacheHierarchy aggregatedColumn="3"/>
        </ext>
      </extLst>
    </cacheHierarchy>
    <cacheHierarchy uniqueName="[Measures].[Count of Booking Date]" caption="Count of Booking Date" measure="1" displayFolder="" measureGroup="EPe_BA_intern_assesment_Raw_data___Sheet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EPe_BA_intern_assesment_Raw_data___Sheet1" count="0" hidden="1">
      <extLst>
        <ext xmlns:x15="http://schemas.microsoft.com/office/spreadsheetml/2010/11/main" uri="{B97F6D7D-B522-45F9-BDA1-12C45D357490}">
          <x15:cacheHierarchy aggregatedColumn="6"/>
        </ext>
      </extLst>
    </cacheHierarchy>
    <cacheHierarchy uniqueName="[Measures].[Count of Service Follow-up Date]" caption="Count of Service Follow-up Date" measure="1" displayFolder="" measureGroup="EPe_BA_intern_assesment_Raw_data___Sheet1" count="0" hidden="1">
      <extLst>
        <ext xmlns:x15="http://schemas.microsoft.com/office/spreadsheetml/2010/11/main" uri="{B97F6D7D-B522-45F9-BDA1-12C45D357490}">
          <x15:cacheHierarchy aggregatedColumn="9"/>
        </ext>
      </extLst>
    </cacheHierarchy>
    <cacheHierarchy uniqueName="[Measures].[Count of Pre-Booking Date (Month)]" caption="Count of Pre-Booking Date (Month)" measure="1" displayFolder="" measureGroup="EPe_BA_intern_assesment_Raw_data___Sheet1" count="0" hidden="1">
      <extLst>
        <ext xmlns:x15="http://schemas.microsoft.com/office/spreadsheetml/2010/11/main" uri="{B97F6D7D-B522-45F9-BDA1-12C45D357490}">
          <x15:cacheHierarchy aggregatedColumn="16"/>
        </ext>
      </extLst>
    </cacheHierarchy>
    <cacheHierarchy uniqueName="[Measures].[Count of Lead Type]" caption="Count of Lead Type" measure="1" displayFolder="" measureGroup="EPe_BA_intern_assesment_Raw_data___Sheet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901795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s v="No"/>
    <x v="0"/>
    <d v="2025-11-28T00:00:00"/>
    <n v="4"/>
    <n v="4"/>
    <n v="5"/>
    <x v="0"/>
    <x v="0"/>
  </r>
  <r>
    <x v="1"/>
    <x v="1"/>
    <x v="0"/>
    <x v="1"/>
    <x v="1"/>
    <x v="1"/>
    <x v="1"/>
    <s v="No"/>
    <x v="0"/>
    <d v="2025-11-22T00:00:00"/>
    <n v="3"/>
    <n v="5"/>
    <n v="7"/>
    <x v="1"/>
    <x v="1"/>
  </r>
  <r>
    <x v="2"/>
    <x v="2"/>
    <x v="1"/>
    <x v="2"/>
    <x v="2"/>
    <x v="2"/>
    <x v="2"/>
    <s v="Yes"/>
    <x v="1"/>
    <m/>
    <m/>
    <m/>
    <m/>
    <x v="2"/>
    <x v="2"/>
  </r>
  <r>
    <x v="3"/>
    <x v="0"/>
    <x v="1"/>
    <x v="3"/>
    <x v="2"/>
    <x v="2"/>
    <x v="2"/>
    <s v="Yes"/>
    <x v="2"/>
    <m/>
    <m/>
    <m/>
    <m/>
    <x v="2"/>
    <x v="2"/>
  </r>
  <r>
    <x v="4"/>
    <x v="1"/>
    <x v="0"/>
    <x v="4"/>
    <x v="3"/>
    <x v="3"/>
    <x v="3"/>
    <s v="No"/>
    <x v="0"/>
    <d v="2025-11-12T00:00:00"/>
    <n v="4"/>
    <n v="3"/>
    <n v="3"/>
    <x v="1"/>
    <x v="3"/>
  </r>
  <r>
    <x v="5"/>
    <x v="1"/>
    <x v="0"/>
    <x v="5"/>
    <x v="4"/>
    <x v="4"/>
    <x v="4"/>
    <s v="No"/>
    <x v="0"/>
    <d v="2025-11-22T00:00:00"/>
    <n v="4"/>
    <n v="4"/>
    <n v="3"/>
    <x v="3"/>
    <x v="4"/>
  </r>
  <r>
    <x v="6"/>
    <x v="2"/>
    <x v="2"/>
    <x v="6"/>
    <x v="5"/>
    <x v="3"/>
    <x v="5"/>
    <s v="No"/>
    <x v="0"/>
    <d v="2025-11-22T00:00:00"/>
    <n v="4"/>
    <n v="1"/>
    <n v="7"/>
    <x v="4"/>
    <x v="5"/>
  </r>
  <r>
    <x v="7"/>
    <x v="3"/>
    <x v="0"/>
    <x v="7"/>
    <x v="6"/>
    <x v="5"/>
    <x v="6"/>
    <s v="Yes"/>
    <x v="3"/>
    <m/>
    <n v="1"/>
    <n v="3"/>
    <n v="7"/>
    <x v="2"/>
    <x v="4"/>
  </r>
  <r>
    <x v="8"/>
    <x v="0"/>
    <x v="2"/>
    <x v="4"/>
    <x v="7"/>
    <x v="6"/>
    <x v="7"/>
    <s v="No"/>
    <x v="0"/>
    <d v="2025-11-05T00:00:00"/>
    <n v="3"/>
    <n v="3"/>
    <n v="5"/>
    <x v="1"/>
    <x v="4"/>
  </r>
  <r>
    <x v="9"/>
    <x v="2"/>
    <x v="0"/>
    <x v="8"/>
    <x v="8"/>
    <x v="7"/>
    <x v="8"/>
    <s v="No"/>
    <x v="0"/>
    <d v="2025-11-22T00:00:00"/>
    <n v="4"/>
    <n v="1"/>
    <n v="5"/>
    <x v="5"/>
    <x v="3"/>
  </r>
  <r>
    <x v="10"/>
    <x v="0"/>
    <x v="1"/>
    <x v="9"/>
    <x v="2"/>
    <x v="2"/>
    <x v="2"/>
    <s v="Yes"/>
    <x v="1"/>
    <m/>
    <m/>
    <m/>
    <m/>
    <x v="2"/>
    <x v="2"/>
  </r>
  <r>
    <x v="11"/>
    <x v="1"/>
    <x v="0"/>
    <x v="0"/>
    <x v="9"/>
    <x v="8"/>
    <x v="9"/>
    <s v="No"/>
    <x v="0"/>
    <d v="2025-11-10T00:00:00"/>
    <n v="3"/>
    <n v="4"/>
    <n v="2"/>
    <x v="6"/>
    <x v="6"/>
  </r>
  <r>
    <x v="12"/>
    <x v="1"/>
    <x v="0"/>
    <x v="10"/>
    <x v="10"/>
    <x v="9"/>
    <x v="10"/>
    <s v="No"/>
    <x v="0"/>
    <d v="2025-11-30T00:00:00"/>
    <n v="3"/>
    <n v="5"/>
    <n v="7"/>
    <x v="4"/>
    <x v="1"/>
  </r>
  <r>
    <x v="13"/>
    <x v="3"/>
    <x v="0"/>
    <x v="5"/>
    <x v="11"/>
    <x v="10"/>
    <x v="11"/>
    <s v="No"/>
    <x v="0"/>
    <d v="2025-12-07T00:00:00"/>
    <n v="3"/>
    <n v="3"/>
    <n v="6"/>
    <x v="0"/>
    <x v="5"/>
  </r>
  <r>
    <x v="14"/>
    <x v="1"/>
    <x v="2"/>
    <x v="11"/>
    <x v="7"/>
    <x v="11"/>
    <x v="12"/>
    <s v="Yes"/>
    <x v="3"/>
    <m/>
    <n v="2"/>
    <n v="1"/>
    <n v="3"/>
    <x v="2"/>
    <x v="7"/>
  </r>
  <r>
    <x v="15"/>
    <x v="1"/>
    <x v="0"/>
    <x v="12"/>
    <x v="12"/>
    <x v="12"/>
    <x v="13"/>
    <s v="No"/>
    <x v="0"/>
    <d v="2025-11-23T00:00:00"/>
    <n v="4"/>
    <n v="5"/>
    <n v="5"/>
    <x v="1"/>
    <x v="8"/>
  </r>
  <r>
    <x v="16"/>
    <x v="2"/>
    <x v="2"/>
    <x v="13"/>
    <x v="13"/>
    <x v="13"/>
    <x v="14"/>
    <s v="No"/>
    <x v="0"/>
    <d v="2025-10-26T00:00:00"/>
    <n v="1"/>
    <n v="4"/>
    <n v="6"/>
    <x v="0"/>
    <x v="4"/>
  </r>
  <r>
    <x v="17"/>
    <x v="0"/>
    <x v="2"/>
    <x v="4"/>
    <x v="14"/>
    <x v="11"/>
    <x v="15"/>
    <s v="No"/>
    <x v="0"/>
    <d v="2025-11-18T00:00:00"/>
    <n v="1"/>
    <n v="3"/>
    <n v="5"/>
    <x v="6"/>
    <x v="6"/>
  </r>
  <r>
    <x v="18"/>
    <x v="0"/>
    <x v="0"/>
    <x v="14"/>
    <x v="15"/>
    <x v="14"/>
    <x v="16"/>
    <s v="No"/>
    <x v="0"/>
    <d v="2025-11-11T00:00:00"/>
    <n v="1"/>
    <n v="5"/>
    <n v="5"/>
    <x v="7"/>
    <x v="4"/>
  </r>
  <r>
    <x v="19"/>
    <x v="2"/>
    <x v="0"/>
    <x v="15"/>
    <x v="0"/>
    <x v="15"/>
    <x v="17"/>
    <s v="No"/>
    <x v="0"/>
    <d v="2025-11-11T00:00:00"/>
    <n v="1"/>
    <n v="5"/>
    <n v="2"/>
    <x v="8"/>
    <x v="9"/>
  </r>
  <r>
    <x v="20"/>
    <x v="3"/>
    <x v="0"/>
    <x v="16"/>
    <x v="16"/>
    <x v="16"/>
    <x v="9"/>
    <s v="No"/>
    <x v="0"/>
    <d v="2025-11-19T00:00:00"/>
    <n v="4"/>
    <n v="2"/>
    <n v="7"/>
    <x v="5"/>
    <x v="0"/>
  </r>
  <r>
    <x v="21"/>
    <x v="0"/>
    <x v="2"/>
    <x v="8"/>
    <x v="10"/>
    <x v="10"/>
    <x v="18"/>
    <s v="No"/>
    <x v="0"/>
    <d v="2025-12-04T00:00:00"/>
    <n v="1"/>
    <n v="1"/>
    <n v="3"/>
    <x v="9"/>
    <x v="10"/>
  </r>
  <r>
    <x v="22"/>
    <x v="1"/>
    <x v="0"/>
    <x v="0"/>
    <x v="9"/>
    <x v="0"/>
    <x v="17"/>
    <s v="No"/>
    <x v="0"/>
    <d v="2025-11-17T00:00:00"/>
    <n v="3"/>
    <n v="5"/>
    <n v="3"/>
    <x v="1"/>
    <x v="4"/>
  </r>
  <r>
    <x v="23"/>
    <x v="0"/>
    <x v="0"/>
    <x v="17"/>
    <x v="17"/>
    <x v="17"/>
    <x v="19"/>
    <s v="No"/>
    <x v="0"/>
    <d v="2025-11-02T00:00:00"/>
    <n v="2"/>
    <n v="4"/>
    <n v="4"/>
    <x v="9"/>
    <x v="3"/>
  </r>
  <r>
    <x v="24"/>
    <x v="1"/>
    <x v="0"/>
    <x v="18"/>
    <x v="0"/>
    <x v="18"/>
    <x v="0"/>
    <s v="No"/>
    <x v="0"/>
    <d v="2025-11-23T00:00:00"/>
    <n v="5"/>
    <n v="2"/>
    <n v="7"/>
    <x v="10"/>
    <x v="8"/>
  </r>
  <r>
    <x v="25"/>
    <x v="3"/>
    <x v="0"/>
    <x v="19"/>
    <x v="12"/>
    <x v="12"/>
    <x v="0"/>
    <s v="No"/>
    <x v="0"/>
    <d v="2025-11-18T00:00:00"/>
    <n v="1"/>
    <n v="5"/>
    <n v="2"/>
    <x v="8"/>
    <x v="9"/>
  </r>
  <r>
    <x v="26"/>
    <x v="2"/>
    <x v="0"/>
    <x v="20"/>
    <x v="8"/>
    <x v="19"/>
    <x v="20"/>
    <s v="No"/>
    <x v="0"/>
    <d v="2025-12-05T00:00:00"/>
    <n v="5"/>
    <n v="5"/>
    <n v="6"/>
    <x v="10"/>
    <x v="11"/>
  </r>
  <r>
    <x v="27"/>
    <x v="0"/>
    <x v="0"/>
    <x v="21"/>
    <x v="18"/>
    <x v="18"/>
    <x v="21"/>
    <s v="No"/>
    <x v="0"/>
    <d v="2025-11-09T00:00:00"/>
    <n v="5"/>
    <n v="4"/>
    <n v="2"/>
    <x v="9"/>
    <x v="4"/>
  </r>
  <r>
    <x v="28"/>
    <x v="2"/>
    <x v="0"/>
    <x v="22"/>
    <x v="11"/>
    <x v="12"/>
    <x v="4"/>
    <s v="No"/>
    <x v="0"/>
    <d v="2025-11-17T00:00:00"/>
    <n v="5"/>
    <n v="2"/>
    <n v="6"/>
    <x v="9"/>
    <x v="0"/>
  </r>
  <r>
    <x v="29"/>
    <x v="0"/>
    <x v="1"/>
    <x v="6"/>
    <x v="2"/>
    <x v="2"/>
    <x v="2"/>
    <s v="Yes"/>
    <x v="3"/>
    <m/>
    <m/>
    <m/>
    <m/>
    <x v="2"/>
    <x v="2"/>
  </r>
  <r>
    <x v="30"/>
    <x v="1"/>
    <x v="0"/>
    <x v="11"/>
    <x v="3"/>
    <x v="6"/>
    <x v="15"/>
    <s v="No"/>
    <x v="0"/>
    <d v="2025-11-06T00:00:00"/>
    <n v="3"/>
    <n v="2"/>
    <n v="3"/>
    <x v="9"/>
    <x v="9"/>
  </r>
  <r>
    <x v="31"/>
    <x v="2"/>
    <x v="0"/>
    <x v="4"/>
    <x v="14"/>
    <x v="20"/>
    <x v="22"/>
    <s v="No"/>
    <x v="0"/>
    <d v="2025-11-17T00:00:00"/>
    <n v="1"/>
    <n v="1"/>
    <n v="4"/>
    <x v="7"/>
    <x v="7"/>
  </r>
  <r>
    <x v="32"/>
    <x v="0"/>
    <x v="0"/>
    <x v="5"/>
    <x v="4"/>
    <x v="7"/>
    <x v="23"/>
    <s v="No"/>
    <x v="0"/>
    <d v="2025-11-23T00:00:00"/>
    <n v="4"/>
    <n v="5"/>
    <n v="4"/>
    <x v="9"/>
    <x v="0"/>
  </r>
  <r>
    <x v="33"/>
    <x v="1"/>
    <x v="0"/>
    <x v="15"/>
    <x v="12"/>
    <x v="8"/>
    <x v="24"/>
    <s v="No"/>
    <x v="0"/>
    <d v="2025-11-13T00:00:00"/>
    <n v="3"/>
    <n v="1"/>
    <n v="3"/>
    <x v="9"/>
    <x v="12"/>
  </r>
  <r>
    <x v="34"/>
    <x v="2"/>
    <x v="1"/>
    <x v="23"/>
    <x v="2"/>
    <x v="2"/>
    <x v="2"/>
    <s v="Yes"/>
    <x v="2"/>
    <m/>
    <m/>
    <m/>
    <m/>
    <x v="2"/>
    <x v="2"/>
  </r>
  <r>
    <x v="35"/>
    <x v="2"/>
    <x v="0"/>
    <x v="17"/>
    <x v="19"/>
    <x v="17"/>
    <x v="22"/>
    <s v="No"/>
    <x v="0"/>
    <d v="2025-11-15T00:00:00"/>
    <n v="4"/>
    <n v="2"/>
    <n v="5"/>
    <x v="3"/>
    <x v="4"/>
  </r>
  <r>
    <x v="36"/>
    <x v="0"/>
    <x v="0"/>
    <x v="1"/>
    <x v="20"/>
    <x v="21"/>
    <x v="6"/>
    <s v="Yes"/>
    <x v="4"/>
    <m/>
    <n v="1"/>
    <n v="1"/>
    <n v="2"/>
    <x v="2"/>
    <x v="13"/>
  </r>
  <r>
    <x v="37"/>
    <x v="0"/>
    <x v="0"/>
    <x v="3"/>
    <x v="4"/>
    <x v="4"/>
    <x v="11"/>
    <s v="No"/>
    <x v="0"/>
    <d v="2025-11-29T00:00:00"/>
    <n v="3"/>
    <n v="4"/>
    <n v="4"/>
    <x v="0"/>
    <x v="4"/>
  </r>
  <r>
    <x v="38"/>
    <x v="0"/>
    <x v="0"/>
    <x v="24"/>
    <x v="19"/>
    <x v="20"/>
    <x v="15"/>
    <s v="No"/>
    <x v="0"/>
    <d v="2025-11-04T00:00:00"/>
    <n v="5"/>
    <n v="3"/>
    <n v="7"/>
    <x v="3"/>
    <x v="1"/>
  </r>
  <r>
    <x v="39"/>
    <x v="1"/>
    <x v="0"/>
    <x v="5"/>
    <x v="11"/>
    <x v="22"/>
    <x v="11"/>
    <s v="Yes"/>
    <x v="1"/>
    <m/>
    <n v="3"/>
    <n v="4"/>
    <n v="5"/>
    <x v="2"/>
    <x v="5"/>
  </r>
  <r>
    <x v="40"/>
    <x v="0"/>
    <x v="1"/>
    <x v="20"/>
    <x v="2"/>
    <x v="2"/>
    <x v="2"/>
    <s v="Yes"/>
    <x v="2"/>
    <m/>
    <m/>
    <m/>
    <m/>
    <x v="2"/>
    <x v="2"/>
  </r>
  <r>
    <x v="41"/>
    <x v="2"/>
    <x v="0"/>
    <x v="25"/>
    <x v="13"/>
    <x v="5"/>
    <x v="25"/>
    <s v="No"/>
    <x v="0"/>
    <d v="2025-11-04T00:00:00"/>
    <n v="3"/>
    <n v="2"/>
    <n v="6"/>
    <x v="5"/>
    <x v="4"/>
  </r>
  <r>
    <x v="42"/>
    <x v="2"/>
    <x v="0"/>
    <x v="17"/>
    <x v="21"/>
    <x v="23"/>
    <x v="12"/>
    <s v="No"/>
    <x v="0"/>
    <d v="2025-11-12T00:00:00"/>
    <n v="1"/>
    <n v="4"/>
    <n v="7"/>
    <x v="11"/>
    <x v="5"/>
  </r>
  <r>
    <x v="43"/>
    <x v="0"/>
    <x v="1"/>
    <x v="10"/>
    <x v="2"/>
    <x v="2"/>
    <x v="2"/>
    <s v="Yes"/>
    <x v="3"/>
    <m/>
    <m/>
    <m/>
    <m/>
    <x v="2"/>
    <x v="2"/>
  </r>
  <r>
    <x v="44"/>
    <x v="0"/>
    <x v="2"/>
    <x v="11"/>
    <x v="5"/>
    <x v="24"/>
    <x v="1"/>
    <s v="No"/>
    <x v="0"/>
    <d v="2025-11-23T00:00:00"/>
    <n v="5"/>
    <n v="2"/>
    <n v="4"/>
    <x v="1"/>
    <x v="4"/>
  </r>
  <r>
    <x v="45"/>
    <x v="3"/>
    <x v="2"/>
    <x v="24"/>
    <x v="19"/>
    <x v="25"/>
    <x v="15"/>
    <s v="No"/>
    <x v="0"/>
    <d v="2025-11-05T00:00:00"/>
    <n v="5"/>
    <n v="4"/>
    <n v="6"/>
    <x v="9"/>
    <x v="1"/>
  </r>
  <r>
    <x v="46"/>
    <x v="2"/>
    <x v="0"/>
    <x v="22"/>
    <x v="12"/>
    <x v="12"/>
    <x v="13"/>
    <s v="No"/>
    <x v="0"/>
    <d v="2025-11-26T00:00:00"/>
    <n v="2"/>
    <n v="5"/>
    <n v="5"/>
    <x v="7"/>
    <x v="5"/>
  </r>
  <r>
    <x v="47"/>
    <x v="1"/>
    <x v="1"/>
    <x v="11"/>
    <x v="2"/>
    <x v="2"/>
    <x v="2"/>
    <s v="Yes"/>
    <x v="2"/>
    <m/>
    <m/>
    <m/>
    <m/>
    <x v="2"/>
    <x v="2"/>
  </r>
  <r>
    <x v="48"/>
    <x v="3"/>
    <x v="2"/>
    <x v="23"/>
    <x v="16"/>
    <x v="26"/>
    <x v="17"/>
    <s v="No"/>
    <x v="0"/>
    <d v="2025-11-20T00:00:00"/>
    <n v="2"/>
    <n v="5"/>
    <n v="6"/>
    <x v="6"/>
    <x v="0"/>
  </r>
  <r>
    <x v="49"/>
    <x v="0"/>
    <x v="2"/>
    <x v="18"/>
    <x v="9"/>
    <x v="8"/>
    <x v="26"/>
    <s v="No"/>
    <x v="0"/>
    <d v="2025-11-22T00:00:00"/>
    <n v="4"/>
    <n v="4"/>
    <n v="5"/>
    <x v="5"/>
    <x v="0"/>
  </r>
  <r>
    <x v="50"/>
    <x v="0"/>
    <x v="2"/>
    <x v="26"/>
    <x v="9"/>
    <x v="27"/>
    <x v="24"/>
    <s v="No"/>
    <x v="0"/>
    <d v="2025-11-14T00:00:00"/>
    <n v="2"/>
    <n v="1"/>
    <n v="6"/>
    <x v="5"/>
    <x v="6"/>
  </r>
  <r>
    <x v="51"/>
    <x v="2"/>
    <x v="2"/>
    <x v="27"/>
    <x v="1"/>
    <x v="20"/>
    <x v="27"/>
    <s v="No"/>
    <x v="0"/>
    <d v="2025-11-02T00:00:00"/>
    <n v="1"/>
    <n v="2"/>
    <n v="2"/>
    <x v="5"/>
    <x v="10"/>
  </r>
  <r>
    <x v="52"/>
    <x v="0"/>
    <x v="2"/>
    <x v="1"/>
    <x v="1"/>
    <x v="1"/>
    <x v="15"/>
    <s v="No"/>
    <x v="0"/>
    <d v="2025-11-15T00:00:00"/>
    <n v="3"/>
    <n v="5"/>
    <n v="4"/>
    <x v="8"/>
    <x v="5"/>
  </r>
  <r>
    <x v="53"/>
    <x v="1"/>
    <x v="0"/>
    <x v="2"/>
    <x v="13"/>
    <x v="5"/>
    <x v="28"/>
    <s v="No"/>
    <x v="0"/>
    <d v="2025-11-11T00:00:00"/>
    <n v="5"/>
    <n v="2"/>
    <n v="4"/>
    <x v="8"/>
    <x v="4"/>
  </r>
  <r>
    <x v="54"/>
    <x v="2"/>
    <x v="0"/>
    <x v="6"/>
    <x v="22"/>
    <x v="28"/>
    <x v="21"/>
    <s v="No"/>
    <x v="0"/>
    <d v="2025-11-23T00:00:00"/>
    <n v="3"/>
    <n v="5"/>
    <n v="5"/>
    <x v="1"/>
    <x v="0"/>
  </r>
  <r>
    <x v="55"/>
    <x v="0"/>
    <x v="2"/>
    <x v="3"/>
    <x v="23"/>
    <x v="12"/>
    <x v="4"/>
    <s v="No"/>
    <x v="0"/>
    <d v="2025-12-07T00:00:00"/>
    <n v="1"/>
    <n v="3"/>
    <n v="6"/>
    <x v="9"/>
    <x v="3"/>
  </r>
  <r>
    <x v="56"/>
    <x v="2"/>
    <x v="0"/>
    <x v="1"/>
    <x v="1"/>
    <x v="11"/>
    <x v="12"/>
    <s v="No"/>
    <x v="0"/>
    <d v="2025-11-10T00:00:00"/>
    <n v="3"/>
    <n v="4"/>
    <n v="3"/>
    <x v="5"/>
    <x v="3"/>
  </r>
  <r>
    <x v="57"/>
    <x v="0"/>
    <x v="2"/>
    <x v="14"/>
    <x v="17"/>
    <x v="20"/>
    <x v="15"/>
    <s v="No"/>
    <x v="0"/>
    <d v="2025-11-07T00:00:00"/>
    <n v="5"/>
    <n v="5"/>
    <n v="7"/>
    <x v="10"/>
    <x v="14"/>
  </r>
  <r>
    <x v="58"/>
    <x v="0"/>
    <x v="0"/>
    <x v="6"/>
    <x v="3"/>
    <x v="24"/>
    <x v="21"/>
    <s v="Yes"/>
    <x v="4"/>
    <m/>
    <n v="2"/>
    <n v="4"/>
    <n v="7"/>
    <x v="2"/>
    <x v="0"/>
  </r>
  <r>
    <x v="59"/>
    <x v="0"/>
    <x v="0"/>
    <x v="28"/>
    <x v="17"/>
    <x v="23"/>
    <x v="27"/>
    <s v="No"/>
    <x v="0"/>
    <d v="2025-11-14T00:00:00"/>
    <n v="4"/>
    <n v="3"/>
    <n v="4"/>
    <x v="0"/>
    <x v="4"/>
  </r>
  <r>
    <x v="60"/>
    <x v="1"/>
    <x v="0"/>
    <x v="9"/>
    <x v="7"/>
    <x v="1"/>
    <x v="7"/>
    <s v="No"/>
    <x v="0"/>
    <d v="2025-11-23T00:00:00"/>
    <n v="5"/>
    <n v="2"/>
    <n v="6"/>
    <x v="11"/>
    <x v="0"/>
  </r>
  <r>
    <x v="61"/>
    <x v="1"/>
    <x v="2"/>
    <x v="19"/>
    <x v="4"/>
    <x v="4"/>
    <x v="8"/>
    <s v="No"/>
    <x v="0"/>
    <d v="2025-12-01T00:00:00"/>
    <n v="5"/>
    <n v="4"/>
    <n v="6"/>
    <x v="3"/>
    <x v="1"/>
  </r>
  <r>
    <x v="62"/>
    <x v="2"/>
    <x v="0"/>
    <x v="17"/>
    <x v="1"/>
    <x v="1"/>
    <x v="12"/>
    <s v="No"/>
    <x v="0"/>
    <d v="2025-11-07T00:00:00"/>
    <n v="5"/>
    <n v="5"/>
    <n v="2"/>
    <x v="9"/>
    <x v="5"/>
  </r>
  <r>
    <x v="63"/>
    <x v="0"/>
    <x v="2"/>
    <x v="1"/>
    <x v="24"/>
    <x v="1"/>
    <x v="1"/>
    <s v="No"/>
    <x v="0"/>
    <d v="2025-11-23T00:00:00"/>
    <n v="5"/>
    <n v="3"/>
    <n v="7"/>
    <x v="9"/>
    <x v="1"/>
  </r>
  <r>
    <x v="64"/>
    <x v="0"/>
    <x v="1"/>
    <x v="17"/>
    <x v="2"/>
    <x v="2"/>
    <x v="2"/>
    <s v="Yes"/>
    <x v="1"/>
    <m/>
    <m/>
    <m/>
    <m/>
    <x v="2"/>
    <x v="2"/>
  </r>
  <r>
    <x v="65"/>
    <x v="1"/>
    <x v="0"/>
    <x v="10"/>
    <x v="11"/>
    <x v="4"/>
    <x v="4"/>
    <s v="No"/>
    <x v="0"/>
    <d v="2025-11-22T00:00:00"/>
    <n v="1"/>
    <n v="5"/>
    <n v="3"/>
    <x v="4"/>
    <x v="6"/>
  </r>
  <r>
    <x v="66"/>
    <x v="0"/>
    <x v="0"/>
    <x v="18"/>
    <x v="0"/>
    <x v="8"/>
    <x v="17"/>
    <s v="No"/>
    <x v="0"/>
    <d v="2025-11-23T00:00:00"/>
    <n v="5"/>
    <n v="3"/>
    <n v="4"/>
    <x v="8"/>
    <x v="5"/>
  </r>
  <r>
    <x v="67"/>
    <x v="1"/>
    <x v="2"/>
    <x v="12"/>
    <x v="25"/>
    <x v="0"/>
    <x v="24"/>
    <s v="No"/>
    <x v="0"/>
    <d v="2025-11-19T00:00:00"/>
    <n v="3"/>
    <n v="3"/>
    <n v="2"/>
    <x v="7"/>
    <x v="9"/>
  </r>
  <r>
    <x v="68"/>
    <x v="0"/>
    <x v="1"/>
    <x v="10"/>
    <x v="2"/>
    <x v="2"/>
    <x v="2"/>
    <s v="Yes"/>
    <x v="4"/>
    <m/>
    <m/>
    <m/>
    <m/>
    <x v="2"/>
    <x v="2"/>
  </r>
  <r>
    <x v="69"/>
    <x v="2"/>
    <x v="2"/>
    <x v="17"/>
    <x v="21"/>
    <x v="17"/>
    <x v="27"/>
    <s v="No"/>
    <x v="0"/>
    <d v="2025-11-06T00:00:00"/>
    <n v="1"/>
    <n v="5"/>
    <n v="3"/>
    <x v="10"/>
    <x v="6"/>
  </r>
  <r>
    <x v="70"/>
    <x v="0"/>
    <x v="2"/>
    <x v="21"/>
    <x v="5"/>
    <x v="28"/>
    <x v="5"/>
    <s v="No"/>
    <x v="0"/>
    <d v="2025-11-11T00:00:00"/>
    <n v="2"/>
    <n v="4"/>
    <n v="4"/>
    <x v="4"/>
    <x v="3"/>
  </r>
  <r>
    <x v="71"/>
    <x v="0"/>
    <x v="0"/>
    <x v="2"/>
    <x v="26"/>
    <x v="29"/>
    <x v="29"/>
    <s v="No"/>
    <x v="0"/>
    <d v="2025-10-23T00:00:00"/>
    <n v="3"/>
    <n v="2"/>
    <n v="2"/>
    <x v="11"/>
    <x v="12"/>
  </r>
  <r>
    <x v="72"/>
    <x v="3"/>
    <x v="2"/>
    <x v="16"/>
    <x v="5"/>
    <x v="24"/>
    <x v="7"/>
    <s v="No"/>
    <x v="0"/>
    <d v="2025-11-04T00:00:00"/>
    <n v="3"/>
    <n v="2"/>
    <n v="3"/>
    <x v="5"/>
    <x v="9"/>
  </r>
  <r>
    <x v="73"/>
    <x v="1"/>
    <x v="1"/>
    <x v="8"/>
    <x v="2"/>
    <x v="2"/>
    <x v="2"/>
    <s v="Yes"/>
    <x v="5"/>
    <m/>
    <m/>
    <m/>
    <m/>
    <x v="2"/>
    <x v="2"/>
  </r>
  <r>
    <x v="74"/>
    <x v="0"/>
    <x v="0"/>
    <x v="28"/>
    <x v="21"/>
    <x v="21"/>
    <x v="16"/>
    <s v="No"/>
    <x v="0"/>
    <d v="2025-11-14T00:00:00"/>
    <n v="3"/>
    <n v="3"/>
    <n v="4"/>
    <x v="6"/>
    <x v="3"/>
  </r>
  <r>
    <x v="75"/>
    <x v="0"/>
    <x v="2"/>
    <x v="25"/>
    <x v="13"/>
    <x v="30"/>
    <x v="27"/>
    <s v="No"/>
    <x v="0"/>
    <d v="2025-11-09T00:00:00"/>
    <n v="3"/>
    <n v="5"/>
    <n v="7"/>
    <x v="10"/>
    <x v="1"/>
  </r>
  <r>
    <x v="76"/>
    <x v="3"/>
    <x v="0"/>
    <x v="24"/>
    <x v="27"/>
    <x v="14"/>
    <x v="6"/>
    <s v="No"/>
    <x v="0"/>
    <d v="2025-11-12T00:00:00"/>
    <n v="1"/>
    <n v="3"/>
    <n v="3"/>
    <x v="1"/>
    <x v="12"/>
  </r>
  <r>
    <x v="77"/>
    <x v="3"/>
    <x v="1"/>
    <x v="15"/>
    <x v="2"/>
    <x v="2"/>
    <x v="2"/>
    <s v="Yes"/>
    <x v="1"/>
    <m/>
    <m/>
    <m/>
    <m/>
    <x v="2"/>
    <x v="2"/>
  </r>
  <r>
    <x v="78"/>
    <x v="1"/>
    <x v="1"/>
    <x v="4"/>
    <x v="2"/>
    <x v="2"/>
    <x v="2"/>
    <s v="Yes"/>
    <x v="4"/>
    <m/>
    <m/>
    <m/>
    <m/>
    <x v="2"/>
    <x v="2"/>
  </r>
  <r>
    <x v="79"/>
    <x v="3"/>
    <x v="0"/>
    <x v="6"/>
    <x v="3"/>
    <x v="6"/>
    <x v="1"/>
    <s v="Yes"/>
    <x v="3"/>
    <m/>
    <n v="2"/>
    <n v="2"/>
    <n v="6"/>
    <x v="2"/>
    <x v="3"/>
  </r>
  <r>
    <x v="80"/>
    <x v="2"/>
    <x v="1"/>
    <x v="21"/>
    <x v="2"/>
    <x v="2"/>
    <x v="2"/>
    <s v="Yes"/>
    <x v="1"/>
    <m/>
    <m/>
    <m/>
    <m/>
    <x v="2"/>
    <x v="2"/>
  </r>
  <r>
    <x v="81"/>
    <x v="3"/>
    <x v="1"/>
    <x v="22"/>
    <x v="2"/>
    <x v="2"/>
    <x v="2"/>
    <s v="Yes"/>
    <x v="1"/>
    <m/>
    <m/>
    <m/>
    <m/>
    <x v="2"/>
    <x v="2"/>
  </r>
  <r>
    <x v="82"/>
    <x v="2"/>
    <x v="0"/>
    <x v="24"/>
    <x v="21"/>
    <x v="21"/>
    <x v="27"/>
    <s v="No"/>
    <x v="0"/>
    <d v="2025-10-29T00:00:00"/>
    <n v="2"/>
    <n v="3"/>
    <n v="5"/>
    <x v="7"/>
    <x v="3"/>
  </r>
  <r>
    <x v="83"/>
    <x v="1"/>
    <x v="2"/>
    <x v="12"/>
    <x v="28"/>
    <x v="31"/>
    <x v="18"/>
    <s v="No"/>
    <x v="0"/>
    <d v="2025-11-20T00:00:00"/>
    <n v="5"/>
    <n v="3"/>
    <n v="5"/>
    <x v="7"/>
    <x v="0"/>
  </r>
  <r>
    <x v="84"/>
    <x v="1"/>
    <x v="0"/>
    <x v="6"/>
    <x v="5"/>
    <x v="24"/>
    <x v="5"/>
    <s v="No"/>
    <x v="0"/>
    <d v="2025-11-26T00:00:00"/>
    <n v="4"/>
    <n v="2"/>
    <n v="6"/>
    <x v="8"/>
    <x v="5"/>
  </r>
  <r>
    <x v="85"/>
    <x v="1"/>
    <x v="1"/>
    <x v="0"/>
    <x v="2"/>
    <x v="2"/>
    <x v="2"/>
    <s v="Yes"/>
    <x v="2"/>
    <m/>
    <m/>
    <m/>
    <m/>
    <x v="2"/>
    <x v="2"/>
  </r>
  <r>
    <x v="86"/>
    <x v="1"/>
    <x v="2"/>
    <x v="12"/>
    <x v="9"/>
    <x v="8"/>
    <x v="24"/>
    <s v="No"/>
    <x v="0"/>
    <d v="2025-11-20T00:00:00"/>
    <n v="1"/>
    <n v="4"/>
    <n v="3"/>
    <x v="11"/>
    <x v="9"/>
  </r>
  <r>
    <x v="87"/>
    <x v="1"/>
    <x v="1"/>
    <x v="6"/>
    <x v="2"/>
    <x v="2"/>
    <x v="2"/>
    <s v="Yes"/>
    <x v="3"/>
    <m/>
    <m/>
    <m/>
    <m/>
    <x v="2"/>
    <x v="2"/>
  </r>
  <r>
    <x v="88"/>
    <x v="2"/>
    <x v="2"/>
    <x v="11"/>
    <x v="7"/>
    <x v="6"/>
    <x v="1"/>
    <s v="No"/>
    <x v="0"/>
    <d v="2025-11-24T00:00:00"/>
    <n v="2"/>
    <n v="3"/>
    <n v="6"/>
    <x v="7"/>
    <x v="4"/>
  </r>
  <r>
    <x v="89"/>
    <x v="2"/>
    <x v="2"/>
    <x v="19"/>
    <x v="12"/>
    <x v="31"/>
    <x v="18"/>
    <s v="No"/>
    <x v="0"/>
    <d v="2025-11-22T00:00:00"/>
    <n v="1"/>
    <n v="4"/>
    <n v="5"/>
    <x v="1"/>
    <x v="3"/>
  </r>
  <r>
    <x v="90"/>
    <x v="1"/>
    <x v="0"/>
    <x v="2"/>
    <x v="29"/>
    <x v="32"/>
    <x v="30"/>
    <s v="No"/>
    <x v="0"/>
    <d v="2025-11-09T00:00:00"/>
    <n v="1"/>
    <n v="3"/>
    <n v="5"/>
    <x v="6"/>
    <x v="6"/>
  </r>
  <r>
    <x v="91"/>
    <x v="3"/>
    <x v="2"/>
    <x v="25"/>
    <x v="30"/>
    <x v="21"/>
    <x v="14"/>
    <s v="No"/>
    <x v="0"/>
    <d v="2025-11-13T00:00:00"/>
    <n v="5"/>
    <n v="5"/>
    <n v="3"/>
    <x v="3"/>
    <x v="0"/>
  </r>
  <r>
    <x v="92"/>
    <x v="0"/>
    <x v="1"/>
    <x v="29"/>
    <x v="2"/>
    <x v="2"/>
    <x v="2"/>
    <s v="Yes"/>
    <x v="5"/>
    <m/>
    <m/>
    <m/>
    <m/>
    <x v="2"/>
    <x v="2"/>
  </r>
  <r>
    <x v="93"/>
    <x v="1"/>
    <x v="1"/>
    <x v="24"/>
    <x v="2"/>
    <x v="2"/>
    <x v="2"/>
    <s v="Yes"/>
    <x v="4"/>
    <m/>
    <m/>
    <m/>
    <m/>
    <x v="2"/>
    <x v="2"/>
  </r>
  <r>
    <x v="94"/>
    <x v="3"/>
    <x v="1"/>
    <x v="27"/>
    <x v="2"/>
    <x v="2"/>
    <x v="2"/>
    <s v="Yes"/>
    <x v="2"/>
    <m/>
    <m/>
    <m/>
    <m/>
    <x v="2"/>
    <x v="2"/>
  </r>
  <r>
    <x v="95"/>
    <x v="0"/>
    <x v="0"/>
    <x v="12"/>
    <x v="0"/>
    <x v="8"/>
    <x v="26"/>
    <s v="No"/>
    <x v="0"/>
    <d v="2025-11-15T00:00:00"/>
    <n v="2"/>
    <n v="3"/>
    <n v="5"/>
    <x v="3"/>
    <x v="3"/>
  </r>
  <r>
    <x v="96"/>
    <x v="1"/>
    <x v="2"/>
    <x v="24"/>
    <x v="20"/>
    <x v="17"/>
    <x v="31"/>
    <s v="Yes"/>
    <x v="4"/>
    <m/>
    <n v="4"/>
    <n v="3"/>
    <n v="7"/>
    <x v="2"/>
    <x v="8"/>
  </r>
  <r>
    <x v="97"/>
    <x v="1"/>
    <x v="0"/>
    <x v="29"/>
    <x v="1"/>
    <x v="17"/>
    <x v="12"/>
    <s v="No"/>
    <x v="0"/>
    <d v="2025-11-15T00:00:00"/>
    <n v="4"/>
    <n v="1"/>
    <n v="6"/>
    <x v="5"/>
    <x v="4"/>
  </r>
  <r>
    <x v="98"/>
    <x v="2"/>
    <x v="0"/>
    <x v="26"/>
    <x v="25"/>
    <x v="31"/>
    <x v="4"/>
    <s v="No"/>
    <x v="0"/>
    <d v="2025-11-21T00:00:00"/>
    <n v="4"/>
    <n v="5"/>
    <n v="7"/>
    <x v="6"/>
    <x v="11"/>
  </r>
  <r>
    <x v="99"/>
    <x v="0"/>
    <x v="0"/>
    <x v="23"/>
    <x v="31"/>
    <x v="18"/>
    <x v="0"/>
    <s v="No"/>
    <x v="0"/>
    <d v="2025-11-23T00:00:00"/>
    <n v="3"/>
    <n v="5"/>
    <n v="7"/>
    <x v="4"/>
    <x v="1"/>
  </r>
  <r>
    <x v="100"/>
    <x v="0"/>
    <x v="2"/>
    <x v="9"/>
    <x v="1"/>
    <x v="11"/>
    <x v="12"/>
    <s v="No"/>
    <x v="0"/>
    <d v="2025-11-02T00:00:00"/>
    <n v="2"/>
    <n v="4"/>
    <n v="3"/>
    <x v="10"/>
    <x v="6"/>
  </r>
  <r>
    <x v="101"/>
    <x v="3"/>
    <x v="0"/>
    <x v="6"/>
    <x v="22"/>
    <x v="16"/>
    <x v="21"/>
    <s v="No"/>
    <x v="0"/>
    <d v="2025-11-15T00:00:00"/>
    <n v="3"/>
    <n v="4"/>
    <n v="6"/>
    <x v="10"/>
    <x v="0"/>
  </r>
  <r>
    <x v="102"/>
    <x v="2"/>
    <x v="0"/>
    <x v="21"/>
    <x v="16"/>
    <x v="28"/>
    <x v="32"/>
    <s v="No"/>
    <x v="0"/>
    <d v="2025-11-17T00:00:00"/>
    <n v="3"/>
    <n v="3"/>
    <n v="3"/>
    <x v="6"/>
    <x v="6"/>
  </r>
  <r>
    <x v="103"/>
    <x v="2"/>
    <x v="1"/>
    <x v="16"/>
    <x v="2"/>
    <x v="2"/>
    <x v="2"/>
    <s v="Yes"/>
    <x v="5"/>
    <m/>
    <m/>
    <m/>
    <m/>
    <x v="2"/>
    <x v="2"/>
  </r>
  <r>
    <x v="104"/>
    <x v="2"/>
    <x v="1"/>
    <x v="9"/>
    <x v="2"/>
    <x v="2"/>
    <x v="2"/>
    <s v="Yes"/>
    <x v="5"/>
    <m/>
    <m/>
    <m/>
    <m/>
    <x v="2"/>
    <x v="2"/>
  </r>
  <r>
    <x v="105"/>
    <x v="2"/>
    <x v="0"/>
    <x v="4"/>
    <x v="7"/>
    <x v="1"/>
    <x v="3"/>
    <s v="No"/>
    <x v="0"/>
    <d v="2025-11-13T00:00:00"/>
    <n v="3"/>
    <n v="2"/>
    <n v="5"/>
    <x v="0"/>
    <x v="3"/>
  </r>
  <r>
    <x v="106"/>
    <x v="0"/>
    <x v="0"/>
    <x v="15"/>
    <x v="23"/>
    <x v="12"/>
    <x v="18"/>
    <s v="Yes"/>
    <x v="1"/>
    <m/>
    <n v="5"/>
    <n v="3"/>
    <n v="4"/>
    <x v="2"/>
    <x v="5"/>
  </r>
  <r>
    <x v="107"/>
    <x v="0"/>
    <x v="0"/>
    <x v="21"/>
    <x v="18"/>
    <x v="28"/>
    <x v="32"/>
    <s v="No"/>
    <x v="0"/>
    <d v="2025-11-11T00:00:00"/>
    <n v="5"/>
    <n v="1"/>
    <n v="3"/>
    <x v="4"/>
    <x v="6"/>
  </r>
  <r>
    <x v="108"/>
    <x v="1"/>
    <x v="2"/>
    <x v="1"/>
    <x v="20"/>
    <x v="17"/>
    <x v="27"/>
    <s v="No"/>
    <x v="0"/>
    <d v="2025-11-17T00:00:00"/>
    <n v="1"/>
    <n v="3"/>
    <n v="3"/>
    <x v="8"/>
    <x v="12"/>
  </r>
  <r>
    <x v="109"/>
    <x v="1"/>
    <x v="1"/>
    <x v="9"/>
    <x v="2"/>
    <x v="2"/>
    <x v="2"/>
    <s v="Yes"/>
    <x v="5"/>
    <m/>
    <m/>
    <m/>
    <m/>
    <x v="2"/>
    <x v="2"/>
  </r>
  <r>
    <x v="110"/>
    <x v="2"/>
    <x v="1"/>
    <x v="12"/>
    <x v="2"/>
    <x v="2"/>
    <x v="2"/>
    <s v="Yes"/>
    <x v="4"/>
    <m/>
    <m/>
    <m/>
    <m/>
    <x v="2"/>
    <x v="2"/>
  </r>
  <r>
    <x v="111"/>
    <x v="2"/>
    <x v="0"/>
    <x v="11"/>
    <x v="24"/>
    <x v="25"/>
    <x v="12"/>
    <s v="No"/>
    <x v="0"/>
    <d v="2025-11-02T00:00:00"/>
    <n v="1"/>
    <n v="1"/>
    <n v="4"/>
    <x v="0"/>
    <x v="7"/>
  </r>
  <r>
    <x v="112"/>
    <x v="2"/>
    <x v="0"/>
    <x v="17"/>
    <x v="17"/>
    <x v="23"/>
    <x v="19"/>
    <s v="Yes"/>
    <x v="3"/>
    <m/>
    <n v="2"/>
    <n v="3"/>
    <n v="5"/>
    <x v="2"/>
    <x v="3"/>
  </r>
  <r>
    <x v="113"/>
    <x v="1"/>
    <x v="2"/>
    <x v="29"/>
    <x v="20"/>
    <x v="20"/>
    <x v="31"/>
    <s v="No"/>
    <x v="0"/>
    <d v="2025-11-21T00:00:00"/>
    <n v="2"/>
    <n v="4"/>
    <n v="6"/>
    <x v="5"/>
    <x v="5"/>
  </r>
  <r>
    <x v="114"/>
    <x v="3"/>
    <x v="0"/>
    <x v="17"/>
    <x v="1"/>
    <x v="25"/>
    <x v="19"/>
    <s v="No"/>
    <x v="0"/>
    <d v="2025-11-08T00:00:00"/>
    <n v="5"/>
    <n v="3"/>
    <n v="2"/>
    <x v="4"/>
    <x v="3"/>
  </r>
  <r>
    <x v="115"/>
    <x v="3"/>
    <x v="2"/>
    <x v="24"/>
    <x v="27"/>
    <x v="21"/>
    <x v="16"/>
    <s v="No"/>
    <x v="0"/>
    <d v="2025-11-10T00:00:00"/>
    <n v="1"/>
    <n v="4"/>
    <n v="4"/>
    <x v="1"/>
    <x v="6"/>
  </r>
  <r>
    <x v="116"/>
    <x v="1"/>
    <x v="1"/>
    <x v="7"/>
    <x v="2"/>
    <x v="2"/>
    <x v="2"/>
    <s v="Yes"/>
    <x v="3"/>
    <m/>
    <m/>
    <m/>
    <m/>
    <x v="2"/>
    <x v="2"/>
  </r>
  <r>
    <x v="117"/>
    <x v="1"/>
    <x v="2"/>
    <x v="15"/>
    <x v="0"/>
    <x v="18"/>
    <x v="21"/>
    <s v="No"/>
    <x v="0"/>
    <d v="2025-11-08T00:00:00"/>
    <n v="1"/>
    <n v="2"/>
    <n v="2"/>
    <x v="10"/>
    <x v="10"/>
  </r>
  <r>
    <x v="118"/>
    <x v="1"/>
    <x v="0"/>
    <x v="28"/>
    <x v="21"/>
    <x v="14"/>
    <x v="16"/>
    <s v="No"/>
    <x v="0"/>
    <d v="2025-11-04T00:00:00"/>
    <n v="3"/>
    <n v="2"/>
    <n v="5"/>
    <x v="7"/>
    <x v="3"/>
  </r>
  <r>
    <x v="119"/>
    <x v="1"/>
    <x v="1"/>
    <x v="1"/>
    <x v="2"/>
    <x v="2"/>
    <x v="2"/>
    <s v="Yes"/>
    <x v="1"/>
    <m/>
    <m/>
    <m/>
    <m/>
    <x v="2"/>
    <x v="2"/>
  </r>
  <r>
    <x v="120"/>
    <x v="1"/>
    <x v="0"/>
    <x v="7"/>
    <x v="30"/>
    <x v="21"/>
    <x v="14"/>
    <s v="No"/>
    <x v="0"/>
    <d v="2025-11-01T00:00:00"/>
    <n v="4"/>
    <n v="5"/>
    <n v="3"/>
    <x v="10"/>
    <x v="5"/>
  </r>
  <r>
    <x v="121"/>
    <x v="1"/>
    <x v="2"/>
    <x v="15"/>
    <x v="28"/>
    <x v="31"/>
    <x v="0"/>
    <s v="No"/>
    <x v="0"/>
    <d v="2025-11-20T00:00:00"/>
    <n v="4"/>
    <n v="3"/>
    <n v="3"/>
    <x v="0"/>
    <x v="3"/>
  </r>
  <r>
    <x v="122"/>
    <x v="2"/>
    <x v="2"/>
    <x v="21"/>
    <x v="31"/>
    <x v="18"/>
    <x v="17"/>
    <s v="No"/>
    <x v="0"/>
    <d v="2025-11-13T00:00:00"/>
    <n v="4"/>
    <n v="5"/>
    <n v="5"/>
    <x v="5"/>
    <x v="8"/>
  </r>
  <r>
    <x v="123"/>
    <x v="2"/>
    <x v="2"/>
    <x v="8"/>
    <x v="32"/>
    <x v="33"/>
    <x v="33"/>
    <s v="No"/>
    <x v="0"/>
    <d v="2025-12-05T00:00:00"/>
    <n v="5"/>
    <n v="3"/>
    <n v="6"/>
    <x v="7"/>
    <x v="8"/>
  </r>
  <r>
    <x v="124"/>
    <x v="2"/>
    <x v="0"/>
    <x v="22"/>
    <x v="23"/>
    <x v="31"/>
    <x v="13"/>
    <s v="No"/>
    <x v="0"/>
    <d v="2025-11-24T00:00:00"/>
    <n v="4"/>
    <n v="2"/>
    <n v="6"/>
    <x v="8"/>
    <x v="5"/>
  </r>
  <r>
    <x v="125"/>
    <x v="2"/>
    <x v="2"/>
    <x v="12"/>
    <x v="12"/>
    <x v="8"/>
    <x v="34"/>
    <s v="No"/>
    <x v="0"/>
    <d v="2025-11-17T00:00:00"/>
    <n v="4"/>
    <n v="1"/>
    <n v="7"/>
    <x v="6"/>
    <x v="5"/>
  </r>
  <r>
    <x v="126"/>
    <x v="1"/>
    <x v="0"/>
    <x v="14"/>
    <x v="27"/>
    <x v="23"/>
    <x v="19"/>
    <s v="No"/>
    <x v="0"/>
    <d v="2025-10-29T00:00:00"/>
    <n v="3"/>
    <n v="5"/>
    <n v="5"/>
    <x v="8"/>
    <x v="0"/>
  </r>
  <r>
    <x v="127"/>
    <x v="3"/>
    <x v="1"/>
    <x v="28"/>
    <x v="2"/>
    <x v="2"/>
    <x v="2"/>
    <s v="Yes"/>
    <x v="4"/>
    <m/>
    <m/>
    <m/>
    <m/>
    <x v="2"/>
    <x v="2"/>
  </r>
  <r>
    <x v="128"/>
    <x v="0"/>
    <x v="2"/>
    <x v="28"/>
    <x v="27"/>
    <x v="23"/>
    <x v="19"/>
    <s v="No"/>
    <x v="0"/>
    <d v="2025-10-30T00:00:00"/>
    <n v="2"/>
    <n v="5"/>
    <n v="5"/>
    <x v="8"/>
    <x v="5"/>
  </r>
  <r>
    <x v="129"/>
    <x v="1"/>
    <x v="1"/>
    <x v="15"/>
    <x v="2"/>
    <x v="2"/>
    <x v="2"/>
    <s v="Yes"/>
    <x v="4"/>
    <m/>
    <m/>
    <m/>
    <m/>
    <x v="2"/>
    <x v="2"/>
  </r>
  <r>
    <x v="130"/>
    <x v="0"/>
    <x v="1"/>
    <x v="6"/>
    <x v="2"/>
    <x v="2"/>
    <x v="2"/>
    <s v="Yes"/>
    <x v="5"/>
    <m/>
    <m/>
    <m/>
    <m/>
    <x v="2"/>
    <x v="2"/>
  </r>
  <r>
    <x v="131"/>
    <x v="3"/>
    <x v="2"/>
    <x v="17"/>
    <x v="1"/>
    <x v="20"/>
    <x v="15"/>
    <s v="No"/>
    <x v="0"/>
    <d v="2025-11-14T00:00:00"/>
    <n v="5"/>
    <n v="2"/>
    <n v="7"/>
    <x v="8"/>
    <x v="8"/>
  </r>
  <r>
    <x v="132"/>
    <x v="2"/>
    <x v="1"/>
    <x v="15"/>
    <x v="2"/>
    <x v="2"/>
    <x v="2"/>
    <s v="Yes"/>
    <x v="4"/>
    <m/>
    <m/>
    <m/>
    <m/>
    <x v="2"/>
    <x v="2"/>
  </r>
  <r>
    <x v="133"/>
    <x v="3"/>
    <x v="0"/>
    <x v="23"/>
    <x v="5"/>
    <x v="24"/>
    <x v="32"/>
    <s v="No"/>
    <x v="0"/>
    <d v="2025-11-20T00:00:00"/>
    <n v="1"/>
    <n v="2"/>
    <n v="5"/>
    <x v="0"/>
    <x v="9"/>
  </r>
  <r>
    <x v="134"/>
    <x v="1"/>
    <x v="1"/>
    <x v="22"/>
    <x v="2"/>
    <x v="2"/>
    <x v="2"/>
    <s v="Yes"/>
    <x v="2"/>
    <m/>
    <m/>
    <m/>
    <m/>
    <x v="2"/>
    <x v="2"/>
  </r>
  <r>
    <x v="135"/>
    <x v="2"/>
    <x v="0"/>
    <x v="16"/>
    <x v="5"/>
    <x v="3"/>
    <x v="1"/>
    <s v="No"/>
    <x v="0"/>
    <d v="2025-11-18T00:00:00"/>
    <n v="3"/>
    <n v="1"/>
    <n v="5"/>
    <x v="9"/>
    <x v="6"/>
  </r>
  <r>
    <x v="136"/>
    <x v="1"/>
    <x v="0"/>
    <x v="18"/>
    <x v="9"/>
    <x v="0"/>
    <x v="18"/>
    <s v="No"/>
    <x v="0"/>
    <d v="2025-11-20T00:00:00"/>
    <n v="4"/>
    <n v="5"/>
    <n v="7"/>
    <x v="6"/>
    <x v="11"/>
  </r>
  <r>
    <x v="137"/>
    <x v="2"/>
    <x v="0"/>
    <x v="29"/>
    <x v="17"/>
    <x v="21"/>
    <x v="27"/>
    <s v="Yes"/>
    <x v="5"/>
    <m/>
    <n v="1"/>
    <n v="2"/>
    <n v="5"/>
    <x v="2"/>
    <x v="9"/>
  </r>
  <r>
    <x v="138"/>
    <x v="0"/>
    <x v="1"/>
    <x v="7"/>
    <x v="2"/>
    <x v="2"/>
    <x v="2"/>
    <s v="Yes"/>
    <x v="2"/>
    <m/>
    <m/>
    <m/>
    <m/>
    <x v="2"/>
    <x v="2"/>
  </r>
  <r>
    <x v="139"/>
    <x v="0"/>
    <x v="0"/>
    <x v="5"/>
    <x v="11"/>
    <x v="12"/>
    <x v="13"/>
    <s v="No"/>
    <x v="0"/>
    <d v="2025-11-29T00:00:00"/>
    <n v="3"/>
    <n v="2"/>
    <n v="5"/>
    <x v="7"/>
    <x v="3"/>
  </r>
  <r>
    <x v="140"/>
    <x v="0"/>
    <x v="0"/>
    <x v="28"/>
    <x v="20"/>
    <x v="21"/>
    <x v="14"/>
    <s v="No"/>
    <x v="0"/>
    <d v="2025-11-10T00:00:00"/>
    <n v="5"/>
    <n v="1"/>
    <n v="3"/>
    <x v="6"/>
    <x v="6"/>
  </r>
  <r>
    <x v="141"/>
    <x v="3"/>
    <x v="1"/>
    <x v="29"/>
    <x v="2"/>
    <x v="2"/>
    <x v="2"/>
    <s v="Yes"/>
    <x v="1"/>
    <m/>
    <m/>
    <m/>
    <m/>
    <x v="2"/>
    <x v="2"/>
  </r>
  <r>
    <x v="142"/>
    <x v="1"/>
    <x v="2"/>
    <x v="24"/>
    <x v="20"/>
    <x v="21"/>
    <x v="6"/>
    <s v="No"/>
    <x v="0"/>
    <d v="2025-11-06T00:00:00"/>
    <n v="4"/>
    <n v="1"/>
    <n v="2"/>
    <x v="8"/>
    <x v="12"/>
  </r>
  <r>
    <x v="143"/>
    <x v="3"/>
    <x v="2"/>
    <x v="9"/>
    <x v="7"/>
    <x v="3"/>
    <x v="32"/>
    <s v="No"/>
    <x v="0"/>
    <d v="2025-11-17T00:00:00"/>
    <n v="5"/>
    <n v="4"/>
    <n v="6"/>
    <x v="10"/>
    <x v="1"/>
  </r>
  <r>
    <x v="144"/>
    <x v="0"/>
    <x v="2"/>
    <x v="14"/>
    <x v="27"/>
    <x v="14"/>
    <x v="25"/>
    <s v="No"/>
    <x v="0"/>
    <d v="2025-11-10T00:00:00"/>
    <n v="3"/>
    <n v="3"/>
    <n v="2"/>
    <x v="5"/>
    <x v="9"/>
  </r>
  <r>
    <x v="145"/>
    <x v="1"/>
    <x v="0"/>
    <x v="29"/>
    <x v="17"/>
    <x v="17"/>
    <x v="27"/>
    <s v="No"/>
    <x v="0"/>
    <d v="2025-11-09T00:00:00"/>
    <n v="1"/>
    <n v="4"/>
    <n v="3"/>
    <x v="10"/>
    <x v="9"/>
  </r>
  <r>
    <x v="146"/>
    <x v="0"/>
    <x v="2"/>
    <x v="2"/>
    <x v="33"/>
    <x v="34"/>
    <x v="29"/>
    <s v="No"/>
    <x v="0"/>
    <d v="2025-10-21T00:00:00"/>
    <n v="2"/>
    <n v="1"/>
    <n v="4"/>
    <x v="5"/>
    <x v="12"/>
  </r>
  <r>
    <x v="147"/>
    <x v="3"/>
    <x v="1"/>
    <x v="12"/>
    <x v="2"/>
    <x v="2"/>
    <x v="2"/>
    <s v="Yes"/>
    <x v="3"/>
    <m/>
    <m/>
    <m/>
    <m/>
    <x v="2"/>
    <x v="2"/>
  </r>
  <r>
    <x v="148"/>
    <x v="3"/>
    <x v="2"/>
    <x v="21"/>
    <x v="31"/>
    <x v="28"/>
    <x v="1"/>
    <s v="No"/>
    <x v="0"/>
    <d v="2025-11-20T00:00:00"/>
    <n v="4"/>
    <n v="2"/>
    <n v="2"/>
    <x v="7"/>
    <x v="9"/>
  </r>
  <r>
    <x v="149"/>
    <x v="3"/>
    <x v="0"/>
    <x v="13"/>
    <x v="21"/>
    <x v="30"/>
    <x v="6"/>
    <s v="No"/>
    <x v="0"/>
    <d v="2025-11-12T00:00:00"/>
    <n v="5"/>
    <n v="1"/>
    <n v="4"/>
    <x v="8"/>
    <x v="3"/>
  </r>
  <r>
    <x v="150"/>
    <x v="0"/>
    <x v="2"/>
    <x v="17"/>
    <x v="21"/>
    <x v="17"/>
    <x v="27"/>
    <s v="No"/>
    <x v="0"/>
    <d v="2025-11-17T00:00:00"/>
    <n v="1"/>
    <n v="5"/>
    <n v="3"/>
    <x v="0"/>
    <x v="6"/>
  </r>
  <r>
    <x v="151"/>
    <x v="1"/>
    <x v="1"/>
    <x v="30"/>
    <x v="2"/>
    <x v="2"/>
    <x v="2"/>
    <s v="Yes"/>
    <x v="1"/>
    <m/>
    <m/>
    <m/>
    <m/>
    <x v="2"/>
    <x v="2"/>
  </r>
  <r>
    <x v="152"/>
    <x v="1"/>
    <x v="1"/>
    <x v="30"/>
    <x v="2"/>
    <x v="2"/>
    <x v="2"/>
    <s v="Yes"/>
    <x v="3"/>
    <m/>
    <m/>
    <m/>
    <m/>
    <x v="2"/>
    <x v="2"/>
  </r>
  <r>
    <x v="153"/>
    <x v="0"/>
    <x v="0"/>
    <x v="21"/>
    <x v="22"/>
    <x v="3"/>
    <x v="32"/>
    <s v="No"/>
    <x v="0"/>
    <d v="2025-11-13T00:00:00"/>
    <n v="1"/>
    <n v="2"/>
    <n v="6"/>
    <x v="11"/>
    <x v="6"/>
  </r>
  <r>
    <x v="154"/>
    <x v="1"/>
    <x v="1"/>
    <x v="29"/>
    <x v="2"/>
    <x v="2"/>
    <x v="2"/>
    <s v="Yes"/>
    <x v="1"/>
    <m/>
    <m/>
    <m/>
    <m/>
    <x v="2"/>
    <x v="2"/>
  </r>
  <r>
    <x v="155"/>
    <x v="0"/>
    <x v="2"/>
    <x v="12"/>
    <x v="0"/>
    <x v="0"/>
    <x v="26"/>
    <s v="No"/>
    <x v="0"/>
    <d v="2025-11-17T00:00:00"/>
    <n v="2"/>
    <n v="4"/>
    <n v="4"/>
    <x v="8"/>
    <x v="3"/>
  </r>
  <r>
    <x v="156"/>
    <x v="1"/>
    <x v="1"/>
    <x v="8"/>
    <x v="2"/>
    <x v="2"/>
    <x v="2"/>
    <s v="Yes"/>
    <x v="4"/>
    <m/>
    <m/>
    <m/>
    <m/>
    <x v="2"/>
    <x v="2"/>
  </r>
  <r>
    <x v="157"/>
    <x v="2"/>
    <x v="2"/>
    <x v="13"/>
    <x v="30"/>
    <x v="14"/>
    <x v="6"/>
    <s v="No"/>
    <x v="0"/>
    <d v="2025-11-08T00:00:00"/>
    <n v="3"/>
    <n v="4"/>
    <n v="3"/>
    <x v="1"/>
    <x v="3"/>
  </r>
  <r>
    <x v="158"/>
    <x v="2"/>
    <x v="1"/>
    <x v="0"/>
    <x v="2"/>
    <x v="2"/>
    <x v="2"/>
    <s v="Yes"/>
    <x v="2"/>
    <m/>
    <m/>
    <m/>
    <m/>
    <x v="2"/>
    <x v="2"/>
  </r>
  <r>
    <x v="159"/>
    <x v="3"/>
    <x v="2"/>
    <x v="3"/>
    <x v="11"/>
    <x v="22"/>
    <x v="11"/>
    <s v="No"/>
    <x v="0"/>
    <d v="2025-11-20T00:00:00"/>
    <n v="2"/>
    <n v="4"/>
    <n v="5"/>
    <x v="7"/>
    <x v="4"/>
  </r>
  <r>
    <x v="160"/>
    <x v="2"/>
    <x v="0"/>
    <x v="22"/>
    <x v="12"/>
    <x v="0"/>
    <x v="34"/>
    <s v="No"/>
    <x v="0"/>
    <d v="2025-11-15T00:00:00"/>
    <n v="2"/>
    <n v="2"/>
    <n v="6"/>
    <x v="9"/>
    <x v="3"/>
  </r>
  <r>
    <x v="161"/>
    <x v="2"/>
    <x v="0"/>
    <x v="6"/>
    <x v="22"/>
    <x v="24"/>
    <x v="21"/>
    <s v="No"/>
    <x v="0"/>
    <d v="2025-11-17T00:00:00"/>
    <n v="3"/>
    <n v="3"/>
    <n v="7"/>
    <x v="0"/>
    <x v="0"/>
  </r>
  <r>
    <x v="162"/>
    <x v="2"/>
    <x v="2"/>
    <x v="7"/>
    <x v="15"/>
    <x v="13"/>
    <x v="6"/>
    <s v="No"/>
    <x v="0"/>
    <d v="2025-10-25T00:00:00"/>
    <n v="3"/>
    <n v="3"/>
    <n v="5"/>
    <x v="11"/>
    <x v="4"/>
  </r>
  <r>
    <x v="163"/>
    <x v="0"/>
    <x v="2"/>
    <x v="3"/>
    <x v="4"/>
    <x v="22"/>
    <x v="23"/>
    <s v="No"/>
    <x v="0"/>
    <d v="2025-11-29T00:00:00"/>
    <n v="3"/>
    <n v="3"/>
    <n v="6"/>
    <x v="7"/>
    <x v="5"/>
  </r>
  <r>
    <x v="164"/>
    <x v="2"/>
    <x v="2"/>
    <x v="2"/>
    <x v="29"/>
    <x v="35"/>
    <x v="35"/>
    <s v="No"/>
    <x v="0"/>
    <d v="2025-10-27T00:00:00"/>
    <n v="1"/>
    <n v="1"/>
    <n v="6"/>
    <x v="5"/>
    <x v="9"/>
  </r>
  <r>
    <x v="165"/>
    <x v="2"/>
    <x v="0"/>
    <x v="23"/>
    <x v="5"/>
    <x v="3"/>
    <x v="15"/>
    <s v="No"/>
    <x v="0"/>
    <d v="2025-11-05T00:00:00"/>
    <n v="1"/>
    <n v="1"/>
    <n v="2"/>
    <x v="0"/>
    <x v="13"/>
  </r>
  <r>
    <x v="166"/>
    <x v="3"/>
    <x v="0"/>
    <x v="29"/>
    <x v="1"/>
    <x v="1"/>
    <x v="7"/>
    <s v="Yes"/>
    <x v="3"/>
    <m/>
    <n v="4"/>
    <n v="5"/>
    <n v="6"/>
    <x v="2"/>
    <x v="1"/>
  </r>
  <r>
    <x v="167"/>
    <x v="2"/>
    <x v="2"/>
    <x v="6"/>
    <x v="5"/>
    <x v="24"/>
    <x v="3"/>
    <s v="Yes"/>
    <x v="5"/>
    <m/>
    <n v="4"/>
    <n v="2"/>
    <n v="2"/>
    <x v="2"/>
    <x v="9"/>
  </r>
  <r>
    <x v="168"/>
    <x v="2"/>
    <x v="0"/>
    <x v="6"/>
    <x v="3"/>
    <x v="16"/>
    <x v="32"/>
    <s v="No"/>
    <x v="0"/>
    <d v="2025-11-08T00:00:00"/>
    <n v="2"/>
    <n v="5"/>
    <n v="4"/>
    <x v="7"/>
    <x v="4"/>
  </r>
  <r>
    <x v="169"/>
    <x v="1"/>
    <x v="2"/>
    <x v="11"/>
    <x v="7"/>
    <x v="11"/>
    <x v="3"/>
    <s v="No"/>
    <x v="0"/>
    <d v="2025-11-13T00:00:00"/>
    <n v="2"/>
    <n v="1"/>
    <n v="6"/>
    <x v="0"/>
    <x v="6"/>
  </r>
  <r>
    <x v="170"/>
    <x v="3"/>
    <x v="1"/>
    <x v="1"/>
    <x v="2"/>
    <x v="2"/>
    <x v="2"/>
    <s v="Yes"/>
    <x v="2"/>
    <m/>
    <m/>
    <m/>
    <m/>
    <x v="2"/>
    <x v="2"/>
  </r>
  <r>
    <x v="171"/>
    <x v="3"/>
    <x v="2"/>
    <x v="14"/>
    <x v="21"/>
    <x v="14"/>
    <x v="14"/>
    <s v="No"/>
    <x v="0"/>
    <d v="2025-10-31T00:00:00"/>
    <n v="4"/>
    <n v="2"/>
    <n v="4"/>
    <x v="10"/>
    <x v="3"/>
  </r>
  <r>
    <x v="172"/>
    <x v="3"/>
    <x v="2"/>
    <x v="8"/>
    <x v="32"/>
    <x v="19"/>
    <x v="20"/>
    <s v="No"/>
    <x v="0"/>
    <d v="2025-12-07T00:00:00"/>
    <n v="5"/>
    <n v="4"/>
    <n v="6"/>
    <x v="1"/>
    <x v="1"/>
  </r>
  <r>
    <x v="173"/>
    <x v="3"/>
    <x v="2"/>
    <x v="30"/>
    <x v="26"/>
    <x v="29"/>
    <x v="29"/>
    <s v="No"/>
    <x v="0"/>
    <d v="2025-10-23T00:00:00"/>
    <n v="2"/>
    <n v="2"/>
    <n v="2"/>
    <x v="5"/>
    <x v="7"/>
  </r>
  <r>
    <x v="174"/>
    <x v="3"/>
    <x v="0"/>
    <x v="17"/>
    <x v="1"/>
    <x v="17"/>
    <x v="31"/>
    <s v="No"/>
    <x v="0"/>
    <d v="2025-11-03T00:00:00"/>
    <n v="5"/>
    <n v="1"/>
    <n v="7"/>
    <x v="5"/>
    <x v="0"/>
  </r>
  <r>
    <x v="175"/>
    <x v="3"/>
    <x v="1"/>
    <x v="8"/>
    <x v="2"/>
    <x v="2"/>
    <x v="2"/>
    <s v="Yes"/>
    <x v="5"/>
    <m/>
    <m/>
    <m/>
    <m/>
    <x v="2"/>
    <x v="2"/>
  </r>
  <r>
    <x v="176"/>
    <x v="0"/>
    <x v="0"/>
    <x v="3"/>
    <x v="34"/>
    <x v="9"/>
    <x v="36"/>
    <s v="No"/>
    <x v="0"/>
    <d v="2025-12-08T00:00:00"/>
    <n v="5"/>
    <n v="4"/>
    <n v="5"/>
    <x v="9"/>
    <x v="8"/>
  </r>
  <r>
    <x v="177"/>
    <x v="2"/>
    <x v="2"/>
    <x v="6"/>
    <x v="22"/>
    <x v="16"/>
    <x v="21"/>
    <s v="No"/>
    <x v="0"/>
    <d v="2025-11-10T00:00:00"/>
    <n v="3"/>
    <n v="4"/>
    <n v="6"/>
    <x v="7"/>
    <x v="0"/>
  </r>
  <r>
    <x v="178"/>
    <x v="3"/>
    <x v="0"/>
    <x v="7"/>
    <x v="6"/>
    <x v="36"/>
    <x v="30"/>
    <s v="No"/>
    <x v="0"/>
    <d v="2025-10-30T00:00:00"/>
    <n v="1"/>
    <n v="2"/>
    <n v="3"/>
    <x v="3"/>
    <x v="7"/>
  </r>
  <r>
    <x v="179"/>
    <x v="2"/>
    <x v="0"/>
    <x v="5"/>
    <x v="4"/>
    <x v="22"/>
    <x v="11"/>
    <s v="No"/>
    <x v="0"/>
    <d v="2025-12-07T00:00:00"/>
    <n v="4"/>
    <n v="3"/>
    <n v="5"/>
    <x v="8"/>
    <x v="5"/>
  </r>
  <r>
    <x v="180"/>
    <x v="2"/>
    <x v="2"/>
    <x v="25"/>
    <x v="26"/>
    <x v="32"/>
    <x v="37"/>
    <s v="No"/>
    <x v="0"/>
    <d v="2025-11-05T00:00:00"/>
    <n v="1"/>
    <n v="1"/>
    <n v="2"/>
    <x v="10"/>
    <x v="13"/>
  </r>
  <r>
    <x v="181"/>
    <x v="0"/>
    <x v="0"/>
    <x v="27"/>
    <x v="7"/>
    <x v="11"/>
    <x v="7"/>
    <s v="No"/>
    <x v="0"/>
    <d v="2025-11-19T00:00:00"/>
    <n v="4"/>
    <n v="1"/>
    <n v="7"/>
    <x v="8"/>
    <x v="5"/>
  </r>
  <r>
    <x v="182"/>
    <x v="3"/>
    <x v="1"/>
    <x v="6"/>
    <x v="2"/>
    <x v="2"/>
    <x v="2"/>
    <s v="Yes"/>
    <x v="2"/>
    <m/>
    <m/>
    <m/>
    <m/>
    <x v="2"/>
    <x v="2"/>
  </r>
  <r>
    <x v="183"/>
    <x v="1"/>
    <x v="2"/>
    <x v="25"/>
    <x v="26"/>
    <x v="36"/>
    <x v="25"/>
    <s v="No"/>
    <x v="0"/>
    <d v="2025-10-24T00:00:00"/>
    <n v="1"/>
    <n v="3"/>
    <n v="7"/>
    <x v="5"/>
    <x v="4"/>
  </r>
  <r>
    <x v="184"/>
    <x v="0"/>
    <x v="0"/>
    <x v="23"/>
    <x v="18"/>
    <x v="8"/>
    <x v="24"/>
    <s v="No"/>
    <x v="0"/>
    <d v="2025-11-23T00:00:00"/>
    <n v="4"/>
    <n v="5"/>
    <n v="3"/>
    <x v="9"/>
    <x v="5"/>
  </r>
  <r>
    <x v="185"/>
    <x v="1"/>
    <x v="0"/>
    <x v="0"/>
    <x v="31"/>
    <x v="18"/>
    <x v="24"/>
    <s v="No"/>
    <x v="0"/>
    <d v="2025-11-30T00:00:00"/>
    <n v="1"/>
    <n v="5"/>
    <n v="4"/>
    <x v="0"/>
    <x v="3"/>
  </r>
  <r>
    <x v="186"/>
    <x v="2"/>
    <x v="0"/>
    <x v="26"/>
    <x v="0"/>
    <x v="26"/>
    <x v="5"/>
    <s v="No"/>
    <x v="0"/>
    <d v="2025-11-12T00:00:00"/>
    <n v="3"/>
    <n v="1"/>
    <n v="2"/>
    <x v="9"/>
    <x v="7"/>
  </r>
  <r>
    <x v="187"/>
    <x v="2"/>
    <x v="2"/>
    <x v="30"/>
    <x v="15"/>
    <x v="13"/>
    <x v="6"/>
    <s v="No"/>
    <x v="0"/>
    <d v="2025-11-13T00:00:00"/>
    <n v="5"/>
    <n v="3"/>
    <n v="5"/>
    <x v="11"/>
    <x v="0"/>
  </r>
  <r>
    <x v="188"/>
    <x v="0"/>
    <x v="2"/>
    <x v="13"/>
    <x v="27"/>
    <x v="14"/>
    <x v="14"/>
    <s v="No"/>
    <x v="0"/>
    <d v="2025-11-08T00:00:00"/>
    <n v="4"/>
    <n v="3"/>
    <n v="4"/>
    <x v="3"/>
    <x v="4"/>
  </r>
  <r>
    <x v="189"/>
    <x v="0"/>
    <x v="1"/>
    <x v="13"/>
    <x v="2"/>
    <x v="2"/>
    <x v="2"/>
    <s v="Yes"/>
    <x v="2"/>
    <m/>
    <m/>
    <m/>
    <m/>
    <x v="2"/>
    <x v="2"/>
  </r>
  <r>
    <x v="190"/>
    <x v="1"/>
    <x v="1"/>
    <x v="19"/>
    <x v="2"/>
    <x v="2"/>
    <x v="2"/>
    <s v="Yes"/>
    <x v="1"/>
    <m/>
    <m/>
    <m/>
    <m/>
    <x v="2"/>
    <x v="2"/>
  </r>
  <r>
    <x v="191"/>
    <x v="3"/>
    <x v="0"/>
    <x v="23"/>
    <x v="9"/>
    <x v="8"/>
    <x v="17"/>
    <s v="No"/>
    <x v="0"/>
    <d v="2025-11-16T00:00:00"/>
    <n v="5"/>
    <n v="4"/>
    <n v="4"/>
    <x v="4"/>
    <x v="0"/>
  </r>
  <r>
    <x v="192"/>
    <x v="1"/>
    <x v="0"/>
    <x v="8"/>
    <x v="8"/>
    <x v="19"/>
    <x v="36"/>
    <s v="Yes"/>
    <x v="3"/>
    <m/>
    <n v="4"/>
    <n v="5"/>
    <n v="2"/>
    <x v="2"/>
    <x v="4"/>
  </r>
  <r>
    <x v="193"/>
    <x v="0"/>
    <x v="0"/>
    <x v="29"/>
    <x v="1"/>
    <x v="1"/>
    <x v="3"/>
    <s v="No"/>
    <x v="0"/>
    <d v="2025-11-04T00:00:00"/>
    <n v="4"/>
    <n v="5"/>
    <n v="5"/>
    <x v="7"/>
    <x v="8"/>
  </r>
  <r>
    <x v="194"/>
    <x v="1"/>
    <x v="0"/>
    <x v="25"/>
    <x v="13"/>
    <x v="13"/>
    <x v="28"/>
    <s v="No"/>
    <x v="0"/>
    <d v="2025-10-25T00:00:00"/>
    <n v="3"/>
    <n v="4"/>
    <n v="2"/>
    <x v="9"/>
    <x v="6"/>
  </r>
  <r>
    <x v="195"/>
    <x v="0"/>
    <x v="0"/>
    <x v="24"/>
    <x v="27"/>
    <x v="30"/>
    <x v="25"/>
    <s v="No"/>
    <x v="0"/>
    <d v="2025-11-03T00:00:00"/>
    <n v="1"/>
    <n v="2"/>
    <n v="3"/>
    <x v="3"/>
    <x v="7"/>
  </r>
  <r>
    <x v="196"/>
    <x v="1"/>
    <x v="2"/>
    <x v="7"/>
    <x v="30"/>
    <x v="21"/>
    <x v="14"/>
    <s v="No"/>
    <x v="0"/>
    <d v="2025-11-01T00:00:00"/>
    <n v="4"/>
    <n v="5"/>
    <n v="3"/>
    <x v="4"/>
    <x v="5"/>
  </r>
  <r>
    <x v="197"/>
    <x v="0"/>
    <x v="1"/>
    <x v="21"/>
    <x v="2"/>
    <x v="2"/>
    <x v="2"/>
    <s v="Yes"/>
    <x v="3"/>
    <m/>
    <m/>
    <m/>
    <m/>
    <x v="2"/>
    <x v="2"/>
  </r>
  <r>
    <x v="198"/>
    <x v="0"/>
    <x v="0"/>
    <x v="22"/>
    <x v="25"/>
    <x v="15"/>
    <x v="13"/>
    <s v="No"/>
    <x v="0"/>
    <d v="2025-11-22T00:00:00"/>
    <n v="1"/>
    <n v="4"/>
    <n v="7"/>
    <x v="1"/>
    <x v="5"/>
  </r>
  <r>
    <x v="199"/>
    <x v="0"/>
    <x v="1"/>
    <x v="4"/>
    <x v="2"/>
    <x v="2"/>
    <x v="2"/>
    <s v="Yes"/>
    <x v="2"/>
    <m/>
    <m/>
    <m/>
    <m/>
    <x v="2"/>
    <x v="2"/>
  </r>
  <r>
    <x v="200"/>
    <x v="3"/>
    <x v="2"/>
    <x v="18"/>
    <x v="18"/>
    <x v="26"/>
    <x v="17"/>
    <s v="No"/>
    <x v="0"/>
    <d v="2025-11-24T00:00:00"/>
    <n v="3"/>
    <n v="3"/>
    <n v="6"/>
    <x v="5"/>
    <x v="5"/>
  </r>
  <r>
    <x v="201"/>
    <x v="1"/>
    <x v="2"/>
    <x v="18"/>
    <x v="31"/>
    <x v="28"/>
    <x v="24"/>
    <s v="No"/>
    <x v="0"/>
    <d v="2025-11-27T00:00:00"/>
    <n v="2"/>
    <n v="2"/>
    <n v="7"/>
    <x v="0"/>
    <x v="4"/>
  </r>
  <r>
    <x v="202"/>
    <x v="1"/>
    <x v="2"/>
    <x v="19"/>
    <x v="4"/>
    <x v="12"/>
    <x v="18"/>
    <s v="No"/>
    <x v="0"/>
    <d v="2025-12-02T00:00:00"/>
    <n v="5"/>
    <n v="1"/>
    <n v="4"/>
    <x v="0"/>
    <x v="3"/>
  </r>
  <r>
    <x v="203"/>
    <x v="1"/>
    <x v="0"/>
    <x v="18"/>
    <x v="9"/>
    <x v="18"/>
    <x v="0"/>
    <s v="No"/>
    <x v="0"/>
    <d v="2025-11-21T00:00:00"/>
    <n v="4"/>
    <n v="3"/>
    <n v="7"/>
    <x v="3"/>
    <x v="8"/>
  </r>
  <r>
    <x v="204"/>
    <x v="0"/>
    <x v="1"/>
    <x v="24"/>
    <x v="2"/>
    <x v="2"/>
    <x v="2"/>
    <s v="Yes"/>
    <x v="4"/>
    <m/>
    <m/>
    <m/>
    <m/>
    <x v="2"/>
    <x v="2"/>
  </r>
  <r>
    <x v="205"/>
    <x v="1"/>
    <x v="2"/>
    <x v="22"/>
    <x v="28"/>
    <x v="15"/>
    <x v="18"/>
    <s v="No"/>
    <x v="0"/>
    <d v="2025-11-24T00:00:00"/>
    <n v="3"/>
    <n v="2"/>
    <n v="6"/>
    <x v="0"/>
    <x v="4"/>
  </r>
  <r>
    <x v="206"/>
    <x v="1"/>
    <x v="1"/>
    <x v="16"/>
    <x v="2"/>
    <x v="2"/>
    <x v="2"/>
    <s v="Yes"/>
    <x v="4"/>
    <m/>
    <m/>
    <m/>
    <m/>
    <x v="2"/>
    <x v="2"/>
  </r>
  <r>
    <x v="207"/>
    <x v="0"/>
    <x v="0"/>
    <x v="27"/>
    <x v="1"/>
    <x v="11"/>
    <x v="7"/>
    <s v="No"/>
    <x v="0"/>
    <d v="2025-11-13T00:00:00"/>
    <n v="1"/>
    <n v="4"/>
    <n v="7"/>
    <x v="11"/>
    <x v="5"/>
  </r>
  <r>
    <x v="208"/>
    <x v="2"/>
    <x v="1"/>
    <x v="11"/>
    <x v="2"/>
    <x v="2"/>
    <x v="2"/>
    <s v="Yes"/>
    <x v="5"/>
    <m/>
    <m/>
    <m/>
    <m/>
    <x v="2"/>
    <x v="2"/>
  </r>
  <r>
    <x v="209"/>
    <x v="0"/>
    <x v="2"/>
    <x v="20"/>
    <x v="35"/>
    <x v="9"/>
    <x v="36"/>
    <s v="No"/>
    <x v="0"/>
    <d v="2025-11-28T00:00:00"/>
    <n v="4"/>
    <n v="3"/>
    <n v="5"/>
    <x v="3"/>
    <x v="5"/>
  </r>
  <r>
    <x v="210"/>
    <x v="1"/>
    <x v="1"/>
    <x v="11"/>
    <x v="2"/>
    <x v="2"/>
    <x v="2"/>
    <s v="Yes"/>
    <x v="5"/>
    <m/>
    <m/>
    <m/>
    <m/>
    <x v="2"/>
    <x v="2"/>
  </r>
  <r>
    <x v="211"/>
    <x v="0"/>
    <x v="0"/>
    <x v="29"/>
    <x v="17"/>
    <x v="21"/>
    <x v="14"/>
    <s v="Yes"/>
    <x v="1"/>
    <m/>
    <n v="1"/>
    <n v="2"/>
    <n v="3"/>
    <x v="2"/>
    <x v="7"/>
  </r>
  <r>
    <x v="212"/>
    <x v="2"/>
    <x v="2"/>
    <x v="3"/>
    <x v="11"/>
    <x v="31"/>
    <x v="13"/>
    <s v="No"/>
    <x v="0"/>
    <d v="2025-11-19T00:00:00"/>
    <n v="2"/>
    <n v="1"/>
    <n v="6"/>
    <x v="8"/>
    <x v="6"/>
  </r>
  <r>
    <x v="213"/>
    <x v="0"/>
    <x v="2"/>
    <x v="23"/>
    <x v="18"/>
    <x v="26"/>
    <x v="21"/>
    <s v="No"/>
    <x v="0"/>
    <d v="2025-11-09T00:00:00"/>
    <n v="4"/>
    <n v="3"/>
    <n v="3"/>
    <x v="0"/>
    <x v="3"/>
  </r>
  <r>
    <x v="214"/>
    <x v="1"/>
    <x v="1"/>
    <x v="4"/>
    <x v="2"/>
    <x v="2"/>
    <x v="2"/>
    <s v="Yes"/>
    <x v="2"/>
    <m/>
    <m/>
    <m/>
    <m/>
    <x v="2"/>
    <x v="2"/>
  </r>
  <r>
    <x v="215"/>
    <x v="2"/>
    <x v="1"/>
    <x v="29"/>
    <x v="2"/>
    <x v="2"/>
    <x v="2"/>
    <s v="Yes"/>
    <x v="5"/>
    <m/>
    <m/>
    <m/>
    <m/>
    <x v="2"/>
    <x v="2"/>
  </r>
  <r>
    <x v="216"/>
    <x v="3"/>
    <x v="2"/>
    <x v="23"/>
    <x v="9"/>
    <x v="18"/>
    <x v="9"/>
    <s v="No"/>
    <x v="0"/>
    <d v="2025-11-21T00:00:00"/>
    <n v="5"/>
    <n v="3"/>
    <n v="3"/>
    <x v="6"/>
    <x v="4"/>
  </r>
  <r>
    <x v="217"/>
    <x v="1"/>
    <x v="0"/>
    <x v="18"/>
    <x v="9"/>
    <x v="0"/>
    <x v="17"/>
    <s v="Yes"/>
    <x v="5"/>
    <m/>
    <n v="4"/>
    <n v="5"/>
    <n v="3"/>
    <x v="2"/>
    <x v="5"/>
  </r>
  <r>
    <x v="218"/>
    <x v="2"/>
    <x v="1"/>
    <x v="30"/>
    <x v="2"/>
    <x v="2"/>
    <x v="2"/>
    <s v="Yes"/>
    <x v="2"/>
    <m/>
    <m/>
    <m/>
    <m/>
    <x v="2"/>
    <x v="2"/>
  </r>
  <r>
    <x v="219"/>
    <x v="2"/>
    <x v="1"/>
    <x v="18"/>
    <x v="2"/>
    <x v="2"/>
    <x v="2"/>
    <s v="Yes"/>
    <x v="1"/>
    <m/>
    <m/>
    <m/>
    <m/>
    <x v="2"/>
    <x v="2"/>
  </r>
  <r>
    <x v="220"/>
    <x v="3"/>
    <x v="1"/>
    <x v="8"/>
    <x v="2"/>
    <x v="2"/>
    <x v="2"/>
    <s v="Yes"/>
    <x v="5"/>
    <m/>
    <m/>
    <m/>
    <m/>
    <x v="2"/>
    <x v="2"/>
  </r>
  <r>
    <x v="221"/>
    <x v="0"/>
    <x v="0"/>
    <x v="15"/>
    <x v="23"/>
    <x v="31"/>
    <x v="26"/>
    <s v="No"/>
    <x v="0"/>
    <d v="2025-11-30T00:00:00"/>
    <n v="5"/>
    <n v="2"/>
    <n v="2"/>
    <x v="9"/>
    <x v="6"/>
  </r>
  <r>
    <x v="222"/>
    <x v="0"/>
    <x v="0"/>
    <x v="7"/>
    <x v="6"/>
    <x v="36"/>
    <x v="38"/>
    <s v="No"/>
    <x v="0"/>
    <d v="2025-11-09T00:00:00"/>
    <n v="1"/>
    <n v="2"/>
    <n v="6"/>
    <x v="10"/>
    <x v="6"/>
  </r>
  <r>
    <x v="223"/>
    <x v="1"/>
    <x v="0"/>
    <x v="8"/>
    <x v="8"/>
    <x v="19"/>
    <x v="10"/>
    <s v="No"/>
    <x v="0"/>
    <d v="2025-12-08T00:00:00"/>
    <n v="4"/>
    <n v="5"/>
    <n v="4"/>
    <x v="11"/>
    <x v="0"/>
  </r>
  <r>
    <x v="224"/>
    <x v="3"/>
    <x v="0"/>
    <x v="22"/>
    <x v="28"/>
    <x v="12"/>
    <x v="4"/>
    <s v="No"/>
    <x v="0"/>
    <d v="2025-11-21T00:00:00"/>
    <n v="3"/>
    <n v="4"/>
    <n v="6"/>
    <x v="9"/>
    <x v="0"/>
  </r>
  <r>
    <x v="225"/>
    <x v="0"/>
    <x v="0"/>
    <x v="28"/>
    <x v="21"/>
    <x v="23"/>
    <x v="27"/>
    <s v="Yes"/>
    <x v="1"/>
    <m/>
    <n v="3"/>
    <n v="4"/>
    <n v="4"/>
    <x v="2"/>
    <x v="4"/>
  </r>
  <r>
    <x v="226"/>
    <x v="3"/>
    <x v="0"/>
    <x v="0"/>
    <x v="18"/>
    <x v="8"/>
    <x v="0"/>
    <s v="Yes"/>
    <x v="3"/>
    <m/>
    <n v="2"/>
    <n v="5"/>
    <n v="6"/>
    <x v="2"/>
    <x v="0"/>
  </r>
  <r>
    <x v="227"/>
    <x v="0"/>
    <x v="2"/>
    <x v="28"/>
    <x v="21"/>
    <x v="21"/>
    <x v="19"/>
    <s v="No"/>
    <x v="0"/>
    <d v="2025-10-30T00:00:00"/>
    <n v="3"/>
    <n v="3"/>
    <n v="6"/>
    <x v="8"/>
    <x v="5"/>
  </r>
  <r>
    <x v="228"/>
    <x v="2"/>
    <x v="1"/>
    <x v="17"/>
    <x v="2"/>
    <x v="2"/>
    <x v="2"/>
    <s v="Yes"/>
    <x v="1"/>
    <m/>
    <m/>
    <m/>
    <m/>
    <x v="2"/>
    <x v="2"/>
  </r>
  <r>
    <x v="229"/>
    <x v="0"/>
    <x v="0"/>
    <x v="26"/>
    <x v="9"/>
    <x v="27"/>
    <x v="5"/>
    <s v="No"/>
    <x v="0"/>
    <d v="2025-11-18T00:00:00"/>
    <n v="2"/>
    <n v="1"/>
    <n v="3"/>
    <x v="0"/>
    <x v="7"/>
  </r>
  <r>
    <x v="230"/>
    <x v="3"/>
    <x v="0"/>
    <x v="25"/>
    <x v="26"/>
    <x v="5"/>
    <x v="28"/>
    <s v="No"/>
    <x v="0"/>
    <d v="2025-10-22T00:00:00"/>
    <n v="1"/>
    <n v="4"/>
    <n v="4"/>
    <x v="0"/>
    <x v="6"/>
  </r>
  <r>
    <x v="231"/>
    <x v="2"/>
    <x v="0"/>
    <x v="14"/>
    <x v="17"/>
    <x v="14"/>
    <x v="19"/>
    <s v="No"/>
    <x v="0"/>
    <d v="2025-11-11T00:00:00"/>
    <n v="5"/>
    <n v="1"/>
    <n v="7"/>
    <x v="1"/>
    <x v="0"/>
  </r>
  <r>
    <x v="232"/>
    <x v="2"/>
    <x v="0"/>
    <x v="24"/>
    <x v="27"/>
    <x v="30"/>
    <x v="6"/>
    <s v="Yes"/>
    <x v="4"/>
    <m/>
    <n v="1"/>
    <n v="2"/>
    <n v="4"/>
    <x v="2"/>
    <x v="12"/>
  </r>
  <r>
    <x v="233"/>
    <x v="2"/>
    <x v="2"/>
    <x v="14"/>
    <x v="17"/>
    <x v="21"/>
    <x v="16"/>
    <s v="No"/>
    <x v="0"/>
    <d v="2025-10-29T00:00:00"/>
    <n v="5"/>
    <n v="2"/>
    <n v="4"/>
    <x v="3"/>
    <x v="4"/>
  </r>
  <r>
    <x v="234"/>
    <x v="3"/>
    <x v="2"/>
    <x v="21"/>
    <x v="18"/>
    <x v="18"/>
    <x v="26"/>
    <s v="No"/>
    <x v="0"/>
    <d v="2025-11-21T00:00:00"/>
    <n v="5"/>
    <n v="4"/>
    <n v="6"/>
    <x v="8"/>
    <x v="1"/>
  </r>
  <r>
    <x v="235"/>
    <x v="1"/>
    <x v="2"/>
    <x v="25"/>
    <x v="6"/>
    <x v="5"/>
    <x v="28"/>
    <s v="No"/>
    <x v="0"/>
    <d v="2025-11-11T00:00:00"/>
    <n v="2"/>
    <n v="3"/>
    <n v="4"/>
    <x v="11"/>
    <x v="6"/>
  </r>
  <r>
    <x v="236"/>
    <x v="1"/>
    <x v="2"/>
    <x v="14"/>
    <x v="27"/>
    <x v="30"/>
    <x v="16"/>
    <s v="No"/>
    <x v="0"/>
    <d v="2025-11-15T00:00:00"/>
    <n v="3"/>
    <n v="2"/>
    <n v="6"/>
    <x v="11"/>
    <x v="4"/>
  </r>
  <r>
    <x v="237"/>
    <x v="1"/>
    <x v="0"/>
    <x v="2"/>
    <x v="26"/>
    <x v="32"/>
    <x v="28"/>
    <s v="No"/>
    <x v="0"/>
    <d v="2025-11-06T00:00:00"/>
    <n v="3"/>
    <n v="1"/>
    <n v="7"/>
    <x v="6"/>
    <x v="4"/>
  </r>
  <r>
    <x v="238"/>
    <x v="3"/>
    <x v="0"/>
    <x v="4"/>
    <x v="24"/>
    <x v="1"/>
    <x v="12"/>
    <s v="No"/>
    <x v="0"/>
    <d v="2025-11-06T00:00:00"/>
    <n v="2"/>
    <n v="3"/>
    <n v="2"/>
    <x v="10"/>
    <x v="12"/>
  </r>
  <r>
    <x v="239"/>
    <x v="2"/>
    <x v="2"/>
    <x v="11"/>
    <x v="7"/>
    <x v="3"/>
    <x v="3"/>
    <s v="Yes"/>
    <x v="4"/>
    <m/>
    <n v="2"/>
    <n v="4"/>
    <n v="3"/>
    <x v="2"/>
    <x v="6"/>
  </r>
  <r>
    <x v="240"/>
    <x v="1"/>
    <x v="0"/>
    <x v="12"/>
    <x v="9"/>
    <x v="26"/>
    <x v="24"/>
    <s v="No"/>
    <x v="0"/>
    <d v="2025-11-13T00:00:00"/>
    <n v="1"/>
    <n v="2"/>
    <n v="5"/>
    <x v="3"/>
    <x v="9"/>
  </r>
  <r>
    <x v="241"/>
    <x v="3"/>
    <x v="2"/>
    <x v="18"/>
    <x v="31"/>
    <x v="26"/>
    <x v="5"/>
    <s v="No"/>
    <x v="0"/>
    <d v="2025-11-07T00:00:00"/>
    <n v="2"/>
    <n v="4"/>
    <n v="2"/>
    <x v="10"/>
    <x v="9"/>
  </r>
  <r>
    <x v="242"/>
    <x v="1"/>
    <x v="1"/>
    <x v="6"/>
    <x v="2"/>
    <x v="2"/>
    <x v="2"/>
    <s v="Yes"/>
    <x v="1"/>
    <m/>
    <m/>
    <m/>
    <m/>
    <x v="2"/>
    <x v="2"/>
  </r>
  <r>
    <x v="243"/>
    <x v="0"/>
    <x v="1"/>
    <x v="29"/>
    <x v="2"/>
    <x v="2"/>
    <x v="2"/>
    <s v="Yes"/>
    <x v="4"/>
    <m/>
    <m/>
    <m/>
    <m/>
    <x v="2"/>
    <x v="2"/>
  </r>
  <r>
    <x v="244"/>
    <x v="1"/>
    <x v="2"/>
    <x v="30"/>
    <x v="6"/>
    <x v="5"/>
    <x v="28"/>
    <s v="No"/>
    <x v="0"/>
    <d v="2025-10-28T00:00:00"/>
    <n v="3"/>
    <n v="3"/>
    <n v="4"/>
    <x v="5"/>
    <x v="3"/>
  </r>
  <r>
    <x v="245"/>
    <x v="1"/>
    <x v="0"/>
    <x v="24"/>
    <x v="21"/>
    <x v="21"/>
    <x v="22"/>
    <s v="Yes"/>
    <x v="3"/>
    <m/>
    <n v="2"/>
    <n v="3"/>
    <n v="7"/>
    <x v="2"/>
    <x v="5"/>
  </r>
  <r>
    <x v="246"/>
    <x v="2"/>
    <x v="2"/>
    <x v="29"/>
    <x v="20"/>
    <x v="17"/>
    <x v="27"/>
    <s v="No"/>
    <x v="0"/>
    <d v="2025-11-02T00:00:00"/>
    <n v="2"/>
    <n v="3"/>
    <n v="3"/>
    <x v="5"/>
    <x v="9"/>
  </r>
  <r>
    <x v="247"/>
    <x v="3"/>
    <x v="0"/>
    <x v="12"/>
    <x v="28"/>
    <x v="10"/>
    <x v="23"/>
    <s v="No"/>
    <x v="0"/>
    <d v="2025-12-09T00:00:00"/>
    <n v="5"/>
    <n v="5"/>
    <n v="7"/>
    <x v="8"/>
    <x v="14"/>
  </r>
  <r>
    <x v="248"/>
    <x v="2"/>
    <x v="0"/>
    <x v="29"/>
    <x v="20"/>
    <x v="25"/>
    <x v="22"/>
    <s v="No"/>
    <x v="0"/>
    <d v="2025-11-08T00:00:00"/>
    <n v="2"/>
    <n v="5"/>
    <n v="3"/>
    <x v="11"/>
    <x v="3"/>
  </r>
  <r>
    <x v="249"/>
    <x v="2"/>
    <x v="2"/>
    <x v="12"/>
    <x v="9"/>
    <x v="27"/>
    <x v="5"/>
    <s v="No"/>
    <x v="0"/>
    <d v="2025-11-09T00:00:00"/>
    <n v="1"/>
    <n v="1"/>
    <n v="3"/>
    <x v="9"/>
    <x v="10"/>
  </r>
  <r>
    <x v="250"/>
    <x v="2"/>
    <x v="0"/>
    <x v="3"/>
    <x v="11"/>
    <x v="10"/>
    <x v="18"/>
    <s v="No"/>
    <x v="0"/>
    <d v="2025-11-30T00:00:00"/>
    <n v="2"/>
    <n v="3"/>
    <n v="3"/>
    <x v="0"/>
    <x v="9"/>
  </r>
  <r>
    <x v="251"/>
    <x v="2"/>
    <x v="2"/>
    <x v="11"/>
    <x v="22"/>
    <x v="24"/>
    <x v="21"/>
    <s v="No"/>
    <x v="0"/>
    <d v="2025-11-11T00:00:00"/>
    <n v="4"/>
    <n v="3"/>
    <n v="7"/>
    <x v="5"/>
    <x v="8"/>
  </r>
  <r>
    <x v="252"/>
    <x v="2"/>
    <x v="2"/>
    <x v="25"/>
    <x v="15"/>
    <x v="37"/>
    <x v="38"/>
    <s v="No"/>
    <x v="0"/>
    <d v="2025-11-01T00:00:00"/>
    <n v="4"/>
    <n v="2"/>
    <n v="4"/>
    <x v="4"/>
    <x v="3"/>
  </r>
  <r>
    <x v="253"/>
    <x v="1"/>
    <x v="0"/>
    <x v="26"/>
    <x v="12"/>
    <x v="8"/>
    <x v="24"/>
    <s v="No"/>
    <x v="0"/>
    <d v="2025-11-22T00:00:00"/>
    <n v="5"/>
    <n v="1"/>
    <n v="3"/>
    <x v="8"/>
    <x v="6"/>
  </r>
  <r>
    <x v="254"/>
    <x v="2"/>
    <x v="0"/>
    <x v="24"/>
    <x v="19"/>
    <x v="23"/>
    <x v="12"/>
    <s v="No"/>
    <x v="0"/>
    <d v="2025-11-15T00:00:00"/>
    <n v="5"/>
    <n v="1"/>
    <n v="7"/>
    <x v="7"/>
    <x v="0"/>
  </r>
  <r>
    <x v="255"/>
    <x v="2"/>
    <x v="0"/>
    <x v="20"/>
    <x v="35"/>
    <x v="38"/>
    <x v="39"/>
    <s v="Yes"/>
    <x v="2"/>
    <m/>
    <n v="4"/>
    <n v="4"/>
    <n v="5"/>
    <x v="2"/>
    <x v="0"/>
  </r>
  <r>
    <x v="256"/>
    <x v="3"/>
    <x v="0"/>
    <x v="17"/>
    <x v="1"/>
    <x v="25"/>
    <x v="31"/>
    <s v="No"/>
    <x v="0"/>
    <d v="2025-11-16T00:00:00"/>
    <n v="5"/>
    <n v="3"/>
    <n v="5"/>
    <x v="9"/>
    <x v="0"/>
  </r>
  <r>
    <x v="257"/>
    <x v="0"/>
    <x v="1"/>
    <x v="19"/>
    <x v="2"/>
    <x v="2"/>
    <x v="2"/>
    <s v="Yes"/>
    <x v="4"/>
    <m/>
    <m/>
    <m/>
    <m/>
    <x v="2"/>
    <x v="2"/>
  </r>
  <r>
    <x v="258"/>
    <x v="1"/>
    <x v="2"/>
    <x v="19"/>
    <x v="4"/>
    <x v="10"/>
    <x v="18"/>
    <s v="Yes"/>
    <x v="4"/>
    <m/>
    <n v="5"/>
    <n v="2"/>
    <n v="3"/>
    <x v="2"/>
    <x v="3"/>
  </r>
  <r>
    <x v="259"/>
    <x v="1"/>
    <x v="0"/>
    <x v="0"/>
    <x v="9"/>
    <x v="8"/>
    <x v="0"/>
    <s v="No"/>
    <x v="0"/>
    <d v="2025-11-21T00:00:00"/>
    <n v="3"/>
    <n v="4"/>
    <n v="6"/>
    <x v="8"/>
    <x v="0"/>
  </r>
  <r>
    <x v="260"/>
    <x v="1"/>
    <x v="0"/>
    <x v="23"/>
    <x v="31"/>
    <x v="18"/>
    <x v="0"/>
    <s v="No"/>
    <x v="0"/>
    <d v="2025-11-15T00:00:00"/>
    <n v="3"/>
    <n v="5"/>
    <n v="7"/>
    <x v="0"/>
    <x v="1"/>
  </r>
  <r>
    <x v="261"/>
    <x v="2"/>
    <x v="0"/>
    <x v="26"/>
    <x v="9"/>
    <x v="18"/>
    <x v="24"/>
    <s v="No"/>
    <x v="0"/>
    <d v="2025-11-30T00:00:00"/>
    <n v="2"/>
    <n v="3"/>
    <n v="4"/>
    <x v="3"/>
    <x v="6"/>
  </r>
  <r>
    <x v="262"/>
    <x v="2"/>
    <x v="1"/>
    <x v="19"/>
    <x v="2"/>
    <x v="2"/>
    <x v="2"/>
    <s v="Yes"/>
    <x v="1"/>
    <m/>
    <m/>
    <m/>
    <m/>
    <x v="2"/>
    <x v="2"/>
  </r>
  <r>
    <x v="263"/>
    <x v="2"/>
    <x v="0"/>
    <x v="20"/>
    <x v="35"/>
    <x v="4"/>
    <x v="36"/>
    <s v="No"/>
    <x v="0"/>
    <d v="2025-12-08T00:00:00"/>
    <n v="4"/>
    <n v="1"/>
    <n v="7"/>
    <x v="7"/>
    <x v="5"/>
  </r>
  <r>
    <x v="264"/>
    <x v="3"/>
    <x v="0"/>
    <x v="28"/>
    <x v="30"/>
    <x v="30"/>
    <x v="14"/>
    <s v="No"/>
    <x v="0"/>
    <d v="2025-11-07T00:00:00"/>
    <n v="1"/>
    <n v="3"/>
    <n v="5"/>
    <x v="11"/>
    <x v="6"/>
  </r>
  <r>
    <x v="265"/>
    <x v="0"/>
    <x v="0"/>
    <x v="4"/>
    <x v="3"/>
    <x v="3"/>
    <x v="1"/>
    <s v="No"/>
    <x v="0"/>
    <d v="2025-11-10T00:00:00"/>
    <n v="4"/>
    <n v="3"/>
    <n v="5"/>
    <x v="7"/>
    <x v="5"/>
  </r>
  <r>
    <x v="266"/>
    <x v="2"/>
    <x v="1"/>
    <x v="7"/>
    <x v="2"/>
    <x v="2"/>
    <x v="2"/>
    <s v="Yes"/>
    <x v="3"/>
    <m/>
    <m/>
    <m/>
    <m/>
    <x v="2"/>
    <x v="2"/>
  </r>
  <r>
    <x v="267"/>
    <x v="0"/>
    <x v="1"/>
    <x v="21"/>
    <x v="2"/>
    <x v="2"/>
    <x v="2"/>
    <s v="Yes"/>
    <x v="2"/>
    <m/>
    <m/>
    <m/>
    <m/>
    <x v="2"/>
    <x v="2"/>
  </r>
  <r>
    <x v="268"/>
    <x v="3"/>
    <x v="0"/>
    <x v="24"/>
    <x v="20"/>
    <x v="25"/>
    <x v="31"/>
    <s v="No"/>
    <x v="0"/>
    <d v="2025-11-12T00:00:00"/>
    <n v="4"/>
    <n v="5"/>
    <n v="5"/>
    <x v="5"/>
    <x v="8"/>
  </r>
  <r>
    <x v="269"/>
    <x v="1"/>
    <x v="0"/>
    <x v="0"/>
    <x v="9"/>
    <x v="26"/>
    <x v="5"/>
    <s v="No"/>
    <x v="0"/>
    <d v="2025-11-19T00:00:00"/>
    <n v="3"/>
    <n v="2"/>
    <n v="2"/>
    <x v="10"/>
    <x v="12"/>
  </r>
  <r>
    <x v="270"/>
    <x v="2"/>
    <x v="2"/>
    <x v="13"/>
    <x v="30"/>
    <x v="13"/>
    <x v="16"/>
    <s v="No"/>
    <x v="0"/>
    <d v="2025-11-07T00:00:00"/>
    <n v="3"/>
    <n v="2"/>
    <n v="7"/>
    <x v="7"/>
    <x v="5"/>
  </r>
  <r>
    <x v="271"/>
    <x v="0"/>
    <x v="2"/>
    <x v="20"/>
    <x v="8"/>
    <x v="9"/>
    <x v="11"/>
    <s v="No"/>
    <x v="0"/>
    <d v="2025-11-23T00:00:00"/>
    <n v="5"/>
    <n v="2"/>
    <n v="2"/>
    <x v="5"/>
    <x v="6"/>
  </r>
  <r>
    <x v="272"/>
    <x v="0"/>
    <x v="0"/>
    <x v="17"/>
    <x v="21"/>
    <x v="23"/>
    <x v="19"/>
    <s v="No"/>
    <x v="0"/>
    <d v="2025-11-12T00:00:00"/>
    <n v="1"/>
    <n v="4"/>
    <n v="5"/>
    <x v="3"/>
    <x v="3"/>
  </r>
  <r>
    <x v="273"/>
    <x v="2"/>
    <x v="2"/>
    <x v="5"/>
    <x v="11"/>
    <x v="12"/>
    <x v="4"/>
    <s v="No"/>
    <x v="0"/>
    <d v="2025-11-18T00:00:00"/>
    <n v="3"/>
    <n v="2"/>
    <n v="6"/>
    <x v="0"/>
    <x v="4"/>
  </r>
  <r>
    <x v="274"/>
    <x v="1"/>
    <x v="0"/>
    <x v="13"/>
    <x v="21"/>
    <x v="23"/>
    <x v="12"/>
    <s v="No"/>
    <x v="0"/>
    <d v="2025-11-08T00:00:00"/>
    <n v="5"/>
    <n v="4"/>
    <n v="7"/>
    <x v="9"/>
    <x v="11"/>
  </r>
  <r>
    <x v="275"/>
    <x v="1"/>
    <x v="2"/>
    <x v="25"/>
    <x v="26"/>
    <x v="37"/>
    <x v="38"/>
    <s v="No"/>
    <x v="0"/>
    <d v="2025-11-06T00:00:00"/>
    <n v="1"/>
    <n v="5"/>
    <n v="4"/>
    <x v="4"/>
    <x v="3"/>
  </r>
  <r>
    <x v="276"/>
    <x v="1"/>
    <x v="0"/>
    <x v="30"/>
    <x v="6"/>
    <x v="5"/>
    <x v="6"/>
    <s v="No"/>
    <x v="0"/>
    <d v="2025-11-08T00:00:00"/>
    <n v="3"/>
    <n v="3"/>
    <n v="7"/>
    <x v="1"/>
    <x v="0"/>
  </r>
  <r>
    <x v="277"/>
    <x v="3"/>
    <x v="0"/>
    <x v="14"/>
    <x v="21"/>
    <x v="23"/>
    <x v="27"/>
    <s v="No"/>
    <x v="0"/>
    <d v="2025-11-05T00:00:00"/>
    <n v="4"/>
    <n v="4"/>
    <n v="4"/>
    <x v="10"/>
    <x v="5"/>
  </r>
  <r>
    <x v="278"/>
    <x v="0"/>
    <x v="1"/>
    <x v="19"/>
    <x v="2"/>
    <x v="2"/>
    <x v="2"/>
    <s v="Yes"/>
    <x v="1"/>
    <m/>
    <m/>
    <m/>
    <m/>
    <x v="2"/>
    <x v="2"/>
  </r>
  <r>
    <x v="279"/>
    <x v="0"/>
    <x v="2"/>
    <x v="29"/>
    <x v="1"/>
    <x v="1"/>
    <x v="3"/>
    <s v="Yes"/>
    <x v="1"/>
    <m/>
    <n v="4"/>
    <n v="5"/>
    <n v="5"/>
    <x v="2"/>
    <x v="8"/>
  </r>
  <r>
    <x v="280"/>
    <x v="0"/>
    <x v="0"/>
    <x v="18"/>
    <x v="16"/>
    <x v="27"/>
    <x v="9"/>
    <s v="No"/>
    <x v="0"/>
    <d v="2025-11-16T00:00:00"/>
    <n v="1"/>
    <n v="4"/>
    <n v="5"/>
    <x v="1"/>
    <x v="3"/>
  </r>
  <r>
    <x v="281"/>
    <x v="3"/>
    <x v="1"/>
    <x v="15"/>
    <x v="2"/>
    <x v="2"/>
    <x v="2"/>
    <s v="Yes"/>
    <x v="3"/>
    <m/>
    <m/>
    <m/>
    <m/>
    <x v="2"/>
    <x v="2"/>
  </r>
  <r>
    <x v="282"/>
    <x v="0"/>
    <x v="2"/>
    <x v="5"/>
    <x v="28"/>
    <x v="10"/>
    <x v="13"/>
    <s v="Yes"/>
    <x v="2"/>
    <m/>
    <n v="1"/>
    <n v="5"/>
    <n v="4"/>
    <x v="2"/>
    <x v="3"/>
  </r>
  <r>
    <x v="283"/>
    <x v="3"/>
    <x v="1"/>
    <x v="23"/>
    <x v="2"/>
    <x v="2"/>
    <x v="2"/>
    <s v="Yes"/>
    <x v="3"/>
    <m/>
    <m/>
    <m/>
    <m/>
    <x v="2"/>
    <x v="2"/>
  </r>
  <r>
    <x v="284"/>
    <x v="1"/>
    <x v="0"/>
    <x v="20"/>
    <x v="34"/>
    <x v="4"/>
    <x v="8"/>
    <s v="No"/>
    <x v="0"/>
    <d v="2025-11-28T00:00:00"/>
    <n v="3"/>
    <n v="2"/>
    <n v="6"/>
    <x v="8"/>
    <x v="4"/>
  </r>
  <r>
    <x v="285"/>
    <x v="2"/>
    <x v="0"/>
    <x v="29"/>
    <x v="19"/>
    <x v="17"/>
    <x v="16"/>
    <s v="No"/>
    <x v="0"/>
    <d v="2025-11-14T00:00:00"/>
    <n v="3"/>
    <n v="2"/>
    <n v="2"/>
    <x v="3"/>
    <x v="12"/>
  </r>
  <r>
    <x v="286"/>
    <x v="0"/>
    <x v="1"/>
    <x v="11"/>
    <x v="2"/>
    <x v="2"/>
    <x v="2"/>
    <s v="Yes"/>
    <x v="2"/>
    <m/>
    <m/>
    <m/>
    <m/>
    <x v="2"/>
    <x v="2"/>
  </r>
  <r>
    <x v="287"/>
    <x v="0"/>
    <x v="2"/>
    <x v="7"/>
    <x v="6"/>
    <x v="13"/>
    <x v="16"/>
    <s v="No"/>
    <x v="0"/>
    <d v="2025-10-28T00:00:00"/>
    <n v="1"/>
    <n v="5"/>
    <n v="7"/>
    <x v="0"/>
    <x v="0"/>
  </r>
  <r>
    <x v="288"/>
    <x v="1"/>
    <x v="0"/>
    <x v="11"/>
    <x v="24"/>
    <x v="25"/>
    <x v="19"/>
    <s v="Yes"/>
    <x v="3"/>
    <m/>
    <n v="1"/>
    <n v="1"/>
    <n v="2"/>
    <x v="2"/>
    <x v="13"/>
  </r>
  <r>
    <x v="289"/>
    <x v="2"/>
    <x v="1"/>
    <x v="12"/>
    <x v="2"/>
    <x v="2"/>
    <x v="2"/>
    <s v="Yes"/>
    <x v="1"/>
    <m/>
    <m/>
    <m/>
    <m/>
    <x v="2"/>
    <x v="2"/>
  </r>
  <r>
    <x v="290"/>
    <x v="3"/>
    <x v="2"/>
    <x v="29"/>
    <x v="14"/>
    <x v="6"/>
    <x v="32"/>
    <s v="No"/>
    <x v="0"/>
    <d v="2025-11-10T00:00:00"/>
    <n v="5"/>
    <n v="5"/>
    <n v="7"/>
    <x v="8"/>
    <x v="14"/>
  </r>
  <r>
    <x v="291"/>
    <x v="2"/>
    <x v="0"/>
    <x v="12"/>
    <x v="28"/>
    <x v="12"/>
    <x v="13"/>
    <s v="No"/>
    <x v="0"/>
    <d v="2025-11-19T00:00:00"/>
    <n v="5"/>
    <n v="4"/>
    <n v="5"/>
    <x v="10"/>
    <x v="8"/>
  </r>
  <r>
    <x v="292"/>
    <x v="1"/>
    <x v="1"/>
    <x v="27"/>
    <x v="2"/>
    <x v="2"/>
    <x v="2"/>
    <s v="Yes"/>
    <x v="1"/>
    <m/>
    <m/>
    <m/>
    <m/>
    <x v="2"/>
    <x v="2"/>
  </r>
  <r>
    <x v="293"/>
    <x v="1"/>
    <x v="2"/>
    <x v="8"/>
    <x v="32"/>
    <x v="39"/>
    <x v="40"/>
    <s v="No"/>
    <x v="0"/>
    <d v="2025-11-29T00:00:00"/>
    <n v="5"/>
    <n v="5"/>
    <n v="7"/>
    <x v="5"/>
    <x v="14"/>
  </r>
  <r>
    <x v="294"/>
    <x v="2"/>
    <x v="1"/>
    <x v="17"/>
    <x v="2"/>
    <x v="2"/>
    <x v="2"/>
    <s v="Yes"/>
    <x v="5"/>
    <m/>
    <m/>
    <m/>
    <m/>
    <x v="2"/>
    <x v="2"/>
  </r>
  <r>
    <x v="295"/>
    <x v="3"/>
    <x v="0"/>
    <x v="16"/>
    <x v="16"/>
    <x v="28"/>
    <x v="24"/>
    <s v="Yes"/>
    <x v="4"/>
    <m/>
    <n v="4"/>
    <n v="3"/>
    <n v="7"/>
    <x v="2"/>
    <x v="8"/>
  </r>
  <r>
    <x v="296"/>
    <x v="3"/>
    <x v="0"/>
    <x v="21"/>
    <x v="31"/>
    <x v="16"/>
    <x v="9"/>
    <s v="No"/>
    <x v="0"/>
    <d v="2025-11-20T00:00:00"/>
    <n v="4"/>
    <n v="1"/>
    <n v="7"/>
    <x v="5"/>
    <x v="5"/>
  </r>
  <r>
    <x v="297"/>
    <x v="0"/>
    <x v="0"/>
    <x v="6"/>
    <x v="16"/>
    <x v="26"/>
    <x v="9"/>
    <s v="No"/>
    <x v="0"/>
    <d v="2025-11-26T00:00:00"/>
    <n v="5"/>
    <n v="5"/>
    <n v="4"/>
    <x v="4"/>
    <x v="8"/>
  </r>
  <r>
    <x v="298"/>
    <x v="3"/>
    <x v="2"/>
    <x v="11"/>
    <x v="5"/>
    <x v="3"/>
    <x v="15"/>
    <s v="No"/>
    <x v="0"/>
    <d v="2025-11-15T00:00:00"/>
    <n v="5"/>
    <n v="1"/>
    <n v="2"/>
    <x v="4"/>
    <x v="9"/>
  </r>
  <r>
    <x v="299"/>
    <x v="2"/>
    <x v="1"/>
    <x v="25"/>
    <x v="2"/>
    <x v="2"/>
    <x v="2"/>
    <s v="Yes"/>
    <x v="3"/>
    <m/>
    <m/>
    <m/>
    <m/>
    <x v="2"/>
    <x v="2"/>
  </r>
  <r>
    <x v="300"/>
    <x v="1"/>
    <x v="1"/>
    <x v="18"/>
    <x v="2"/>
    <x v="2"/>
    <x v="2"/>
    <s v="Yes"/>
    <x v="5"/>
    <m/>
    <m/>
    <m/>
    <m/>
    <x v="2"/>
    <x v="2"/>
  </r>
  <r>
    <x v="301"/>
    <x v="0"/>
    <x v="0"/>
    <x v="30"/>
    <x v="33"/>
    <x v="34"/>
    <x v="30"/>
    <s v="No"/>
    <x v="0"/>
    <d v="2025-11-07T00:00:00"/>
    <n v="1"/>
    <n v="1"/>
    <n v="6"/>
    <x v="1"/>
    <x v="9"/>
  </r>
  <r>
    <x v="302"/>
    <x v="0"/>
    <x v="0"/>
    <x v="10"/>
    <x v="34"/>
    <x v="38"/>
    <x v="39"/>
    <s v="No"/>
    <x v="0"/>
    <d v="2025-11-29T00:00:00"/>
    <n v="4"/>
    <n v="5"/>
    <n v="5"/>
    <x v="7"/>
    <x v="8"/>
  </r>
  <r>
    <x v="303"/>
    <x v="1"/>
    <x v="0"/>
    <x v="4"/>
    <x v="22"/>
    <x v="28"/>
    <x v="32"/>
    <s v="No"/>
    <x v="0"/>
    <d v="2025-11-23T00:00:00"/>
    <n v="5"/>
    <n v="5"/>
    <n v="3"/>
    <x v="5"/>
    <x v="0"/>
  </r>
  <r>
    <x v="304"/>
    <x v="3"/>
    <x v="0"/>
    <x v="15"/>
    <x v="25"/>
    <x v="8"/>
    <x v="26"/>
    <s v="No"/>
    <x v="0"/>
    <d v="2025-11-13T00:00:00"/>
    <n v="2"/>
    <n v="2"/>
    <n v="5"/>
    <x v="10"/>
    <x v="6"/>
  </r>
  <r>
    <x v="305"/>
    <x v="1"/>
    <x v="0"/>
    <x v="1"/>
    <x v="1"/>
    <x v="1"/>
    <x v="31"/>
    <s v="No"/>
    <x v="0"/>
    <d v="2025-11-13T00:00:00"/>
    <n v="3"/>
    <n v="5"/>
    <n v="3"/>
    <x v="10"/>
    <x v="4"/>
  </r>
  <r>
    <x v="306"/>
    <x v="3"/>
    <x v="0"/>
    <x v="18"/>
    <x v="0"/>
    <x v="15"/>
    <x v="34"/>
    <s v="No"/>
    <x v="0"/>
    <d v="2025-11-30T00:00:00"/>
    <n v="5"/>
    <n v="5"/>
    <n v="5"/>
    <x v="1"/>
    <x v="1"/>
  </r>
  <r>
    <x v="307"/>
    <x v="1"/>
    <x v="0"/>
    <x v="17"/>
    <x v="19"/>
    <x v="17"/>
    <x v="19"/>
    <s v="No"/>
    <x v="0"/>
    <d v="2025-11-11T00:00:00"/>
    <n v="4"/>
    <n v="2"/>
    <n v="4"/>
    <x v="3"/>
    <x v="3"/>
  </r>
  <r>
    <x v="308"/>
    <x v="2"/>
    <x v="0"/>
    <x v="2"/>
    <x v="13"/>
    <x v="5"/>
    <x v="28"/>
    <s v="No"/>
    <x v="0"/>
    <d v="2025-11-08T00:00:00"/>
    <n v="5"/>
    <n v="2"/>
    <n v="4"/>
    <x v="5"/>
    <x v="4"/>
  </r>
  <r>
    <x v="309"/>
    <x v="3"/>
    <x v="0"/>
    <x v="25"/>
    <x v="6"/>
    <x v="5"/>
    <x v="28"/>
    <s v="No"/>
    <x v="0"/>
    <d v="2025-11-06T00:00:00"/>
    <n v="2"/>
    <n v="3"/>
    <n v="4"/>
    <x v="7"/>
    <x v="6"/>
  </r>
  <r>
    <x v="310"/>
    <x v="2"/>
    <x v="2"/>
    <x v="24"/>
    <x v="27"/>
    <x v="23"/>
    <x v="27"/>
    <s v="No"/>
    <x v="0"/>
    <d v="2025-11-15T00:00:00"/>
    <n v="1"/>
    <n v="5"/>
    <n v="4"/>
    <x v="9"/>
    <x v="3"/>
  </r>
  <r>
    <x v="311"/>
    <x v="0"/>
    <x v="2"/>
    <x v="8"/>
    <x v="8"/>
    <x v="33"/>
    <x v="33"/>
    <s v="No"/>
    <x v="0"/>
    <d v="2025-12-01T00:00:00"/>
    <n v="4"/>
    <n v="4"/>
    <n v="6"/>
    <x v="5"/>
    <x v="8"/>
  </r>
  <r>
    <x v="312"/>
    <x v="1"/>
    <x v="0"/>
    <x v="26"/>
    <x v="18"/>
    <x v="28"/>
    <x v="9"/>
    <s v="No"/>
    <x v="0"/>
    <d v="2025-11-24T00:00:00"/>
    <n v="1"/>
    <n v="1"/>
    <n v="6"/>
    <x v="5"/>
    <x v="9"/>
  </r>
  <r>
    <x v="313"/>
    <x v="0"/>
    <x v="0"/>
    <x v="5"/>
    <x v="11"/>
    <x v="12"/>
    <x v="34"/>
    <s v="No"/>
    <x v="0"/>
    <d v="2025-11-23T00:00:00"/>
    <n v="3"/>
    <n v="2"/>
    <n v="3"/>
    <x v="5"/>
    <x v="9"/>
  </r>
  <r>
    <x v="314"/>
    <x v="0"/>
    <x v="0"/>
    <x v="3"/>
    <x v="23"/>
    <x v="22"/>
    <x v="23"/>
    <s v="No"/>
    <x v="0"/>
    <d v="2025-11-21T00:00:00"/>
    <n v="1"/>
    <n v="5"/>
    <n v="6"/>
    <x v="8"/>
    <x v="5"/>
  </r>
  <r>
    <x v="315"/>
    <x v="0"/>
    <x v="0"/>
    <x v="23"/>
    <x v="9"/>
    <x v="8"/>
    <x v="26"/>
    <s v="No"/>
    <x v="0"/>
    <d v="2025-11-24T00:00:00"/>
    <n v="5"/>
    <n v="4"/>
    <n v="5"/>
    <x v="7"/>
    <x v="8"/>
  </r>
  <r>
    <x v="316"/>
    <x v="0"/>
    <x v="0"/>
    <x v="23"/>
    <x v="16"/>
    <x v="24"/>
    <x v="1"/>
    <s v="No"/>
    <x v="0"/>
    <d v="2025-11-06T00:00:00"/>
    <n v="2"/>
    <n v="1"/>
    <n v="4"/>
    <x v="3"/>
    <x v="12"/>
  </r>
  <r>
    <x v="317"/>
    <x v="1"/>
    <x v="0"/>
    <x v="8"/>
    <x v="10"/>
    <x v="9"/>
    <x v="10"/>
    <s v="Yes"/>
    <x v="4"/>
    <m/>
    <n v="1"/>
    <n v="5"/>
    <n v="7"/>
    <x v="2"/>
    <x v="0"/>
  </r>
  <r>
    <x v="318"/>
    <x v="0"/>
    <x v="0"/>
    <x v="2"/>
    <x v="33"/>
    <x v="36"/>
    <x v="35"/>
    <s v="No"/>
    <x v="0"/>
    <d v="2025-11-04T00:00:00"/>
    <n v="2"/>
    <n v="4"/>
    <n v="2"/>
    <x v="5"/>
    <x v="9"/>
  </r>
  <r>
    <x v="319"/>
    <x v="1"/>
    <x v="0"/>
    <x v="22"/>
    <x v="23"/>
    <x v="15"/>
    <x v="17"/>
    <s v="Yes"/>
    <x v="3"/>
    <m/>
    <n v="4"/>
    <n v="1"/>
    <n v="2"/>
    <x v="2"/>
    <x v="12"/>
  </r>
  <r>
    <x v="320"/>
    <x v="1"/>
    <x v="0"/>
    <x v="26"/>
    <x v="25"/>
    <x v="15"/>
    <x v="17"/>
    <s v="No"/>
    <x v="0"/>
    <d v="2025-11-29T00:00:00"/>
    <n v="4"/>
    <n v="4"/>
    <n v="2"/>
    <x v="8"/>
    <x v="3"/>
  </r>
  <r>
    <x v="321"/>
    <x v="2"/>
    <x v="1"/>
    <x v="5"/>
    <x v="2"/>
    <x v="2"/>
    <x v="2"/>
    <s v="Yes"/>
    <x v="2"/>
    <m/>
    <m/>
    <m/>
    <m/>
    <x v="2"/>
    <x v="2"/>
  </r>
  <r>
    <x v="322"/>
    <x v="3"/>
    <x v="0"/>
    <x v="17"/>
    <x v="1"/>
    <x v="20"/>
    <x v="15"/>
    <s v="Yes"/>
    <x v="4"/>
    <m/>
    <n v="5"/>
    <n v="2"/>
    <n v="7"/>
    <x v="2"/>
    <x v="8"/>
  </r>
  <r>
    <x v="323"/>
    <x v="3"/>
    <x v="2"/>
    <x v="23"/>
    <x v="9"/>
    <x v="0"/>
    <x v="0"/>
    <s v="No"/>
    <x v="0"/>
    <d v="2025-11-29T00:00:00"/>
    <n v="5"/>
    <n v="5"/>
    <n v="5"/>
    <x v="0"/>
    <x v="1"/>
  </r>
  <r>
    <x v="324"/>
    <x v="1"/>
    <x v="2"/>
    <x v="30"/>
    <x v="15"/>
    <x v="30"/>
    <x v="38"/>
    <s v="Yes"/>
    <x v="1"/>
    <m/>
    <n v="5"/>
    <n v="4"/>
    <n v="2"/>
    <x v="2"/>
    <x v="4"/>
  </r>
  <r>
    <x v="325"/>
    <x v="2"/>
    <x v="2"/>
    <x v="22"/>
    <x v="12"/>
    <x v="31"/>
    <x v="26"/>
    <s v="No"/>
    <x v="0"/>
    <d v="2025-11-30T00:00:00"/>
    <n v="2"/>
    <n v="4"/>
    <n v="2"/>
    <x v="4"/>
    <x v="9"/>
  </r>
  <r>
    <x v="326"/>
    <x v="1"/>
    <x v="0"/>
    <x v="22"/>
    <x v="28"/>
    <x v="10"/>
    <x v="18"/>
    <s v="No"/>
    <x v="0"/>
    <d v="2025-12-04T00:00:00"/>
    <n v="3"/>
    <n v="5"/>
    <n v="3"/>
    <x v="5"/>
    <x v="4"/>
  </r>
  <r>
    <x v="327"/>
    <x v="1"/>
    <x v="0"/>
    <x v="14"/>
    <x v="27"/>
    <x v="13"/>
    <x v="6"/>
    <s v="No"/>
    <x v="0"/>
    <d v="2025-10-29T00:00:00"/>
    <n v="3"/>
    <n v="1"/>
    <n v="5"/>
    <x v="11"/>
    <x v="6"/>
  </r>
  <r>
    <x v="328"/>
    <x v="1"/>
    <x v="0"/>
    <x v="6"/>
    <x v="22"/>
    <x v="28"/>
    <x v="21"/>
    <s v="No"/>
    <x v="0"/>
    <d v="2025-11-11T00:00:00"/>
    <n v="3"/>
    <n v="5"/>
    <n v="5"/>
    <x v="9"/>
    <x v="0"/>
  </r>
  <r>
    <x v="329"/>
    <x v="2"/>
    <x v="0"/>
    <x v="16"/>
    <x v="16"/>
    <x v="27"/>
    <x v="32"/>
    <s v="No"/>
    <x v="0"/>
    <d v="2025-11-20T00:00:00"/>
    <n v="4"/>
    <n v="4"/>
    <n v="2"/>
    <x v="0"/>
    <x v="3"/>
  </r>
  <r>
    <x v="330"/>
    <x v="3"/>
    <x v="2"/>
    <x v="0"/>
    <x v="0"/>
    <x v="8"/>
    <x v="26"/>
    <s v="No"/>
    <x v="0"/>
    <d v="2025-11-17T00:00:00"/>
    <n v="4"/>
    <n v="3"/>
    <n v="5"/>
    <x v="10"/>
    <x v="5"/>
  </r>
  <r>
    <x v="331"/>
    <x v="2"/>
    <x v="0"/>
    <x v="11"/>
    <x v="3"/>
    <x v="1"/>
    <x v="31"/>
    <s v="No"/>
    <x v="0"/>
    <d v="2025-11-06T00:00:00"/>
    <n v="3"/>
    <n v="1"/>
    <n v="3"/>
    <x v="6"/>
    <x v="12"/>
  </r>
  <r>
    <x v="332"/>
    <x v="0"/>
    <x v="2"/>
    <x v="20"/>
    <x v="8"/>
    <x v="33"/>
    <x v="20"/>
    <s v="No"/>
    <x v="0"/>
    <d v="2025-12-01T00:00:00"/>
    <n v="5"/>
    <n v="4"/>
    <n v="7"/>
    <x v="0"/>
    <x v="11"/>
  </r>
  <r>
    <x v="333"/>
    <x v="2"/>
    <x v="0"/>
    <x v="17"/>
    <x v="21"/>
    <x v="21"/>
    <x v="14"/>
    <s v="No"/>
    <x v="0"/>
    <d v="2025-11-01T00:00:00"/>
    <n v="1"/>
    <n v="3"/>
    <n v="3"/>
    <x v="0"/>
    <x v="12"/>
  </r>
  <r>
    <x v="334"/>
    <x v="2"/>
    <x v="2"/>
    <x v="14"/>
    <x v="27"/>
    <x v="13"/>
    <x v="16"/>
    <s v="No"/>
    <x v="0"/>
    <d v="2025-10-31T00:00:00"/>
    <n v="3"/>
    <n v="1"/>
    <n v="7"/>
    <x v="10"/>
    <x v="4"/>
  </r>
  <r>
    <x v="335"/>
    <x v="2"/>
    <x v="1"/>
    <x v="23"/>
    <x v="2"/>
    <x v="2"/>
    <x v="2"/>
    <s v="Yes"/>
    <x v="5"/>
    <m/>
    <m/>
    <m/>
    <m/>
    <x v="2"/>
    <x v="2"/>
  </r>
  <r>
    <x v="336"/>
    <x v="2"/>
    <x v="2"/>
    <x v="4"/>
    <x v="14"/>
    <x v="25"/>
    <x v="12"/>
    <s v="No"/>
    <x v="0"/>
    <d v="2025-11-01T00:00:00"/>
    <n v="1"/>
    <n v="2"/>
    <n v="4"/>
    <x v="11"/>
    <x v="12"/>
  </r>
  <r>
    <x v="337"/>
    <x v="3"/>
    <x v="1"/>
    <x v="0"/>
    <x v="2"/>
    <x v="2"/>
    <x v="2"/>
    <s v="Yes"/>
    <x v="4"/>
    <m/>
    <m/>
    <m/>
    <m/>
    <x v="2"/>
    <x v="2"/>
  </r>
  <r>
    <x v="338"/>
    <x v="0"/>
    <x v="0"/>
    <x v="5"/>
    <x v="11"/>
    <x v="4"/>
    <x v="4"/>
    <s v="No"/>
    <x v="0"/>
    <d v="2025-11-30T00:00:00"/>
    <n v="3"/>
    <n v="5"/>
    <n v="3"/>
    <x v="9"/>
    <x v="4"/>
  </r>
  <r>
    <x v="339"/>
    <x v="3"/>
    <x v="1"/>
    <x v="6"/>
    <x v="2"/>
    <x v="2"/>
    <x v="2"/>
    <s v="Yes"/>
    <x v="4"/>
    <m/>
    <m/>
    <m/>
    <m/>
    <x v="2"/>
    <x v="2"/>
  </r>
  <r>
    <x v="340"/>
    <x v="3"/>
    <x v="0"/>
    <x v="25"/>
    <x v="26"/>
    <x v="32"/>
    <x v="35"/>
    <s v="No"/>
    <x v="0"/>
    <d v="2025-10-21T00:00:00"/>
    <n v="1"/>
    <n v="1"/>
    <n v="4"/>
    <x v="4"/>
    <x v="7"/>
  </r>
  <r>
    <x v="341"/>
    <x v="2"/>
    <x v="0"/>
    <x v="6"/>
    <x v="16"/>
    <x v="24"/>
    <x v="3"/>
    <s v="No"/>
    <x v="0"/>
    <d v="2025-11-16T00:00:00"/>
    <n v="5"/>
    <n v="1"/>
    <n v="2"/>
    <x v="10"/>
    <x v="9"/>
  </r>
  <r>
    <x v="342"/>
    <x v="1"/>
    <x v="0"/>
    <x v="9"/>
    <x v="24"/>
    <x v="6"/>
    <x v="32"/>
    <s v="No"/>
    <x v="0"/>
    <d v="2025-11-12T00:00:00"/>
    <n v="4"/>
    <n v="4"/>
    <n v="7"/>
    <x v="8"/>
    <x v="1"/>
  </r>
  <r>
    <x v="343"/>
    <x v="1"/>
    <x v="0"/>
    <x v="4"/>
    <x v="7"/>
    <x v="6"/>
    <x v="3"/>
    <s v="No"/>
    <x v="0"/>
    <d v="2025-11-23T00:00:00"/>
    <n v="3"/>
    <n v="3"/>
    <n v="4"/>
    <x v="1"/>
    <x v="3"/>
  </r>
  <r>
    <x v="344"/>
    <x v="3"/>
    <x v="0"/>
    <x v="1"/>
    <x v="1"/>
    <x v="17"/>
    <x v="19"/>
    <s v="No"/>
    <x v="0"/>
    <d v="2025-11-02T00:00:00"/>
    <n v="3"/>
    <n v="1"/>
    <n v="4"/>
    <x v="9"/>
    <x v="9"/>
  </r>
  <r>
    <x v="345"/>
    <x v="3"/>
    <x v="0"/>
    <x v="1"/>
    <x v="24"/>
    <x v="3"/>
    <x v="15"/>
    <s v="No"/>
    <x v="0"/>
    <d v="2025-11-21T00:00:00"/>
    <n v="5"/>
    <n v="5"/>
    <n v="2"/>
    <x v="5"/>
    <x v="5"/>
  </r>
  <r>
    <x v="346"/>
    <x v="2"/>
    <x v="0"/>
    <x v="26"/>
    <x v="9"/>
    <x v="27"/>
    <x v="21"/>
    <s v="No"/>
    <x v="0"/>
    <d v="2025-11-16T00:00:00"/>
    <n v="2"/>
    <n v="1"/>
    <n v="4"/>
    <x v="8"/>
    <x v="12"/>
  </r>
  <r>
    <x v="347"/>
    <x v="3"/>
    <x v="2"/>
    <x v="7"/>
    <x v="15"/>
    <x v="5"/>
    <x v="6"/>
    <s v="No"/>
    <x v="0"/>
    <d v="2025-11-04T00:00:00"/>
    <n v="3"/>
    <n v="1"/>
    <n v="7"/>
    <x v="1"/>
    <x v="4"/>
  </r>
  <r>
    <x v="348"/>
    <x v="2"/>
    <x v="0"/>
    <x v="3"/>
    <x v="23"/>
    <x v="10"/>
    <x v="23"/>
    <s v="No"/>
    <x v="0"/>
    <d v="2025-11-21T00:00:00"/>
    <n v="1"/>
    <n v="4"/>
    <n v="7"/>
    <x v="8"/>
    <x v="5"/>
  </r>
  <r>
    <x v="349"/>
    <x v="1"/>
    <x v="0"/>
    <x v="14"/>
    <x v="17"/>
    <x v="14"/>
    <x v="6"/>
    <s v="No"/>
    <x v="0"/>
    <d v="2025-10-27T00:00:00"/>
    <n v="5"/>
    <n v="1"/>
    <n v="3"/>
    <x v="5"/>
    <x v="6"/>
  </r>
  <r>
    <x v="350"/>
    <x v="1"/>
    <x v="0"/>
    <x v="1"/>
    <x v="19"/>
    <x v="20"/>
    <x v="27"/>
    <s v="Yes"/>
    <x v="1"/>
    <m/>
    <n v="2"/>
    <n v="3"/>
    <n v="2"/>
    <x v="2"/>
    <x v="12"/>
  </r>
  <r>
    <x v="351"/>
    <x v="0"/>
    <x v="0"/>
    <x v="4"/>
    <x v="7"/>
    <x v="3"/>
    <x v="1"/>
    <s v="Yes"/>
    <x v="3"/>
    <m/>
    <n v="3"/>
    <n v="4"/>
    <n v="5"/>
    <x v="2"/>
    <x v="5"/>
  </r>
  <r>
    <x v="352"/>
    <x v="1"/>
    <x v="0"/>
    <x v="12"/>
    <x v="25"/>
    <x v="8"/>
    <x v="34"/>
    <s v="No"/>
    <x v="0"/>
    <d v="2025-11-26T00:00:00"/>
    <n v="3"/>
    <n v="2"/>
    <n v="7"/>
    <x v="7"/>
    <x v="5"/>
  </r>
  <r>
    <x v="353"/>
    <x v="3"/>
    <x v="1"/>
    <x v="6"/>
    <x v="2"/>
    <x v="2"/>
    <x v="2"/>
    <s v="Yes"/>
    <x v="2"/>
    <m/>
    <m/>
    <m/>
    <m/>
    <x v="2"/>
    <x v="2"/>
  </r>
  <r>
    <x v="354"/>
    <x v="1"/>
    <x v="2"/>
    <x v="29"/>
    <x v="1"/>
    <x v="20"/>
    <x v="22"/>
    <s v="No"/>
    <x v="0"/>
    <d v="2025-11-16T00:00:00"/>
    <n v="4"/>
    <n v="2"/>
    <n v="4"/>
    <x v="0"/>
    <x v="3"/>
  </r>
  <r>
    <x v="355"/>
    <x v="2"/>
    <x v="0"/>
    <x v="26"/>
    <x v="9"/>
    <x v="8"/>
    <x v="34"/>
    <s v="No"/>
    <x v="0"/>
    <d v="2025-11-26T00:00:00"/>
    <n v="2"/>
    <n v="4"/>
    <n v="7"/>
    <x v="9"/>
    <x v="0"/>
  </r>
  <r>
    <x v="356"/>
    <x v="1"/>
    <x v="0"/>
    <x v="8"/>
    <x v="32"/>
    <x v="33"/>
    <x v="20"/>
    <s v="No"/>
    <x v="0"/>
    <d v="2025-12-12T00:00:00"/>
    <n v="5"/>
    <n v="3"/>
    <n v="7"/>
    <x v="4"/>
    <x v="1"/>
  </r>
  <r>
    <x v="357"/>
    <x v="0"/>
    <x v="0"/>
    <x v="27"/>
    <x v="1"/>
    <x v="11"/>
    <x v="12"/>
    <s v="No"/>
    <x v="0"/>
    <d v="2025-11-10T00:00:00"/>
    <n v="1"/>
    <n v="4"/>
    <n v="3"/>
    <x v="9"/>
    <x v="9"/>
  </r>
  <r>
    <x v="358"/>
    <x v="1"/>
    <x v="1"/>
    <x v="5"/>
    <x v="2"/>
    <x v="2"/>
    <x v="2"/>
    <s v="Yes"/>
    <x v="1"/>
    <m/>
    <m/>
    <m/>
    <m/>
    <x v="2"/>
    <x v="2"/>
  </r>
  <r>
    <x v="359"/>
    <x v="2"/>
    <x v="2"/>
    <x v="22"/>
    <x v="28"/>
    <x v="12"/>
    <x v="13"/>
    <s v="No"/>
    <x v="0"/>
    <d v="2025-11-24T00:00:00"/>
    <n v="3"/>
    <n v="4"/>
    <n v="5"/>
    <x v="7"/>
    <x v="5"/>
  </r>
  <r>
    <x v="360"/>
    <x v="2"/>
    <x v="0"/>
    <x v="21"/>
    <x v="18"/>
    <x v="18"/>
    <x v="0"/>
    <s v="No"/>
    <x v="0"/>
    <d v="2025-11-29T00:00:00"/>
    <n v="5"/>
    <n v="4"/>
    <n v="7"/>
    <x v="1"/>
    <x v="11"/>
  </r>
  <r>
    <x v="361"/>
    <x v="3"/>
    <x v="0"/>
    <x v="30"/>
    <x v="13"/>
    <x v="13"/>
    <x v="28"/>
    <s v="No"/>
    <x v="0"/>
    <d v="2025-11-05T00:00:00"/>
    <n v="4"/>
    <n v="4"/>
    <n v="2"/>
    <x v="6"/>
    <x v="3"/>
  </r>
  <r>
    <x v="362"/>
    <x v="1"/>
    <x v="0"/>
    <x v="11"/>
    <x v="3"/>
    <x v="1"/>
    <x v="1"/>
    <s v="No"/>
    <x v="0"/>
    <d v="2025-11-05T00:00:00"/>
    <n v="3"/>
    <n v="1"/>
    <n v="7"/>
    <x v="10"/>
    <x v="4"/>
  </r>
  <r>
    <x v="363"/>
    <x v="2"/>
    <x v="0"/>
    <x v="25"/>
    <x v="6"/>
    <x v="13"/>
    <x v="28"/>
    <s v="No"/>
    <x v="0"/>
    <d v="2025-11-10T00:00:00"/>
    <n v="2"/>
    <n v="5"/>
    <n v="2"/>
    <x v="8"/>
    <x v="6"/>
  </r>
  <r>
    <x v="364"/>
    <x v="0"/>
    <x v="0"/>
    <x v="1"/>
    <x v="24"/>
    <x v="11"/>
    <x v="22"/>
    <s v="No"/>
    <x v="0"/>
    <d v="2025-11-17T00:00:00"/>
    <n v="5"/>
    <n v="2"/>
    <n v="2"/>
    <x v="7"/>
    <x v="6"/>
  </r>
  <r>
    <x v="365"/>
    <x v="3"/>
    <x v="0"/>
    <x v="17"/>
    <x v="21"/>
    <x v="21"/>
    <x v="14"/>
    <s v="No"/>
    <x v="0"/>
    <d v="2025-11-11T00:00:00"/>
    <n v="1"/>
    <n v="3"/>
    <n v="3"/>
    <x v="4"/>
    <x v="12"/>
  </r>
  <r>
    <x v="366"/>
    <x v="0"/>
    <x v="0"/>
    <x v="1"/>
    <x v="14"/>
    <x v="20"/>
    <x v="12"/>
    <s v="No"/>
    <x v="0"/>
    <d v="2025-11-13T00:00:00"/>
    <n v="4"/>
    <n v="1"/>
    <n v="5"/>
    <x v="9"/>
    <x v="3"/>
  </r>
  <r>
    <x v="367"/>
    <x v="1"/>
    <x v="2"/>
    <x v="7"/>
    <x v="27"/>
    <x v="30"/>
    <x v="38"/>
    <s v="Yes"/>
    <x v="2"/>
    <m/>
    <n v="5"/>
    <n v="2"/>
    <n v="2"/>
    <x v="2"/>
    <x v="6"/>
  </r>
  <r>
    <x v="368"/>
    <x v="1"/>
    <x v="0"/>
    <x v="22"/>
    <x v="28"/>
    <x v="10"/>
    <x v="18"/>
    <s v="No"/>
    <x v="0"/>
    <d v="2025-11-18T00:00:00"/>
    <n v="3"/>
    <n v="5"/>
    <n v="3"/>
    <x v="4"/>
    <x v="4"/>
  </r>
  <r>
    <x v="369"/>
    <x v="1"/>
    <x v="2"/>
    <x v="27"/>
    <x v="1"/>
    <x v="11"/>
    <x v="3"/>
    <s v="No"/>
    <x v="0"/>
    <d v="2025-11-16T00:00:00"/>
    <n v="1"/>
    <n v="4"/>
    <n v="6"/>
    <x v="8"/>
    <x v="4"/>
  </r>
  <r>
    <x v="370"/>
    <x v="3"/>
    <x v="0"/>
    <x v="3"/>
    <x v="4"/>
    <x v="7"/>
    <x v="11"/>
    <s v="No"/>
    <x v="0"/>
    <d v="2025-11-22T00:00:00"/>
    <n v="3"/>
    <n v="5"/>
    <n v="3"/>
    <x v="11"/>
    <x v="4"/>
  </r>
  <r>
    <x v="371"/>
    <x v="2"/>
    <x v="0"/>
    <x v="16"/>
    <x v="5"/>
    <x v="24"/>
    <x v="5"/>
    <s v="No"/>
    <x v="0"/>
    <d v="2025-11-11T00:00:00"/>
    <n v="3"/>
    <n v="2"/>
    <n v="6"/>
    <x v="10"/>
    <x v="4"/>
  </r>
  <r>
    <x v="372"/>
    <x v="3"/>
    <x v="0"/>
    <x v="5"/>
    <x v="23"/>
    <x v="31"/>
    <x v="4"/>
    <s v="No"/>
    <x v="0"/>
    <d v="2025-12-05T00:00:00"/>
    <n v="2"/>
    <n v="2"/>
    <n v="7"/>
    <x v="7"/>
    <x v="4"/>
  </r>
  <r>
    <x v="373"/>
    <x v="0"/>
    <x v="0"/>
    <x v="2"/>
    <x v="33"/>
    <x v="34"/>
    <x v="35"/>
    <s v="No"/>
    <x v="0"/>
    <d v="2025-11-06T00:00:00"/>
    <n v="2"/>
    <n v="1"/>
    <n v="5"/>
    <x v="0"/>
    <x v="9"/>
  </r>
  <r>
    <x v="374"/>
    <x v="3"/>
    <x v="2"/>
    <x v="26"/>
    <x v="0"/>
    <x v="26"/>
    <x v="5"/>
    <s v="No"/>
    <x v="0"/>
    <d v="2025-11-25T00:00:00"/>
    <n v="3"/>
    <n v="1"/>
    <n v="2"/>
    <x v="3"/>
    <x v="7"/>
  </r>
  <r>
    <x v="375"/>
    <x v="0"/>
    <x v="0"/>
    <x v="3"/>
    <x v="10"/>
    <x v="4"/>
    <x v="13"/>
    <s v="Yes"/>
    <x v="3"/>
    <m/>
    <n v="4"/>
    <n v="3"/>
    <n v="2"/>
    <x v="2"/>
    <x v="6"/>
  </r>
  <r>
    <x v="376"/>
    <x v="3"/>
    <x v="0"/>
    <x v="21"/>
    <x v="5"/>
    <x v="28"/>
    <x v="24"/>
    <s v="No"/>
    <x v="0"/>
    <d v="2025-11-13T00:00:00"/>
    <n v="2"/>
    <n v="4"/>
    <n v="7"/>
    <x v="9"/>
    <x v="0"/>
  </r>
  <r>
    <x v="377"/>
    <x v="2"/>
    <x v="0"/>
    <x v="11"/>
    <x v="7"/>
    <x v="24"/>
    <x v="1"/>
    <s v="No"/>
    <x v="0"/>
    <d v="2025-11-08T00:00:00"/>
    <n v="2"/>
    <n v="5"/>
    <n v="4"/>
    <x v="3"/>
    <x v="4"/>
  </r>
  <r>
    <x v="378"/>
    <x v="0"/>
    <x v="1"/>
    <x v="4"/>
    <x v="2"/>
    <x v="2"/>
    <x v="2"/>
    <s v="Yes"/>
    <x v="4"/>
    <m/>
    <m/>
    <m/>
    <m/>
    <x v="2"/>
    <x v="2"/>
  </r>
  <r>
    <x v="379"/>
    <x v="1"/>
    <x v="2"/>
    <x v="30"/>
    <x v="26"/>
    <x v="5"/>
    <x v="30"/>
    <s v="No"/>
    <x v="0"/>
    <d v="2025-11-07T00:00:00"/>
    <n v="2"/>
    <n v="4"/>
    <n v="2"/>
    <x v="4"/>
    <x v="9"/>
  </r>
  <r>
    <x v="380"/>
    <x v="1"/>
    <x v="0"/>
    <x v="28"/>
    <x v="27"/>
    <x v="23"/>
    <x v="19"/>
    <s v="No"/>
    <x v="0"/>
    <d v="2025-11-01T00:00:00"/>
    <n v="2"/>
    <n v="5"/>
    <n v="5"/>
    <x v="10"/>
    <x v="5"/>
  </r>
  <r>
    <x v="381"/>
    <x v="3"/>
    <x v="0"/>
    <x v="16"/>
    <x v="3"/>
    <x v="24"/>
    <x v="21"/>
    <s v="No"/>
    <x v="0"/>
    <d v="2025-11-17T00:00:00"/>
    <n v="1"/>
    <n v="4"/>
    <n v="7"/>
    <x v="1"/>
    <x v="5"/>
  </r>
  <r>
    <x v="382"/>
    <x v="1"/>
    <x v="0"/>
    <x v="9"/>
    <x v="14"/>
    <x v="25"/>
    <x v="22"/>
    <s v="No"/>
    <x v="0"/>
    <d v="2025-11-16T00:00:00"/>
    <n v="3"/>
    <n v="2"/>
    <n v="3"/>
    <x v="8"/>
    <x v="9"/>
  </r>
  <r>
    <x v="383"/>
    <x v="0"/>
    <x v="2"/>
    <x v="18"/>
    <x v="16"/>
    <x v="16"/>
    <x v="5"/>
    <s v="No"/>
    <x v="0"/>
    <d v="2025-11-18T00:00:00"/>
    <n v="1"/>
    <n v="2"/>
    <n v="5"/>
    <x v="3"/>
    <x v="9"/>
  </r>
  <r>
    <x v="384"/>
    <x v="1"/>
    <x v="2"/>
    <x v="22"/>
    <x v="11"/>
    <x v="22"/>
    <x v="18"/>
    <s v="Yes"/>
    <x v="2"/>
    <m/>
    <n v="5"/>
    <n v="4"/>
    <n v="2"/>
    <x v="2"/>
    <x v="4"/>
  </r>
  <r>
    <x v="385"/>
    <x v="2"/>
    <x v="1"/>
    <x v="6"/>
    <x v="2"/>
    <x v="2"/>
    <x v="2"/>
    <s v="Yes"/>
    <x v="5"/>
    <m/>
    <m/>
    <m/>
    <m/>
    <x v="2"/>
    <x v="2"/>
  </r>
  <r>
    <x v="386"/>
    <x v="2"/>
    <x v="0"/>
    <x v="0"/>
    <x v="25"/>
    <x v="0"/>
    <x v="17"/>
    <s v="No"/>
    <x v="0"/>
    <d v="2025-11-24T00:00:00"/>
    <n v="5"/>
    <n v="3"/>
    <n v="3"/>
    <x v="7"/>
    <x v="4"/>
  </r>
  <r>
    <x v="387"/>
    <x v="3"/>
    <x v="0"/>
    <x v="11"/>
    <x v="5"/>
    <x v="24"/>
    <x v="32"/>
    <s v="Yes"/>
    <x v="5"/>
    <m/>
    <n v="5"/>
    <n v="2"/>
    <n v="5"/>
    <x v="2"/>
    <x v="5"/>
  </r>
  <r>
    <x v="388"/>
    <x v="0"/>
    <x v="0"/>
    <x v="22"/>
    <x v="25"/>
    <x v="0"/>
    <x v="24"/>
    <s v="No"/>
    <x v="0"/>
    <d v="2025-11-18T00:00:00"/>
    <n v="1"/>
    <n v="3"/>
    <n v="2"/>
    <x v="9"/>
    <x v="7"/>
  </r>
  <r>
    <x v="389"/>
    <x v="2"/>
    <x v="0"/>
    <x v="30"/>
    <x v="6"/>
    <x v="36"/>
    <x v="25"/>
    <s v="No"/>
    <x v="0"/>
    <d v="2025-11-05T00:00:00"/>
    <n v="3"/>
    <n v="2"/>
    <n v="7"/>
    <x v="5"/>
    <x v="5"/>
  </r>
  <r>
    <x v="390"/>
    <x v="2"/>
    <x v="2"/>
    <x v="28"/>
    <x v="20"/>
    <x v="21"/>
    <x v="6"/>
    <s v="No"/>
    <x v="0"/>
    <d v="2025-11-14T00:00:00"/>
    <n v="5"/>
    <n v="1"/>
    <n v="2"/>
    <x v="10"/>
    <x v="9"/>
  </r>
  <r>
    <x v="391"/>
    <x v="0"/>
    <x v="0"/>
    <x v="17"/>
    <x v="17"/>
    <x v="14"/>
    <x v="25"/>
    <s v="No"/>
    <x v="0"/>
    <d v="2025-11-08T00:00:00"/>
    <n v="2"/>
    <n v="1"/>
    <n v="2"/>
    <x v="8"/>
    <x v="10"/>
  </r>
  <r>
    <x v="392"/>
    <x v="1"/>
    <x v="0"/>
    <x v="21"/>
    <x v="18"/>
    <x v="18"/>
    <x v="24"/>
    <s v="No"/>
    <x v="0"/>
    <d v="2025-11-28T00:00:00"/>
    <n v="5"/>
    <n v="4"/>
    <n v="4"/>
    <x v="5"/>
    <x v="0"/>
  </r>
  <r>
    <x v="393"/>
    <x v="1"/>
    <x v="1"/>
    <x v="13"/>
    <x v="2"/>
    <x v="2"/>
    <x v="2"/>
    <s v="Yes"/>
    <x v="1"/>
    <m/>
    <m/>
    <m/>
    <m/>
    <x v="2"/>
    <x v="2"/>
  </r>
  <r>
    <x v="394"/>
    <x v="3"/>
    <x v="2"/>
    <x v="20"/>
    <x v="35"/>
    <x v="33"/>
    <x v="39"/>
    <s v="No"/>
    <x v="0"/>
    <d v="2025-12-11T00:00:00"/>
    <n v="4"/>
    <n v="5"/>
    <n v="4"/>
    <x v="0"/>
    <x v="0"/>
  </r>
  <r>
    <x v="395"/>
    <x v="1"/>
    <x v="0"/>
    <x v="29"/>
    <x v="20"/>
    <x v="21"/>
    <x v="16"/>
    <s v="No"/>
    <x v="0"/>
    <d v="2025-11-11T00:00:00"/>
    <n v="2"/>
    <n v="1"/>
    <n v="4"/>
    <x v="1"/>
    <x v="12"/>
  </r>
  <r>
    <x v="396"/>
    <x v="0"/>
    <x v="0"/>
    <x v="11"/>
    <x v="7"/>
    <x v="1"/>
    <x v="31"/>
    <s v="No"/>
    <x v="0"/>
    <d v="2025-11-02T00:00:00"/>
    <n v="2"/>
    <n v="2"/>
    <n v="3"/>
    <x v="5"/>
    <x v="12"/>
  </r>
  <r>
    <x v="397"/>
    <x v="2"/>
    <x v="0"/>
    <x v="10"/>
    <x v="4"/>
    <x v="10"/>
    <x v="4"/>
    <s v="No"/>
    <x v="0"/>
    <d v="2025-11-22T00:00:00"/>
    <n v="2"/>
    <n v="2"/>
    <n v="5"/>
    <x v="0"/>
    <x v="6"/>
  </r>
  <r>
    <x v="398"/>
    <x v="1"/>
    <x v="0"/>
    <x v="12"/>
    <x v="28"/>
    <x v="0"/>
    <x v="17"/>
    <s v="No"/>
    <x v="0"/>
    <d v="2025-11-19T00:00:00"/>
    <n v="5"/>
    <n v="1"/>
    <n v="3"/>
    <x v="5"/>
    <x v="6"/>
  </r>
  <r>
    <x v="399"/>
    <x v="3"/>
    <x v="0"/>
    <x v="6"/>
    <x v="3"/>
    <x v="1"/>
    <x v="1"/>
    <s v="No"/>
    <x v="0"/>
    <d v="2025-11-17T00:00:00"/>
    <n v="2"/>
    <n v="1"/>
    <n v="7"/>
    <x v="11"/>
    <x v="3"/>
  </r>
  <r>
    <x v="400"/>
    <x v="1"/>
    <x v="0"/>
    <x v="7"/>
    <x v="30"/>
    <x v="21"/>
    <x v="22"/>
    <s v="No"/>
    <x v="0"/>
    <d v="2025-11-03T00:00:00"/>
    <n v="4"/>
    <n v="5"/>
    <n v="7"/>
    <x v="10"/>
    <x v="11"/>
  </r>
  <r>
    <x v="401"/>
    <x v="0"/>
    <x v="0"/>
    <x v="2"/>
    <x v="29"/>
    <x v="35"/>
    <x v="41"/>
    <s v="No"/>
    <x v="0"/>
    <d v="2025-11-04T00:00:00"/>
    <n v="1"/>
    <n v="1"/>
    <n v="3"/>
    <x v="1"/>
    <x v="10"/>
  </r>
  <r>
    <x v="402"/>
    <x v="3"/>
    <x v="0"/>
    <x v="0"/>
    <x v="0"/>
    <x v="0"/>
    <x v="24"/>
    <s v="No"/>
    <x v="0"/>
    <d v="2025-11-29T00:00:00"/>
    <n v="4"/>
    <n v="4"/>
    <n v="2"/>
    <x v="11"/>
    <x v="3"/>
  </r>
  <r>
    <x v="403"/>
    <x v="1"/>
    <x v="1"/>
    <x v="18"/>
    <x v="2"/>
    <x v="2"/>
    <x v="2"/>
    <s v="Yes"/>
    <x v="3"/>
    <m/>
    <m/>
    <m/>
    <m/>
    <x v="2"/>
    <x v="2"/>
  </r>
  <r>
    <x v="404"/>
    <x v="3"/>
    <x v="0"/>
    <x v="19"/>
    <x v="23"/>
    <x v="22"/>
    <x v="23"/>
    <s v="Yes"/>
    <x v="1"/>
    <m/>
    <n v="3"/>
    <n v="5"/>
    <n v="6"/>
    <x v="2"/>
    <x v="8"/>
  </r>
  <r>
    <x v="405"/>
    <x v="0"/>
    <x v="0"/>
    <x v="24"/>
    <x v="21"/>
    <x v="30"/>
    <x v="16"/>
    <s v="No"/>
    <x v="0"/>
    <d v="2025-11-08T00:00:00"/>
    <n v="2"/>
    <n v="1"/>
    <n v="6"/>
    <x v="11"/>
    <x v="6"/>
  </r>
  <r>
    <x v="406"/>
    <x v="2"/>
    <x v="2"/>
    <x v="12"/>
    <x v="12"/>
    <x v="0"/>
    <x v="24"/>
    <s v="No"/>
    <x v="0"/>
    <d v="2025-11-11T00:00:00"/>
    <n v="4"/>
    <n v="2"/>
    <n v="2"/>
    <x v="11"/>
    <x v="9"/>
  </r>
  <r>
    <x v="407"/>
    <x v="0"/>
    <x v="1"/>
    <x v="14"/>
    <x v="2"/>
    <x v="2"/>
    <x v="2"/>
    <s v="Yes"/>
    <x v="1"/>
    <m/>
    <m/>
    <m/>
    <m/>
    <x v="2"/>
    <x v="2"/>
  </r>
  <r>
    <x v="408"/>
    <x v="0"/>
    <x v="2"/>
    <x v="29"/>
    <x v="14"/>
    <x v="20"/>
    <x v="31"/>
    <s v="Yes"/>
    <x v="1"/>
    <m/>
    <n v="5"/>
    <n v="1"/>
    <n v="6"/>
    <x v="2"/>
    <x v="5"/>
  </r>
  <r>
    <x v="409"/>
    <x v="0"/>
    <x v="2"/>
    <x v="21"/>
    <x v="16"/>
    <x v="27"/>
    <x v="17"/>
    <s v="No"/>
    <x v="0"/>
    <d v="2025-11-23T00:00:00"/>
    <n v="3"/>
    <n v="4"/>
    <n v="7"/>
    <x v="10"/>
    <x v="8"/>
  </r>
  <r>
    <x v="410"/>
    <x v="0"/>
    <x v="2"/>
    <x v="2"/>
    <x v="6"/>
    <x v="37"/>
    <x v="28"/>
    <s v="No"/>
    <x v="0"/>
    <d v="2025-11-01T00:00:00"/>
    <n v="4"/>
    <n v="4"/>
    <n v="3"/>
    <x v="10"/>
    <x v="4"/>
  </r>
  <r>
    <x v="411"/>
    <x v="2"/>
    <x v="0"/>
    <x v="21"/>
    <x v="5"/>
    <x v="24"/>
    <x v="32"/>
    <s v="No"/>
    <x v="0"/>
    <d v="2025-11-13T00:00:00"/>
    <n v="2"/>
    <n v="2"/>
    <n v="5"/>
    <x v="4"/>
    <x v="6"/>
  </r>
  <r>
    <x v="412"/>
    <x v="2"/>
    <x v="2"/>
    <x v="4"/>
    <x v="22"/>
    <x v="28"/>
    <x v="5"/>
    <s v="No"/>
    <x v="0"/>
    <d v="2025-11-08T00:00:00"/>
    <n v="5"/>
    <n v="5"/>
    <n v="4"/>
    <x v="11"/>
    <x v="8"/>
  </r>
  <r>
    <x v="413"/>
    <x v="3"/>
    <x v="2"/>
    <x v="25"/>
    <x v="6"/>
    <x v="36"/>
    <x v="25"/>
    <s v="No"/>
    <x v="0"/>
    <d v="2025-11-08T00:00:00"/>
    <n v="2"/>
    <n v="2"/>
    <n v="7"/>
    <x v="9"/>
    <x v="4"/>
  </r>
  <r>
    <x v="414"/>
    <x v="1"/>
    <x v="2"/>
    <x v="24"/>
    <x v="17"/>
    <x v="14"/>
    <x v="6"/>
    <s v="Yes"/>
    <x v="5"/>
    <m/>
    <n v="3"/>
    <n v="1"/>
    <n v="3"/>
    <x v="2"/>
    <x v="12"/>
  </r>
  <r>
    <x v="415"/>
    <x v="2"/>
    <x v="2"/>
    <x v="5"/>
    <x v="4"/>
    <x v="10"/>
    <x v="23"/>
    <s v="No"/>
    <x v="0"/>
    <d v="2025-11-27T00:00:00"/>
    <n v="4"/>
    <n v="2"/>
    <n v="7"/>
    <x v="6"/>
    <x v="0"/>
  </r>
  <r>
    <x v="416"/>
    <x v="2"/>
    <x v="0"/>
    <x v="20"/>
    <x v="10"/>
    <x v="9"/>
    <x v="10"/>
    <s v="No"/>
    <x v="0"/>
    <d v="2025-12-04T00:00:00"/>
    <n v="2"/>
    <n v="5"/>
    <n v="7"/>
    <x v="8"/>
    <x v="8"/>
  </r>
  <r>
    <x v="417"/>
    <x v="1"/>
    <x v="0"/>
    <x v="7"/>
    <x v="15"/>
    <x v="13"/>
    <x v="38"/>
    <s v="No"/>
    <x v="0"/>
    <d v="2025-10-23T00:00:00"/>
    <n v="3"/>
    <n v="3"/>
    <n v="3"/>
    <x v="4"/>
    <x v="6"/>
  </r>
  <r>
    <x v="418"/>
    <x v="2"/>
    <x v="0"/>
    <x v="11"/>
    <x v="5"/>
    <x v="24"/>
    <x v="32"/>
    <s v="No"/>
    <x v="0"/>
    <d v="2025-11-16T00:00:00"/>
    <n v="5"/>
    <n v="2"/>
    <n v="5"/>
    <x v="3"/>
    <x v="5"/>
  </r>
  <r>
    <x v="419"/>
    <x v="0"/>
    <x v="0"/>
    <x v="8"/>
    <x v="8"/>
    <x v="19"/>
    <x v="20"/>
    <s v="No"/>
    <x v="0"/>
    <d v="2025-12-04T00:00:00"/>
    <n v="4"/>
    <n v="5"/>
    <n v="6"/>
    <x v="7"/>
    <x v="1"/>
  </r>
  <r>
    <x v="420"/>
    <x v="0"/>
    <x v="0"/>
    <x v="7"/>
    <x v="30"/>
    <x v="30"/>
    <x v="27"/>
    <s v="No"/>
    <x v="0"/>
    <d v="2025-11-06T00:00:00"/>
    <n v="4"/>
    <n v="3"/>
    <n v="7"/>
    <x v="10"/>
    <x v="8"/>
  </r>
  <r>
    <x v="421"/>
    <x v="1"/>
    <x v="2"/>
    <x v="0"/>
    <x v="9"/>
    <x v="0"/>
    <x v="0"/>
    <s v="No"/>
    <x v="0"/>
    <d v="2025-11-21T00:00:00"/>
    <n v="3"/>
    <n v="5"/>
    <n v="5"/>
    <x v="11"/>
    <x v="0"/>
  </r>
  <r>
    <x v="422"/>
    <x v="3"/>
    <x v="0"/>
    <x v="5"/>
    <x v="4"/>
    <x v="7"/>
    <x v="11"/>
    <s v="No"/>
    <x v="0"/>
    <d v="2025-12-03T00:00:00"/>
    <n v="4"/>
    <n v="5"/>
    <n v="3"/>
    <x v="0"/>
    <x v="5"/>
  </r>
  <r>
    <x v="423"/>
    <x v="3"/>
    <x v="1"/>
    <x v="13"/>
    <x v="2"/>
    <x v="2"/>
    <x v="2"/>
    <s v="Yes"/>
    <x v="5"/>
    <m/>
    <m/>
    <m/>
    <m/>
    <x v="2"/>
    <x v="2"/>
  </r>
  <r>
    <x v="424"/>
    <x v="1"/>
    <x v="0"/>
    <x v="6"/>
    <x v="16"/>
    <x v="28"/>
    <x v="1"/>
    <s v="No"/>
    <x v="0"/>
    <d v="2025-11-08T00:00:00"/>
    <n v="5"/>
    <n v="3"/>
    <n v="2"/>
    <x v="9"/>
    <x v="3"/>
  </r>
  <r>
    <x v="425"/>
    <x v="1"/>
    <x v="2"/>
    <x v="20"/>
    <x v="8"/>
    <x v="9"/>
    <x v="11"/>
    <s v="No"/>
    <x v="0"/>
    <d v="2025-11-25T00:00:00"/>
    <n v="5"/>
    <n v="2"/>
    <n v="2"/>
    <x v="9"/>
    <x v="6"/>
  </r>
  <r>
    <x v="426"/>
    <x v="0"/>
    <x v="0"/>
    <x v="12"/>
    <x v="12"/>
    <x v="15"/>
    <x v="26"/>
    <s v="No"/>
    <x v="0"/>
    <d v="2025-11-16T00:00:00"/>
    <n v="4"/>
    <n v="3"/>
    <n v="3"/>
    <x v="5"/>
    <x v="3"/>
  </r>
  <r>
    <x v="427"/>
    <x v="3"/>
    <x v="0"/>
    <x v="29"/>
    <x v="20"/>
    <x v="23"/>
    <x v="14"/>
    <s v="No"/>
    <x v="0"/>
    <d v="2025-11-04T00:00:00"/>
    <n v="2"/>
    <n v="2"/>
    <n v="2"/>
    <x v="11"/>
    <x v="7"/>
  </r>
  <r>
    <x v="428"/>
    <x v="2"/>
    <x v="0"/>
    <x v="16"/>
    <x v="22"/>
    <x v="28"/>
    <x v="9"/>
    <s v="No"/>
    <x v="0"/>
    <d v="2025-11-23T00:00:00"/>
    <n v="2"/>
    <n v="5"/>
    <n v="6"/>
    <x v="1"/>
    <x v="0"/>
  </r>
  <r>
    <x v="429"/>
    <x v="0"/>
    <x v="2"/>
    <x v="12"/>
    <x v="28"/>
    <x v="15"/>
    <x v="13"/>
    <s v="No"/>
    <x v="0"/>
    <d v="2025-11-26T00:00:00"/>
    <n v="5"/>
    <n v="2"/>
    <n v="7"/>
    <x v="5"/>
    <x v="8"/>
  </r>
  <r>
    <x v="430"/>
    <x v="1"/>
    <x v="2"/>
    <x v="17"/>
    <x v="17"/>
    <x v="17"/>
    <x v="22"/>
    <s v="No"/>
    <x v="0"/>
    <d v="2025-11-07T00:00:00"/>
    <n v="2"/>
    <n v="4"/>
    <n v="5"/>
    <x v="4"/>
    <x v="4"/>
  </r>
  <r>
    <x v="431"/>
    <x v="3"/>
    <x v="2"/>
    <x v="4"/>
    <x v="7"/>
    <x v="6"/>
    <x v="3"/>
    <s v="No"/>
    <x v="0"/>
    <d v="2025-11-16T00:00:00"/>
    <n v="3"/>
    <n v="3"/>
    <n v="4"/>
    <x v="8"/>
    <x v="3"/>
  </r>
  <r>
    <x v="432"/>
    <x v="2"/>
    <x v="1"/>
    <x v="5"/>
    <x v="2"/>
    <x v="2"/>
    <x v="2"/>
    <s v="Yes"/>
    <x v="1"/>
    <m/>
    <m/>
    <m/>
    <m/>
    <x v="2"/>
    <x v="2"/>
  </r>
  <r>
    <x v="433"/>
    <x v="2"/>
    <x v="0"/>
    <x v="6"/>
    <x v="7"/>
    <x v="6"/>
    <x v="7"/>
    <s v="No"/>
    <x v="0"/>
    <d v="2025-11-23T00:00:00"/>
    <n v="1"/>
    <n v="3"/>
    <n v="5"/>
    <x v="10"/>
    <x v="6"/>
  </r>
  <r>
    <x v="434"/>
    <x v="0"/>
    <x v="2"/>
    <x v="6"/>
    <x v="5"/>
    <x v="3"/>
    <x v="7"/>
    <s v="No"/>
    <x v="0"/>
    <d v="2025-11-24T00:00:00"/>
    <n v="4"/>
    <n v="1"/>
    <n v="4"/>
    <x v="9"/>
    <x v="6"/>
  </r>
  <r>
    <x v="435"/>
    <x v="3"/>
    <x v="2"/>
    <x v="24"/>
    <x v="17"/>
    <x v="20"/>
    <x v="19"/>
    <s v="No"/>
    <x v="0"/>
    <d v="2025-10-31T00:00:00"/>
    <n v="3"/>
    <n v="5"/>
    <n v="3"/>
    <x v="11"/>
    <x v="4"/>
  </r>
  <r>
    <x v="436"/>
    <x v="3"/>
    <x v="0"/>
    <x v="11"/>
    <x v="5"/>
    <x v="27"/>
    <x v="5"/>
    <s v="No"/>
    <x v="0"/>
    <d v="2025-11-13T00:00:00"/>
    <n v="5"/>
    <n v="5"/>
    <n v="3"/>
    <x v="9"/>
    <x v="0"/>
  </r>
  <r>
    <x v="437"/>
    <x v="1"/>
    <x v="2"/>
    <x v="21"/>
    <x v="22"/>
    <x v="3"/>
    <x v="7"/>
    <s v="No"/>
    <x v="0"/>
    <d v="2025-11-18T00:00:00"/>
    <n v="1"/>
    <n v="2"/>
    <n v="4"/>
    <x v="1"/>
    <x v="12"/>
  </r>
  <r>
    <x v="438"/>
    <x v="3"/>
    <x v="2"/>
    <x v="13"/>
    <x v="21"/>
    <x v="23"/>
    <x v="12"/>
    <s v="No"/>
    <x v="0"/>
    <d v="2025-11-06T00:00:00"/>
    <n v="5"/>
    <n v="4"/>
    <n v="7"/>
    <x v="11"/>
    <x v="11"/>
  </r>
  <r>
    <x v="439"/>
    <x v="3"/>
    <x v="1"/>
    <x v="27"/>
    <x v="2"/>
    <x v="2"/>
    <x v="2"/>
    <s v="Yes"/>
    <x v="5"/>
    <m/>
    <m/>
    <m/>
    <m/>
    <x v="2"/>
    <x v="2"/>
  </r>
  <r>
    <x v="440"/>
    <x v="0"/>
    <x v="2"/>
    <x v="28"/>
    <x v="30"/>
    <x v="21"/>
    <x v="6"/>
    <s v="No"/>
    <x v="0"/>
    <d v="2025-11-07T00:00:00"/>
    <n v="1"/>
    <n v="5"/>
    <n v="2"/>
    <x v="10"/>
    <x v="9"/>
  </r>
  <r>
    <x v="441"/>
    <x v="3"/>
    <x v="0"/>
    <x v="20"/>
    <x v="34"/>
    <x v="9"/>
    <x v="23"/>
    <s v="No"/>
    <x v="0"/>
    <d v="2025-12-04T00:00:00"/>
    <n v="3"/>
    <n v="4"/>
    <n v="3"/>
    <x v="1"/>
    <x v="3"/>
  </r>
  <r>
    <x v="442"/>
    <x v="2"/>
    <x v="1"/>
    <x v="18"/>
    <x v="2"/>
    <x v="2"/>
    <x v="2"/>
    <s v="Yes"/>
    <x v="3"/>
    <m/>
    <m/>
    <m/>
    <m/>
    <x v="2"/>
    <x v="2"/>
  </r>
  <r>
    <x v="443"/>
    <x v="0"/>
    <x v="0"/>
    <x v="16"/>
    <x v="3"/>
    <x v="1"/>
    <x v="7"/>
    <s v="No"/>
    <x v="0"/>
    <d v="2025-11-20T00:00:00"/>
    <n v="1"/>
    <n v="1"/>
    <n v="6"/>
    <x v="5"/>
    <x v="9"/>
  </r>
  <r>
    <x v="444"/>
    <x v="0"/>
    <x v="2"/>
    <x v="15"/>
    <x v="25"/>
    <x v="0"/>
    <x v="34"/>
    <s v="Yes"/>
    <x v="1"/>
    <m/>
    <n v="2"/>
    <n v="3"/>
    <n v="6"/>
    <x v="2"/>
    <x v="4"/>
  </r>
  <r>
    <x v="445"/>
    <x v="1"/>
    <x v="2"/>
    <x v="10"/>
    <x v="10"/>
    <x v="7"/>
    <x v="36"/>
    <s v="No"/>
    <x v="0"/>
    <d v="2025-12-02T00:00:00"/>
    <n v="3"/>
    <n v="4"/>
    <n v="6"/>
    <x v="9"/>
    <x v="0"/>
  </r>
  <r>
    <x v="446"/>
    <x v="3"/>
    <x v="1"/>
    <x v="13"/>
    <x v="2"/>
    <x v="2"/>
    <x v="2"/>
    <s v="Yes"/>
    <x v="5"/>
    <m/>
    <m/>
    <m/>
    <m/>
    <x v="2"/>
    <x v="2"/>
  </r>
  <r>
    <x v="447"/>
    <x v="1"/>
    <x v="1"/>
    <x v="3"/>
    <x v="2"/>
    <x v="2"/>
    <x v="2"/>
    <s v="Yes"/>
    <x v="2"/>
    <m/>
    <m/>
    <m/>
    <m/>
    <x v="2"/>
    <x v="2"/>
  </r>
  <r>
    <x v="448"/>
    <x v="2"/>
    <x v="0"/>
    <x v="25"/>
    <x v="15"/>
    <x v="14"/>
    <x v="19"/>
    <s v="No"/>
    <x v="0"/>
    <d v="2025-10-30T00:00:00"/>
    <n v="4"/>
    <n v="5"/>
    <n v="7"/>
    <x v="9"/>
    <x v="11"/>
  </r>
  <r>
    <x v="449"/>
    <x v="0"/>
    <x v="2"/>
    <x v="17"/>
    <x v="1"/>
    <x v="25"/>
    <x v="15"/>
    <s v="No"/>
    <x v="0"/>
    <d v="2025-11-18T00:00:00"/>
    <n v="5"/>
    <n v="3"/>
    <n v="6"/>
    <x v="9"/>
    <x v="8"/>
  </r>
  <r>
    <x v="450"/>
    <x v="0"/>
    <x v="0"/>
    <x v="22"/>
    <x v="12"/>
    <x v="31"/>
    <x v="34"/>
    <s v="No"/>
    <x v="0"/>
    <d v="2025-11-19T00:00:00"/>
    <n v="2"/>
    <n v="4"/>
    <n v="4"/>
    <x v="6"/>
    <x v="3"/>
  </r>
  <r>
    <x v="451"/>
    <x v="0"/>
    <x v="1"/>
    <x v="19"/>
    <x v="2"/>
    <x v="2"/>
    <x v="2"/>
    <s v="Yes"/>
    <x v="1"/>
    <m/>
    <m/>
    <m/>
    <m/>
    <x v="2"/>
    <x v="2"/>
  </r>
  <r>
    <x v="452"/>
    <x v="2"/>
    <x v="0"/>
    <x v="3"/>
    <x v="10"/>
    <x v="7"/>
    <x v="39"/>
    <s v="No"/>
    <x v="0"/>
    <d v="2025-11-24T00:00:00"/>
    <n v="4"/>
    <n v="4"/>
    <n v="7"/>
    <x v="8"/>
    <x v="1"/>
  </r>
  <r>
    <x v="453"/>
    <x v="2"/>
    <x v="1"/>
    <x v="4"/>
    <x v="2"/>
    <x v="2"/>
    <x v="2"/>
    <s v="Yes"/>
    <x v="1"/>
    <m/>
    <m/>
    <m/>
    <m/>
    <x v="2"/>
    <x v="2"/>
  </r>
  <r>
    <x v="454"/>
    <x v="1"/>
    <x v="1"/>
    <x v="1"/>
    <x v="2"/>
    <x v="2"/>
    <x v="2"/>
    <s v="Yes"/>
    <x v="3"/>
    <m/>
    <m/>
    <m/>
    <m/>
    <x v="2"/>
    <x v="2"/>
  </r>
  <r>
    <x v="455"/>
    <x v="1"/>
    <x v="0"/>
    <x v="20"/>
    <x v="4"/>
    <x v="10"/>
    <x v="34"/>
    <s v="No"/>
    <x v="0"/>
    <d v="2025-11-23T00:00:00"/>
    <n v="1"/>
    <n v="2"/>
    <n v="2"/>
    <x v="3"/>
    <x v="10"/>
  </r>
  <r>
    <x v="456"/>
    <x v="1"/>
    <x v="0"/>
    <x v="19"/>
    <x v="28"/>
    <x v="31"/>
    <x v="4"/>
    <s v="Yes"/>
    <x v="4"/>
    <m/>
    <n v="2"/>
    <n v="3"/>
    <n v="7"/>
    <x v="2"/>
    <x v="5"/>
  </r>
  <r>
    <x v="457"/>
    <x v="3"/>
    <x v="0"/>
    <x v="16"/>
    <x v="16"/>
    <x v="27"/>
    <x v="21"/>
    <s v="No"/>
    <x v="0"/>
    <d v="2025-11-24T00:00:00"/>
    <n v="4"/>
    <n v="4"/>
    <n v="4"/>
    <x v="7"/>
    <x v="5"/>
  </r>
  <r>
    <x v="458"/>
    <x v="0"/>
    <x v="2"/>
    <x v="17"/>
    <x v="20"/>
    <x v="23"/>
    <x v="16"/>
    <s v="No"/>
    <x v="0"/>
    <d v="2025-11-08T00:00:00"/>
    <n v="3"/>
    <n v="2"/>
    <n v="3"/>
    <x v="7"/>
    <x v="9"/>
  </r>
  <r>
    <x v="459"/>
    <x v="0"/>
    <x v="0"/>
    <x v="5"/>
    <x v="28"/>
    <x v="10"/>
    <x v="11"/>
    <s v="No"/>
    <x v="0"/>
    <d v="2025-11-22T00:00:00"/>
    <n v="1"/>
    <n v="5"/>
    <n v="6"/>
    <x v="10"/>
    <x v="5"/>
  </r>
  <r>
    <x v="460"/>
    <x v="1"/>
    <x v="0"/>
    <x v="2"/>
    <x v="6"/>
    <x v="37"/>
    <x v="6"/>
    <s v="Yes"/>
    <x v="4"/>
    <m/>
    <n v="4"/>
    <n v="4"/>
    <n v="6"/>
    <x v="2"/>
    <x v="8"/>
  </r>
  <r>
    <x v="461"/>
    <x v="0"/>
    <x v="1"/>
    <x v="29"/>
    <x v="2"/>
    <x v="2"/>
    <x v="2"/>
    <s v="Yes"/>
    <x v="3"/>
    <m/>
    <m/>
    <m/>
    <m/>
    <x v="2"/>
    <x v="2"/>
  </r>
  <r>
    <x v="462"/>
    <x v="1"/>
    <x v="1"/>
    <x v="15"/>
    <x v="2"/>
    <x v="2"/>
    <x v="2"/>
    <s v="Yes"/>
    <x v="3"/>
    <m/>
    <m/>
    <m/>
    <m/>
    <x v="2"/>
    <x v="2"/>
  </r>
  <r>
    <x v="463"/>
    <x v="3"/>
    <x v="0"/>
    <x v="29"/>
    <x v="17"/>
    <x v="21"/>
    <x v="19"/>
    <s v="No"/>
    <x v="0"/>
    <d v="2025-11-14T00:00:00"/>
    <n v="1"/>
    <n v="2"/>
    <n v="6"/>
    <x v="10"/>
    <x v="6"/>
  </r>
  <r>
    <x v="464"/>
    <x v="3"/>
    <x v="2"/>
    <x v="5"/>
    <x v="4"/>
    <x v="10"/>
    <x v="18"/>
    <s v="No"/>
    <x v="0"/>
    <d v="2025-12-03T00:00:00"/>
    <n v="4"/>
    <n v="2"/>
    <n v="3"/>
    <x v="8"/>
    <x v="6"/>
  </r>
  <r>
    <x v="465"/>
    <x v="2"/>
    <x v="2"/>
    <x v="23"/>
    <x v="9"/>
    <x v="18"/>
    <x v="0"/>
    <s v="No"/>
    <x v="0"/>
    <d v="2025-11-13T00:00:00"/>
    <n v="5"/>
    <n v="3"/>
    <n v="7"/>
    <x v="8"/>
    <x v="1"/>
  </r>
  <r>
    <x v="466"/>
    <x v="3"/>
    <x v="2"/>
    <x v="23"/>
    <x v="31"/>
    <x v="28"/>
    <x v="21"/>
    <s v="No"/>
    <x v="0"/>
    <d v="2025-11-13T00:00:00"/>
    <n v="3"/>
    <n v="2"/>
    <n v="5"/>
    <x v="10"/>
    <x v="3"/>
  </r>
  <r>
    <x v="467"/>
    <x v="1"/>
    <x v="0"/>
    <x v="26"/>
    <x v="9"/>
    <x v="8"/>
    <x v="17"/>
    <s v="No"/>
    <x v="0"/>
    <d v="2025-11-17T00:00:00"/>
    <n v="2"/>
    <n v="4"/>
    <n v="4"/>
    <x v="10"/>
    <x v="3"/>
  </r>
  <r>
    <x v="468"/>
    <x v="3"/>
    <x v="0"/>
    <x v="6"/>
    <x v="5"/>
    <x v="3"/>
    <x v="5"/>
    <s v="No"/>
    <x v="0"/>
    <d v="2025-11-13T00:00:00"/>
    <n v="4"/>
    <n v="1"/>
    <n v="7"/>
    <x v="6"/>
    <x v="5"/>
  </r>
  <r>
    <x v="469"/>
    <x v="2"/>
    <x v="1"/>
    <x v="3"/>
    <x v="2"/>
    <x v="2"/>
    <x v="2"/>
    <s v="Yes"/>
    <x v="3"/>
    <m/>
    <m/>
    <m/>
    <m/>
    <x v="2"/>
    <x v="2"/>
  </r>
  <r>
    <x v="470"/>
    <x v="0"/>
    <x v="0"/>
    <x v="13"/>
    <x v="13"/>
    <x v="30"/>
    <x v="38"/>
    <s v="No"/>
    <x v="0"/>
    <d v="2025-10-24T00:00:00"/>
    <n v="1"/>
    <n v="5"/>
    <n v="2"/>
    <x v="11"/>
    <x v="9"/>
  </r>
  <r>
    <x v="471"/>
    <x v="1"/>
    <x v="1"/>
    <x v="11"/>
    <x v="2"/>
    <x v="2"/>
    <x v="2"/>
    <s v="Yes"/>
    <x v="4"/>
    <m/>
    <m/>
    <m/>
    <m/>
    <x v="2"/>
    <x v="2"/>
  </r>
  <r>
    <x v="472"/>
    <x v="0"/>
    <x v="1"/>
    <x v="21"/>
    <x v="2"/>
    <x v="2"/>
    <x v="2"/>
    <s v="Yes"/>
    <x v="3"/>
    <m/>
    <m/>
    <m/>
    <m/>
    <x v="2"/>
    <x v="2"/>
  </r>
  <r>
    <x v="473"/>
    <x v="2"/>
    <x v="0"/>
    <x v="6"/>
    <x v="22"/>
    <x v="16"/>
    <x v="1"/>
    <s v="No"/>
    <x v="0"/>
    <d v="2025-11-12T00:00:00"/>
    <n v="3"/>
    <n v="4"/>
    <n v="3"/>
    <x v="1"/>
    <x v="3"/>
  </r>
  <r>
    <x v="474"/>
    <x v="2"/>
    <x v="1"/>
    <x v="9"/>
    <x v="2"/>
    <x v="2"/>
    <x v="2"/>
    <s v="Yes"/>
    <x v="5"/>
    <m/>
    <m/>
    <m/>
    <m/>
    <x v="2"/>
    <x v="2"/>
  </r>
  <r>
    <x v="475"/>
    <x v="2"/>
    <x v="0"/>
    <x v="1"/>
    <x v="19"/>
    <x v="25"/>
    <x v="31"/>
    <s v="Yes"/>
    <x v="1"/>
    <m/>
    <n v="2"/>
    <n v="4"/>
    <n v="5"/>
    <x v="2"/>
    <x v="4"/>
  </r>
  <r>
    <x v="476"/>
    <x v="0"/>
    <x v="2"/>
    <x v="21"/>
    <x v="22"/>
    <x v="28"/>
    <x v="21"/>
    <s v="No"/>
    <x v="0"/>
    <d v="2025-11-09T00:00:00"/>
    <n v="1"/>
    <n v="5"/>
    <n v="5"/>
    <x v="0"/>
    <x v="4"/>
  </r>
  <r>
    <x v="477"/>
    <x v="0"/>
    <x v="0"/>
    <x v="22"/>
    <x v="28"/>
    <x v="10"/>
    <x v="34"/>
    <s v="Yes"/>
    <x v="1"/>
    <m/>
    <n v="3"/>
    <n v="5"/>
    <n v="2"/>
    <x v="2"/>
    <x v="3"/>
  </r>
  <r>
    <x v="478"/>
    <x v="0"/>
    <x v="0"/>
    <x v="21"/>
    <x v="22"/>
    <x v="3"/>
    <x v="3"/>
    <s v="No"/>
    <x v="0"/>
    <d v="2025-11-17T00:00:00"/>
    <n v="1"/>
    <n v="2"/>
    <n v="3"/>
    <x v="11"/>
    <x v="7"/>
  </r>
  <r>
    <x v="479"/>
    <x v="0"/>
    <x v="0"/>
    <x v="27"/>
    <x v="24"/>
    <x v="6"/>
    <x v="7"/>
    <s v="Yes"/>
    <x v="2"/>
    <m/>
    <n v="3"/>
    <n v="4"/>
    <n v="5"/>
    <x v="2"/>
    <x v="5"/>
  </r>
  <r>
    <x v="480"/>
    <x v="2"/>
    <x v="0"/>
    <x v="11"/>
    <x v="7"/>
    <x v="1"/>
    <x v="1"/>
    <s v="No"/>
    <x v="0"/>
    <d v="2025-11-06T00:00:00"/>
    <n v="2"/>
    <n v="2"/>
    <n v="7"/>
    <x v="0"/>
    <x v="4"/>
  </r>
  <r>
    <x v="481"/>
    <x v="2"/>
    <x v="0"/>
    <x v="20"/>
    <x v="10"/>
    <x v="4"/>
    <x v="8"/>
    <s v="No"/>
    <x v="0"/>
    <d v="2025-12-01T00:00:00"/>
    <n v="2"/>
    <n v="3"/>
    <n v="6"/>
    <x v="1"/>
    <x v="4"/>
  </r>
  <r>
    <x v="482"/>
    <x v="1"/>
    <x v="0"/>
    <x v="1"/>
    <x v="20"/>
    <x v="23"/>
    <x v="14"/>
    <s v="No"/>
    <x v="0"/>
    <d v="2025-11-01T00:00:00"/>
    <n v="1"/>
    <n v="2"/>
    <n v="2"/>
    <x v="7"/>
    <x v="10"/>
  </r>
  <r>
    <x v="483"/>
    <x v="1"/>
    <x v="0"/>
    <x v="3"/>
    <x v="4"/>
    <x v="22"/>
    <x v="23"/>
    <s v="No"/>
    <x v="0"/>
    <d v="2025-11-27T00:00:00"/>
    <n v="3"/>
    <n v="3"/>
    <n v="6"/>
    <x v="7"/>
    <x v="5"/>
  </r>
  <r>
    <x v="484"/>
    <x v="0"/>
    <x v="0"/>
    <x v="28"/>
    <x v="17"/>
    <x v="14"/>
    <x v="25"/>
    <s v="No"/>
    <x v="0"/>
    <d v="2025-11-04T00:00:00"/>
    <n v="4"/>
    <n v="1"/>
    <n v="2"/>
    <x v="5"/>
    <x v="12"/>
  </r>
  <r>
    <x v="485"/>
    <x v="3"/>
    <x v="0"/>
    <x v="12"/>
    <x v="0"/>
    <x v="0"/>
    <x v="26"/>
    <s v="Yes"/>
    <x v="2"/>
    <m/>
    <n v="2"/>
    <n v="4"/>
    <n v="4"/>
    <x v="2"/>
    <x v="3"/>
  </r>
  <r>
    <x v="486"/>
    <x v="3"/>
    <x v="0"/>
    <x v="24"/>
    <x v="20"/>
    <x v="17"/>
    <x v="19"/>
    <s v="No"/>
    <x v="0"/>
    <d v="2025-11-12T00:00:00"/>
    <n v="4"/>
    <n v="3"/>
    <n v="4"/>
    <x v="3"/>
    <x v="4"/>
  </r>
  <r>
    <x v="487"/>
    <x v="2"/>
    <x v="2"/>
    <x v="23"/>
    <x v="18"/>
    <x v="28"/>
    <x v="32"/>
    <s v="No"/>
    <x v="0"/>
    <d v="2025-11-22T00:00:00"/>
    <n v="4"/>
    <n v="1"/>
    <n v="3"/>
    <x v="8"/>
    <x v="9"/>
  </r>
  <r>
    <x v="488"/>
    <x v="2"/>
    <x v="0"/>
    <x v="27"/>
    <x v="3"/>
    <x v="16"/>
    <x v="5"/>
    <s v="No"/>
    <x v="0"/>
    <d v="2025-11-19T00:00:00"/>
    <n v="5"/>
    <n v="5"/>
    <n v="5"/>
    <x v="7"/>
    <x v="1"/>
  </r>
  <r>
    <x v="489"/>
    <x v="2"/>
    <x v="2"/>
    <x v="24"/>
    <x v="27"/>
    <x v="30"/>
    <x v="16"/>
    <s v="No"/>
    <x v="0"/>
    <d v="2025-11-16T00:00:00"/>
    <n v="1"/>
    <n v="2"/>
    <n v="6"/>
    <x v="0"/>
    <x v="6"/>
  </r>
  <r>
    <x v="490"/>
    <x v="1"/>
    <x v="0"/>
    <x v="3"/>
    <x v="23"/>
    <x v="15"/>
    <x v="34"/>
    <s v="No"/>
    <x v="0"/>
    <d v="2025-11-17T00:00:00"/>
    <n v="1"/>
    <n v="1"/>
    <n v="5"/>
    <x v="3"/>
    <x v="12"/>
  </r>
  <r>
    <x v="491"/>
    <x v="1"/>
    <x v="0"/>
    <x v="22"/>
    <x v="25"/>
    <x v="0"/>
    <x v="26"/>
    <s v="Yes"/>
    <x v="1"/>
    <m/>
    <n v="1"/>
    <n v="3"/>
    <n v="4"/>
    <x v="2"/>
    <x v="9"/>
  </r>
  <r>
    <x v="492"/>
    <x v="2"/>
    <x v="0"/>
    <x v="4"/>
    <x v="7"/>
    <x v="3"/>
    <x v="32"/>
    <s v="No"/>
    <x v="0"/>
    <d v="2025-11-06T00:00:00"/>
    <n v="3"/>
    <n v="4"/>
    <n v="6"/>
    <x v="9"/>
    <x v="0"/>
  </r>
  <r>
    <x v="493"/>
    <x v="2"/>
    <x v="0"/>
    <x v="30"/>
    <x v="26"/>
    <x v="37"/>
    <x v="14"/>
    <s v="No"/>
    <x v="0"/>
    <d v="2025-11-02T00:00:00"/>
    <n v="2"/>
    <n v="5"/>
    <n v="7"/>
    <x v="10"/>
    <x v="8"/>
  </r>
  <r>
    <x v="494"/>
    <x v="2"/>
    <x v="1"/>
    <x v="1"/>
    <x v="2"/>
    <x v="2"/>
    <x v="2"/>
    <s v="Yes"/>
    <x v="5"/>
    <m/>
    <m/>
    <m/>
    <m/>
    <x v="2"/>
    <x v="2"/>
  </r>
  <r>
    <x v="495"/>
    <x v="3"/>
    <x v="1"/>
    <x v="15"/>
    <x v="2"/>
    <x v="2"/>
    <x v="2"/>
    <s v="Yes"/>
    <x v="4"/>
    <m/>
    <m/>
    <m/>
    <m/>
    <x v="2"/>
    <x v="2"/>
  </r>
  <r>
    <x v="496"/>
    <x v="1"/>
    <x v="1"/>
    <x v="6"/>
    <x v="2"/>
    <x v="2"/>
    <x v="2"/>
    <s v="Yes"/>
    <x v="4"/>
    <m/>
    <m/>
    <m/>
    <m/>
    <x v="2"/>
    <x v="2"/>
  </r>
  <r>
    <x v="497"/>
    <x v="3"/>
    <x v="1"/>
    <x v="12"/>
    <x v="2"/>
    <x v="2"/>
    <x v="2"/>
    <s v="Yes"/>
    <x v="5"/>
    <m/>
    <m/>
    <m/>
    <m/>
    <x v="2"/>
    <x v="2"/>
  </r>
  <r>
    <x v="498"/>
    <x v="3"/>
    <x v="2"/>
    <x v="20"/>
    <x v="10"/>
    <x v="9"/>
    <x v="23"/>
    <s v="No"/>
    <x v="0"/>
    <d v="2025-11-30T00:00:00"/>
    <n v="2"/>
    <n v="5"/>
    <n v="3"/>
    <x v="1"/>
    <x v="3"/>
  </r>
  <r>
    <x v="499"/>
    <x v="2"/>
    <x v="2"/>
    <x v="19"/>
    <x v="4"/>
    <x v="12"/>
    <x v="13"/>
    <s v="No"/>
    <x v="0"/>
    <d v="2025-12-01T00:00:00"/>
    <n v="5"/>
    <n v="1"/>
    <n v="5"/>
    <x v="11"/>
    <x v="4"/>
  </r>
  <r>
    <x v="500"/>
    <x v="2"/>
    <x v="0"/>
    <x v="27"/>
    <x v="3"/>
    <x v="1"/>
    <x v="12"/>
    <s v="No"/>
    <x v="0"/>
    <d v="2025-11-19T00:00:00"/>
    <n v="5"/>
    <n v="1"/>
    <n v="2"/>
    <x v="3"/>
    <x v="9"/>
  </r>
  <r>
    <x v="501"/>
    <x v="0"/>
    <x v="2"/>
    <x v="27"/>
    <x v="3"/>
    <x v="6"/>
    <x v="31"/>
    <s v="No"/>
    <x v="0"/>
    <d v="2025-11-15T00:00:00"/>
    <n v="5"/>
    <n v="2"/>
    <n v="2"/>
    <x v="8"/>
    <x v="6"/>
  </r>
  <r>
    <x v="502"/>
    <x v="0"/>
    <x v="0"/>
    <x v="26"/>
    <x v="25"/>
    <x v="31"/>
    <x v="13"/>
    <s v="No"/>
    <x v="0"/>
    <d v="2025-11-21T00:00:00"/>
    <n v="4"/>
    <n v="5"/>
    <n v="6"/>
    <x v="7"/>
    <x v="1"/>
  </r>
  <r>
    <x v="503"/>
    <x v="3"/>
    <x v="0"/>
    <x v="19"/>
    <x v="12"/>
    <x v="12"/>
    <x v="0"/>
    <s v="No"/>
    <x v="0"/>
    <d v="2025-11-28T00:00:00"/>
    <n v="1"/>
    <n v="5"/>
    <n v="2"/>
    <x v="4"/>
    <x v="9"/>
  </r>
  <r>
    <x v="504"/>
    <x v="1"/>
    <x v="0"/>
    <x v="5"/>
    <x v="11"/>
    <x v="12"/>
    <x v="0"/>
    <s v="No"/>
    <x v="0"/>
    <d v="2025-12-01T00:00:00"/>
    <n v="3"/>
    <n v="2"/>
    <n v="2"/>
    <x v="10"/>
    <x v="12"/>
  </r>
  <r>
    <x v="505"/>
    <x v="2"/>
    <x v="0"/>
    <x v="0"/>
    <x v="18"/>
    <x v="18"/>
    <x v="24"/>
    <s v="No"/>
    <x v="0"/>
    <d v="2025-11-27T00:00:00"/>
    <n v="2"/>
    <n v="4"/>
    <n v="4"/>
    <x v="4"/>
    <x v="3"/>
  </r>
  <r>
    <x v="506"/>
    <x v="2"/>
    <x v="0"/>
    <x v="13"/>
    <x v="30"/>
    <x v="13"/>
    <x v="38"/>
    <s v="No"/>
    <x v="0"/>
    <d v="2025-11-03T00:00:00"/>
    <n v="3"/>
    <n v="2"/>
    <n v="3"/>
    <x v="7"/>
    <x v="9"/>
  </r>
  <r>
    <x v="507"/>
    <x v="3"/>
    <x v="0"/>
    <x v="6"/>
    <x v="7"/>
    <x v="6"/>
    <x v="31"/>
    <s v="No"/>
    <x v="0"/>
    <d v="2025-11-12T00:00:00"/>
    <n v="1"/>
    <n v="3"/>
    <n v="2"/>
    <x v="7"/>
    <x v="7"/>
  </r>
  <r>
    <x v="508"/>
    <x v="0"/>
    <x v="1"/>
    <x v="8"/>
    <x v="2"/>
    <x v="2"/>
    <x v="2"/>
    <s v="Yes"/>
    <x v="4"/>
    <m/>
    <m/>
    <m/>
    <m/>
    <x v="2"/>
    <x v="2"/>
  </r>
  <r>
    <x v="509"/>
    <x v="1"/>
    <x v="0"/>
    <x v="30"/>
    <x v="33"/>
    <x v="29"/>
    <x v="29"/>
    <s v="No"/>
    <x v="0"/>
    <d v="2025-10-23T00:00:00"/>
    <n v="1"/>
    <n v="3"/>
    <n v="2"/>
    <x v="11"/>
    <x v="7"/>
  </r>
  <r>
    <x v="510"/>
    <x v="0"/>
    <x v="1"/>
    <x v="13"/>
    <x v="2"/>
    <x v="2"/>
    <x v="2"/>
    <s v="Yes"/>
    <x v="3"/>
    <m/>
    <m/>
    <m/>
    <m/>
    <x v="2"/>
    <x v="2"/>
  </r>
  <r>
    <x v="511"/>
    <x v="0"/>
    <x v="2"/>
    <x v="16"/>
    <x v="22"/>
    <x v="6"/>
    <x v="7"/>
    <s v="No"/>
    <x v="0"/>
    <d v="2025-11-12T00:00:00"/>
    <n v="2"/>
    <n v="1"/>
    <n v="5"/>
    <x v="11"/>
    <x v="9"/>
  </r>
  <r>
    <x v="512"/>
    <x v="0"/>
    <x v="1"/>
    <x v="8"/>
    <x v="2"/>
    <x v="2"/>
    <x v="2"/>
    <s v="Yes"/>
    <x v="1"/>
    <m/>
    <m/>
    <m/>
    <m/>
    <x v="2"/>
    <x v="2"/>
  </r>
  <r>
    <x v="513"/>
    <x v="0"/>
    <x v="0"/>
    <x v="23"/>
    <x v="18"/>
    <x v="27"/>
    <x v="24"/>
    <s v="No"/>
    <x v="0"/>
    <d v="2025-11-12T00:00:00"/>
    <n v="4"/>
    <n v="2"/>
    <n v="6"/>
    <x v="9"/>
    <x v="5"/>
  </r>
  <r>
    <x v="514"/>
    <x v="2"/>
    <x v="0"/>
    <x v="1"/>
    <x v="24"/>
    <x v="11"/>
    <x v="31"/>
    <s v="No"/>
    <x v="0"/>
    <d v="2025-11-10T00:00:00"/>
    <n v="5"/>
    <n v="2"/>
    <n v="4"/>
    <x v="7"/>
    <x v="4"/>
  </r>
  <r>
    <x v="515"/>
    <x v="2"/>
    <x v="2"/>
    <x v="3"/>
    <x v="10"/>
    <x v="10"/>
    <x v="23"/>
    <s v="Yes"/>
    <x v="1"/>
    <m/>
    <n v="4"/>
    <n v="1"/>
    <n v="7"/>
    <x v="2"/>
    <x v="5"/>
  </r>
  <r>
    <x v="516"/>
    <x v="0"/>
    <x v="0"/>
    <x v="7"/>
    <x v="6"/>
    <x v="37"/>
    <x v="14"/>
    <s v="No"/>
    <x v="0"/>
    <d v="2025-10-26T00:00:00"/>
    <n v="1"/>
    <n v="4"/>
    <n v="7"/>
    <x v="0"/>
    <x v="5"/>
  </r>
  <r>
    <x v="517"/>
    <x v="1"/>
    <x v="2"/>
    <x v="3"/>
    <x v="23"/>
    <x v="31"/>
    <x v="13"/>
    <s v="No"/>
    <x v="0"/>
    <d v="2025-11-28T00:00:00"/>
    <n v="1"/>
    <n v="2"/>
    <n v="6"/>
    <x v="10"/>
    <x v="6"/>
  </r>
  <r>
    <x v="518"/>
    <x v="3"/>
    <x v="2"/>
    <x v="3"/>
    <x v="10"/>
    <x v="9"/>
    <x v="36"/>
    <s v="No"/>
    <x v="0"/>
    <d v="2025-11-22T00:00:00"/>
    <n v="4"/>
    <n v="5"/>
    <n v="5"/>
    <x v="4"/>
    <x v="8"/>
  </r>
  <r>
    <x v="519"/>
    <x v="1"/>
    <x v="0"/>
    <x v="11"/>
    <x v="5"/>
    <x v="24"/>
    <x v="32"/>
    <s v="No"/>
    <x v="0"/>
    <d v="2025-11-11T00:00:00"/>
    <n v="5"/>
    <n v="2"/>
    <n v="5"/>
    <x v="5"/>
    <x v="5"/>
  </r>
  <r>
    <x v="520"/>
    <x v="1"/>
    <x v="0"/>
    <x v="7"/>
    <x v="27"/>
    <x v="21"/>
    <x v="22"/>
    <s v="No"/>
    <x v="0"/>
    <d v="2025-11-17T00:00:00"/>
    <n v="5"/>
    <n v="4"/>
    <n v="7"/>
    <x v="11"/>
    <x v="11"/>
  </r>
  <r>
    <x v="521"/>
    <x v="1"/>
    <x v="0"/>
    <x v="16"/>
    <x v="3"/>
    <x v="6"/>
    <x v="7"/>
    <s v="No"/>
    <x v="0"/>
    <d v="2025-11-10T00:00:00"/>
    <n v="1"/>
    <n v="2"/>
    <n v="5"/>
    <x v="8"/>
    <x v="9"/>
  </r>
  <r>
    <x v="522"/>
    <x v="0"/>
    <x v="1"/>
    <x v="20"/>
    <x v="2"/>
    <x v="2"/>
    <x v="2"/>
    <s v="Yes"/>
    <x v="5"/>
    <m/>
    <m/>
    <m/>
    <m/>
    <x v="2"/>
    <x v="2"/>
  </r>
  <r>
    <x v="523"/>
    <x v="2"/>
    <x v="0"/>
    <x v="11"/>
    <x v="5"/>
    <x v="27"/>
    <x v="32"/>
    <s v="No"/>
    <x v="0"/>
    <d v="2025-11-13T00:00:00"/>
    <n v="5"/>
    <n v="5"/>
    <n v="2"/>
    <x v="8"/>
    <x v="5"/>
  </r>
  <r>
    <x v="524"/>
    <x v="1"/>
    <x v="0"/>
    <x v="2"/>
    <x v="13"/>
    <x v="37"/>
    <x v="14"/>
    <s v="No"/>
    <x v="0"/>
    <d v="2025-11-15T00:00:00"/>
    <n v="5"/>
    <n v="3"/>
    <n v="7"/>
    <x v="1"/>
    <x v="1"/>
  </r>
  <r>
    <x v="525"/>
    <x v="0"/>
    <x v="2"/>
    <x v="15"/>
    <x v="25"/>
    <x v="0"/>
    <x v="34"/>
    <s v="No"/>
    <x v="0"/>
    <d v="2025-11-21T00:00:00"/>
    <n v="2"/>
    <n v="3"/>
    <n v="6"/>
    <x v="1"/>
    <x v="4"/>
  </r>
  <r>
    <x v="526"/>
    <x v="1"/>
    <x v="0"/>
    <x v="13"/>
    <x v="15"/>
    <x v="30"/>
    <x v="16"/>
    <s v="No"/>
    <x v="0"/>
    <d v="2025-11-02T00:00:00"/>
    <n v="2"/>
    <n v="4"/>
    <n v="6"/>
    <x v="5"/>
    <x v="5"/>
  </r>
  <r>
    <x v="527"/>
    <x v="1"/>
    <x v="0"/>
    <x v="4"/>
    <x v="7"/>
    <x v="3"/>
    <x v="32"/>
    <s v="No"/>
    <x v="0"/>
    <d v="2025-11-14T00:00:00"/>
    <n v="3"/>
    <n v="4"/>
    <n v="6"/>
    <x v="8"/>
    <x v="0"/>
  </r>
  <r>
    <x v="528"/>
    <x v="0"/>
    <x v="1"/>
    <x v="3"/>
    <x v="2"/>
    <x v="2"/>
    <x v="2"/>
    <s v="Yes"/>
    <x v="4"/>
    <m/>
    <m/>
    <m/>
    <m/>
    <x v="2"/>
    <x v="2"/>
  </r>
  <r>
    <x v="529"/>
    <x v="2"/>
    <x v="1"/>
    <x v="0"/>
    <x v="2"/>
    <x v="2"/>
    <x v="2"/>
    <s v="Yes"/>
    <x v="2"/>
    <m/>
    <m/>
    <m/>
    <m/>
    <x v="2"/>
    <x v="2"/>
  </r>
  <r>
    <x v="530"/>
    <x v="2"/>
    <x v="0"/>
    <x v="13"/>
    <x v="27"/>
    <x v="23"/>
    <x v="16"/>
    <s v="No"/>
    <x v="0"/>
    <d v="2025-11-16T00:00:00"/>
    <n v="4"/>
    <n v="5"/>
    <n v="3"/>
    <x v="0"/>
    <x v="5"/>
  </r>
  <r>
    <x v="531"/>
    <x v="3"/>
    <x v="2"/>
    <x v="25"/>
    <x v="26"/>
    <x v="36"/>
    <x v="42"/>
    <s v="No"/>
    <x v="0"/>
    <d v="2025-11-03T00:00:00"/>
    <n v="1"/>
    <n v="3"/>
    <n v="4"/>
    <x v="0"/>
    <x v="9"/>
  </r>
  <r>
    <x v="532"/>
    <x v="0"/>
    <x v="1"/>
    <x v="6"/>
    <x v="2"/>
    <x v="2"/>
    <x v="2"/>
    <s v="Yes"/>
    <x v="2"/>
    <m/>
    <m/>
    <m/>
    <m/>
    <x v="2"/>
    <x v="2"/>
  </r>
  <r>
    <x v="533"/>
    <x v="3"/>
    <x v="0"/>
    <x v="19"/>
    <x v="4"/>
    <x v="22"/>
    <x v="18"/>
    <s v="No"/>
    <x v="0"/>
    <d v="2025-12-01T00:00:00"/>
    <n v="5"/>
    <n v="3"/>
    <n v="2"/>
    <x v="10"/>
    <x v="3"/>
  </r>
  <r>
    <x v="534"/>
    <x v="3"/>
    <x v="2"/>
    <x v="17"/>
    <x v="20"/>
    <x v="17"/>
    <x v="19"/>
    <s v="No"/>
    <x v="0"/>
    <d v="2025-10-29T00:00:00"/>
    <n v="3"/>
    <n v="3"/>
    <n v="4"/>
    <x v="6"/>
    <x v="3"/>
  </r>
  <r>
    <x v="535"/>
    <x v="3"/>
    <x v="2"/>
    <x v="1"/>
    <x v="19"/>
    <x v="20"/>
    <x v="27"/>
    <s v="Yes"/>
    <x v="4"/>
    <m/>
    <n v="2"/>
    <n v="3"/>
    <n v="2"/>
    <x v="2"/>
    <x v="12"/>
  </r>
  <r>
    <x v="536"/>
    <x v="2"/>
    <x v="0"/>
    <x v="18"/>
    <x v="0"/>
    <x v="15"/>
    <x v="18"/>
    <s v="No"/>
    <x v="0"/>
    <d v="2025-11-15T00:00:00"/>
    <n v="5"/>
    <n v="5"/>
    <n v="6"/>
    <x v="6"/>
    <x v="11"/>
  </r>
  <r>
    <x v="537"/>
    <x v="0"/>
    <x v="2"/>
    <x v="12"/>
    <x v="12"/>
    <x v="31"/>
    <x v="0"/>
    <s v="No"/>
    <x v="0"/>
    <d v="2025-11-28T00:00:00"/>
    <n v="4"/>
    <n v="4"/>
    <n v="3"/>
    <x v="9"/>
    <x v="4"/>
  </r>
  <r>
    <x v="538"/>
    <x v="3"/>
    <x v="1"/>
    <x v="27"/>
    <x v="2"/>
    <x v="2"/>
    <x v="2"/>
    <s v="Yes"/>
    <x v="2"/>
    <m/>
    <m/>
    <m/>
    <m/>
    <x v="2"/>
    <x v="2"/>
  </r>
  <r>
    <x v="539"/>
    <x v="0"/>
    <x v="0"/>
    <x v="0"/>
    <x v="18"/>
    <x v="18"/>
    <x v="9"/>
    <s v="Yes"/>
    <x v="5"/>
    <m/>
    <n v="2"/>
    <n v="4"/>
    <n v="3"/>
    <x v="2"/>
    <x v="6"/>
  </r>
  <r>
    <x v="540"/>
    <x v="0"/>
    <x v="2"/>
    <x v="25"/>
    <x v="26"/>
    <x v="32"/>
    <x v="42"/>
    <s v="No"/>
    <x v="0"/>
    <d v="2025-10-25T00:00:00"/>
    <n v="1"/>
    <n v="1"/>
    <n v="6"/>
    <x v="3"/>
    <x v="9"/>
  </r>
  <r>
    <x v="541"/>
    <x v="2"/>
    <x v="1"/>
    <x v="3"/>
    <x v="2"/>
    <x v="2"/>
    <x v="2"/>
    <s v="Yes"/>
    <x v="5"/>
    <m/>
    <m/>
    <m/>
    <m/>
    <x v="2"/>
    <x v="2"/>
  </r>
  <r>
    <x v="542"/>
    <x v="3"/>
    <x v="0"/>
    <x v="1"/>
    <x v="24"/>
    <x v="6"/>
    <x v="3"/>
    <s v="No"/>
    <x v="0"/>
    <d v="2025-11-23T00:00:00"/>
    <n v="5"/>
    <n v="4"/>
    <n v="4"/>
    <x v="3"/>
    <x v="0"/>
  </r>
  <r>
    <x v="543"/>
    <x v="3"/>
    <x v="0"/>
    <x v="3"/>
    <x v="4"/>
    <x v="22"/>
    <x v="11"/>
    <s v="No"/>
    <x v="0"/>
    <d v="2025-11-23T00:00:00"/>
    <n v="3"/>
    <n v="3"/>
    <n v="5"/>
    <x v="8"/>
    <x v="4"/>
  </r>
  <r>
    <x v="544"/>
    <x v="0"/>
    <x v="2"/>
    <x v="26"/>
    <x v="18"/>
    <x v="27"/>
    <x v="24"/>
    <s v="No"/>
    <x v="0"/>
    <d v="2025-11-29T00:00:00"/>
    <n v="1"/>
    <n v="2"/>
    <n v="6"/>
    <x v="10"/>
    <x v="6"/>
  </r>
  <r>
    <x v="545"/>
    <x v="1"/>
    <x v="2"/>
    <x v="3"/>
    <x v="34"/>
    <x v="7"/>
    <x v="39"/>
    <s v="No"/>
    <x v="0"/>
    <d v="2025-11-22T00:00:00"/>
    <n v="5"/>
    <n v="3"/>
    <n v="7"/>
    <x v="5"/>
    <x v="1"/>
  </r>
  <r>
    <x v="546"/>
    <x v="2"/>
    <x v="0"/>
    <x v="21"/>
    <x v="18"/>
    <x v="26"/>
    <x v="26"/>
    <s v="No"/>
    <x v="0"/>
    <d v="2025-11-19T00:00:00"/>
    <n v="5"/>
    <n v="3"/>
    <n v="7"/>
    <x v="9"/>
    <x v="1"/>
  </r>
  <r>
    <x v="547"/>
    <x v="2"/>
    <x v="0"/>
    <x v="27"/>
    <x v="3"/>
    <x v="24"/>
    <x v="21"/>
    <s v="No"/>
    <x v="0"/>
    <d v="2025-11-16T00:00:00"/>
    <n v="5"/>
    <n v="4"/>
    <n v="7"/>
    <x v="8"/>
    <x v="11"/>
  </r>
  <r>
    <x v="548"/>
    <x v="2"/>
    <x v="0"/>
    <x v="8"/>
    <x v="32"/>
    <x v="9"/>
    <x v="10"/>
    <s v="No"/>
    <x v="0"/>
    <d v="2025-12-12T00:00:00"/>
    <n v="5"/>
    <n v="1"/>
    <n v="7"/>
    <x v="5"/>
    <x v="0"/>
  </r>
  <r>
    <x v="549"/>
    <x v="2"/>
    <x v="0"/>
    <x v="1"/>
    <x v="24"/>
    <x v="3"/>
    <x v="15"/>
    <s v="No"/>
    <x v="0"/>
    <d v="2025-11-11T00:00:00"/>
    <n v="5"/>
    <n v="5"/>
    <n v="2"/>
    <x v="7"/>
    <x v="5"/>
  </r>
  <r>
    <x v="550"/>
    <x v="3"/>
    <x v="0"/>
    <x v="0"/>
    <x v="31"/>
    <x v="28"/>
    <x v="5"/>
    <s v="No"/>
    <x v="0"/>
    <d v="2025-11-27T00:00:00"/>
    <n v="1"/>
    <n v="2"/>
    <n v="4"/>
    <x v="9"/>
    <x v="12"/>
  </r>
  <r>
    <x v="551"/>
    <x v="3"/>
    <x v="2"/>
    <x v="12"/>
    <x v="12"/>
    <x v="0"/>
    <x v="18"/>
    <s v="No"/>
    <x v="0"/>
    <d v="2025-11-23T00:00:00"/>
    <n v="4"/>
    <n v="2"/>
    <n v="7"/>
    <x v="9"/>
    <x v="0"/>
  </r>
  <r>
    <x v="552"/>
    <x v="1"/>
    <x v="0"/>
    <x v="10"/>
    <x v="34"/>
    <x v="22"/>
    <x v="11"/>
    <s v="No"/>
    <x v="0"/>
    <d v="2025-12-01T00:00:00"/>
    <n v="4"/>
    <n v="1"/>
    <n v="5"/>
    <x v="3"/>
    <x v="3"/>
  </r>
  <r>
    <x v="553"/>
    <x v="2"/>
    <x v="1"/>
    <x v="22"/>
    <x v="2"/>
    <x v="2"/>
    <x v="2"/>
    <s v="Yes"/>
    <x v="4"/>
    <m/>
    <m/>
    <m/>
    <m/>
    <x v="2"/>
    <x v="2"/>
  </r>
  <r>
    <x v="554"/>
    <x v="2"/>
    <x v="0"/>
    <x v="6"/>
    <x v="7"/>
    <x v="6"/>
    <x v="32"/>
    <s v="No"/>
    <x v="0"/>
    <d v="2025-11-18T00:00:00"/>
    <n v="1"/>
    <n v="3"/>
    <n v="7"/>
    <x v="0"/>
    <x v="4"/>
  </r>
  <r>
    <x v="555"/>
    <x v="0"/>
    <x v="0"/>
    <x v="3"/>
    <x v="10"/>
    <x v="9"/>
    <x v="23"/>
    <s v="No"/>
    <x v="0"/>
    <d v="2025-11-30T00:00:00"/>
    <n v="4"/>
    <n v="5"/>
    <n v="3"/>
    <x v="1"/>
    <x v="5"/>
  </r>
  <r>
    <x v="556"/>
    <x v="3"/>
    <x v="2"/>
    <x v="21"/>
    <x v="16"/>
    <x v="26"/>
    <x v="5"/>
    <s v="No"/>
    <x v="0"/>
    <d v="2025-11-21T00:00:00"/>
    <n v="3"/>
    <n v="5"/>
    <n v="2"/>
    <x v="10"/>
    <x v="3"/>
  </r>
  <r>
    <x v="557"/>
    <x v="2"/>
    <x v="0"/>
    <x v="30"/>
    <x v="6"/>
    <x v="13"/>
    <x v="38"/>
    <s v="No"/>
    <x v="0"/>
    <d v="2025-10-31T00:00:00"/>
    <n v="3"/>
    <n v="5"/>
    <n v="3"/>
    <x v="0"/>
    <x v="4"/>
  </r>
  <r>
    <x v="558"/>
    <x v="1"/>
    <x v="0"/>
    <x v="18"/>
    <x v="16"/>
    <x v="27"/>
    <x v="32"/>
    <s v="No"/>
    <x v="0"/>
    <d v="2025-11-12T00:00:00"/>
    <n v="1"/>
    <n v="4"/>
    <n v="2"/>
    <x v="5"/>
    <x v="12"/>
  </r>
  <r>
    <x v="559"/>
    <x v="1"/>
    <x v="1"/>
    <x v="25"/>
    <x v="2"/>
    <x v="2"/>
    <x v="2"/>
    <s v="Yes"/>
    <x v="2"/>
    <m/>
    <m/>
    <m/>
    <m/>
    <x v="2"/>
    <x v="2"/>
  </r>
  <r>
    <x v="560"/>
    <x v="3"/>
    <x v="0"/>
    <x v="24"/>
    <x v="17"/>
    <x v="23"/>
    <x v="19"/>
    <s v="No"/>
    <x v="0"/>
    <d v="2025-11-12T00:00:00"/>
    <n v="3"/>
    <n v="3"/>
    <n v="5"/>
    <x v="5"/>
    <x v="4"/>
  </r>
  <r>
    <x v="561"/>
    <x v="1"/>
    <x v="1"/>
    <x v="0"/>
    <x v="2"/>
    <x v="2"/>
    <x v="2"/>
    <s v="Yes"/>
    <x v="5"/>
    <m/>
    <m/>
    <m/>
    <m/>
    <x v="2"/>
    <x v="2"/>
  </r>
  <r>
    <x v="562"/>
    <x v="1"/>
    <x v="0"/>
    <x v="26"/>
    <x v="18"/>
    <x v="27"/>
    <x v="32"/>
    <s v="No"/>
    <x v="0"/>
    <d v="2025-11-15T00:00:00"/>
    <n v="1"/>
    <n v="2"/>
    <n v="2"/>
    <x v="10"/>
    <x v="10"/>
  </r>
  <r>
    <x v="563"/>
    <x v="3"/>
    <x v="2"/>
    <x v="20"/>
    <x v="34"/>
    <x v="4"/>
    <x v="23"/>
    <s v="No"/>
    <x v="0"/>
    <d v="2025-12-05T00:00:00"/>
    <n v="3"/>
    <n v="2"/>
    <n v="5"/>
    <x v="9"/>
    <x v="3"/>
  </r>
  <r>
    <x v="564"/>
    <x v="2"/>
    <x v="0"/>
    <x v="29"/>
    <x v="20"/>
    <x v="17"/>
    <x v="12"/>
    <s v="No"/>
    <x v="0"/>
    <d v="2025-11-19T00:00:00"/>
    <n v="2"/>
    <n v="3"/>
    <n v="6"/>
    <x v="8"/>
    <x v="4"/>
  </r>
  <r>
    <x v="565"/>
    <x v="2"/>
    <x v="2"/>
    <x v="24"/>
    <x v="27"/>
    <x v="30"/>
    <x v="16"/>
    <s v="No"/>
    <x v="0"/>
    <d v="2025-11-08T00:00:00"/>
    <n v="1"/>
    <n v="2"/>
    <n v="6"/>
    <x v="7"/>
    <x v="6"/>
  </r>
  <r>
    <x v="566"/>
    <x v="1"/>
    <x v="2"/>
    <x v="15"/>
    <x v="23"/>
    <x v="10"/>
    <x v="34"/>
    <s v="No"/>
    <x v="0"/>
    <d v="2025-12-02T00:00:00"/>
    <n v="5"/>
    <n v="4"/>
    <n v="2"/>
    <x v="9"/>
    <x v="4"/>
  </r>
  <r>
    <x v="567"/>
    <x v="1"/>
    <x v="1"/>
    <x v="25"/>
    <x v="2"/>
    <x v="2"/>
    <x v="2"/>
    <s v="Yes"/>
    <x v="5"/>
    <m/>
    <m/>
    <m/>
    <m/>
    <x v="2"/>
    <x v="2"/>
  </r>
  <r>
    <x v="568"/>
    <x v="2"/>
    <x v="0"/>
    <x v="4"/>
    <x v="7"/>
    <x v="24"/>
    <x v="1"/>
    <s v="No"/>
    <x v="0"/>
    <d v="2025-11-08T00:00:00"/>
    <n v="3"/>
    <n v="5"/>
    <n v="4"/>
    <x v="3"/>
    <x v="5"/>
  </r>
  <r>
    <x v="569"/>
    <x v="3"/>
    <x v="0"/>
    <x v="7"/>
    <x v="13"/>
    <x v="5"/>
    <x v="6"/>
    <s v="No"/>
    <x v="0"/>
    <d v="2025-10-25T00:00:00"/>
    <n v="2"/>
    <n v="2"/>
    <n v="7"/>
    <x v="8"/>
    <x v="4"/>
  </r>
  <r>
    <x v="570"/>
    <x v="1"/>
    <x v="2"/>
    <x v="22"/>
    <x v="25"/>
    <x v="15"/>
    <x v="13"/>
    <s v="No"/>
    <x v="0"/>
    <d v="2025-12-02T00:00:00"/>
    <n v="1"/>
    <n v="4"/>
    <n v="7"/>
    <x v="3"/>
    <x v="5"/>
  </r>
  <r>
    <x v="571"/>
    <x v="0"/>
    <x v="0"/>
    <x v="0"/>
    <x v="9"/>
    <x v="0"/>
    <x v="18"/>
    <s v="No"/>
    <x v="0"/>
    <d v="2025-11-26T00:00:00"/>
    <n v="3"/>
    <n v="5"/>
    <n v="7"/>
    <x v="0"/>
    <x v="1"/>
  </r>
  <r>
    <x v="572"/>
    <x v="3"/>
    <x v="2"/>
    <x v="12"/>
    <x v="28"/>
    <x v="31"/>
    <x v="4"/>
    <s v="No"/>
    <x v="0"/>
    <d v="2025-12-04T00:00:00"/>
    <n v="5"/>
    <n v="3"/>
    <n v="7"/>
    <x v="10"/>
    <x v="1"/>
  </r>
  <r>
    <x v="573"/>
    <x v="1"/>
    <x v="2"/>
    <x v="3"/>
    <x v="4"/>
    <x v="22"/>
    <x v="13"/>
    <s v="No"/>
    <x v="0"/>
    <d v="2025-12-06T00:00:00"/>
    <n v="3"/>
    <n v="3"/>
    <n v="3"/>
    <x v="11"/>
    <x v="6"/>
  </r>
  <r>
    <x v="574"/>
    <x v="1"/>
    <x v="0"/>
    <x v="7"/>
    <x v="13"/>
    <x v="13"/>
    <x v="28"/>
    <s v="No"/>
    <x v="0"/>
    <d v="2025-11-10T00:00:00"/>
    <n v="2"/>
    <n v="4"/>
    <n v="2"/>
    <x v="6"/>
    <x v="9"/>
  </r>
  <r>
    <x v="575"/>
    <x v="0"/>
    <x v="2"/>
    <x v="11"/>
    <x v="22"/>
    <x v="16"/>
    <x v="7"/>
    <s v="No"/>
    <x v="0"/>
    <d v="2025-11-23T00:00:00"/>
    <n v="4"/>
    <n v="4"/>
    <n v="2"/>
    <x v="4"/>
    <x v="3"/>
  </r>
  <r>
    <x v="576"/>
    <x v="0"/>
    <x v="0"/>
    <x v="14"/>
    <x v="21"/>
    <x v="23"/>
    <x v="12"/>
    <s v="No"/>
    <x v="0"/>
    <d v="2025-11-09T00:00:00"/>
    <n v="4"/>
    <n v="4"/>
    <n v="7"/>
    <x v="11"/>
    <x v="1"/>
  </r>
  <r>
    <x v="577"/>
    <x v="2"/>
    <x v="2"/>
    <x v="12"/>
    <x v="0"/>
    <x v="18"/>
    <x v="9"/>
    <s v="No"/>
    <x v="0"/>
    <d v="2025-11-18T00:00:00"/>
    <n v="2"/>
    <n v="2"/>
    <n v="3"/>
    <x v="9"/>
    <x v="12"/>
  </r>
  <r>
    <x v="578"/>
    <x v="3"/>
    <x v="2"/>
    <x v="29"/>
    <x v="20"/>
    <x v="17"/>
    <x v="31"/>
    <s v="No"/>
    <x v="0"/>
    <d v="2025-11-04T00:00:00"/>
    <n v="2"/>
    <n v="3"/>
    <n v="7"/>
    <x v="5"/>
    <x v="5"/>
  </r>
  <r>
    <x v="579"/>
    <x v="3"/>
    <x v="2"/>
    <x v="10"/>
    <x v="11"/>
    <x v="12"/>
    <x v="0"/>
    <s v="No"/>
    <x v="0"/>
    <d v="2025-11-28T00:00:00"/>
    <n v="1"/>
    <n v="2"/>
    <n v="2"/>
    <x v="3"/>
    <x v="10"/>
  </r>
  <r>
    <x v="580"/>
    <x v="2"/>
    <x v="0"/>
    <x v="2"/>
    <x v="6"/>
    <x v="36"/>
    <x v="30"/>
    <s v="No"/>
    <x v="0"/>
    <d v="2025-10-22T00:00:00"/>
    <n v="4"/>
    <n v="2"/>
    <n v="3"/>
    <x v="5"/>
    <x v="6"/>
  </r>
  <r>
    <x v="581"/>
    <x v="3"/>
    <x v="0"/>
    <x v="30"/>
    <x v="33"/>
    <x v="5"/>
    <x v="38"/>
    <s v="No"/>
    <x v="0"/>
    <d v="2025-11-02T00:00:00"/>
    <n v="1"/>
    <n v="5"/>
    <n v="5"/>
    <x v="9"/>
    <x v="4"/>
  </r>
  <r>
    <x v="582"/>
    <x v="3"/>
    <x v="0"/>
    <x v="1"/>
    <x v="1"/>
    <x v="11"/>
    <x v="31"/>
    <s v="No"/>
    <x v="0"/>
    <d v="2025-11-09T00:00:00"/>
    <n v="3"/>
    <n v="4"/>
    <n v="4"/>
    <x v="10"/>
    <x v="4"/>
  </r>
  <r>
    <x v="583"/>
    <x v="3"/>
    <x v="0"/>
    <x v="19"/>
    <x v="28"/>
    <x v="15"/>
    <x v="18"/>
    <s v="No"/>
    <x v="0"/>
    <d v="2025-12-05T00:00:00"/>
    <n v="2"/>
    <n v="2"/>
    <n v="6"/>
    <x v="7"/>
    <x v="3"/>
  </r>
  <r>
    <x v="584"/>
    <x v="3"/>
    <x v="0"/>
    <x v="30"/>
    <x v="33"/>
    <x v="5"/>
    <x v="25"/>
    <s v="Yes"/>
    <x v="3"/>
    <m/>
    <n v="1"/>
    <n v="5"/>
    <n v="6"/>
    <x v="2"/>
    <x v="5"/>
  </r>
  <r>
    <x v="585"/>
    <x v="3"/>
    <x v="2"/>
    <x v="29"/>
    <x v="20"/>
    <x v="21"/>
    <x v="22"/>
    <s v="No"/>
    <x v="0"/>
    <d v="2025-11-09T00:00:00"/>
    <n v="2"/>
    <n v="1"/>
    <n v="7"/>
    <x v="7"/>
    <x v="3"/>
  </r>
  <r>
    <x v="586"/>
    <x v="0"/>
    <x v="0"/>
    <x v="9"/>
    <x v="19"/>
    <x v="11"/>
    <x v="31"/>
    <s v="No"/>
    <x v="0"/>
    <d v="2025-11-09T00:00:00"/>
    <n v="1"/>
    <n v="5"/>
    <n v="4"/>
    <x v="1"/>
    <x v="3"/>
  </r>
  <r>
    <x v="587"/>
    <x v="3"/>
    <x v="1"/>
    <x v="9"/>
    <x v="2"/>
    <x v="2"/>
    <x v="2"/>
    <s v="Yes"/>
    <x v="3"/>
    <m/>
    <m/>
    <m/>
    <m/>
    <x v="2"/>
    <x v="2"/>
  </r>
  <r>
    <x v="588"/>
    <x v="0"/>
    <x v="0"/>
    <x v="4"/>
    <x v="7"/>
    <x v="11"/>
    <x v="12"/>
    <s v="Yes"/>
    <x v="5"/>
    <m/>
    <n v="3"/>
    <n v="1"/>
    <n v="3"/>
    <x v="2"/>
    <x v="12"/>
  </r>
  <r>
    <x v="589"/>
    <x v="3"/>
    <x v="0"/>
    <x v="13"/>
    <x v="30"/>
    <x v="37"/>
    <x v="38"/>
    <s v="No"/>
    <x v="0"/>
    <d v="2025-10-31T00:00:00"/>
    <n v="3"/>
    <n v="1"/>
    <n v="4"/>
    <x v="3"/>
    <x v="9"/>
  </r>
  <r>
    <x v="590"/>
    <x v="2"/>
    <x v="1"/>
    <x v="24"/>
    <x v="2"/>
    <x v="2"/>
    <x v="2"/>
    <s v="Yes"/>
    <x v="4"/>
    <m/>
    <m/>
    <m/>
    <m/>
    <x v="2"/>
    <x v="2"/>
  </r>
  <r>
    <x v="591"/>
    <x v="1"/>
    <x v="0"/>
    <x v="16"/>
    <x v="31"/>
    <x v="16"/>
    <x v="1"/>
    <s v="No"/>
    <x v="0"/>
    <d v="2025-11-25T00:00:00"/>
    <n v="5"/>
    <n v="1"/>
    <n v="3"/>
    <x v="6"/>
    <x v="6"/>
  </r>
  <r>
    <x v="592"/>
    <x v="0"/>
    <x v="2"/>
    <x v="4"/>
    <x v="3"/>
    <x v="1"/>
    <x v="1"/>
    <s v="Yes"/>
    <x v="1"/>
    <m/>
    <n v="4"/>
    <n v="1"/>
    <n v="7"/>
    <x v="2"/>
    <x v="5"/>
  </r>
  <r>
    <x v="593"/>
    <x v="3"/>
    <x v="0"/>
    <x v="23"/>
    <x v="9"/>
    <x v="8"/>
    <x v="17"/>
    <s v="No"/>
    <x v="0"/>
    <d v="2025-12-01T00:00:00"/>
    <n v="5"/>
    <n v="4"/>
    <n v="4"/>
    <x v="11"/>
    <x v="0"/>
  </r>
  <r>
    <x v="594"/>
    <x v="2"/>
    <x v="0"/>
    <x v="26"/>
    <x v="25"/>
    <x v="8"/>
    <x v="34"/>
    <s v="No"/>
    <x v="0"/>
    <d v="2025-11-23T00:00:00"/>
    <n v="4"/>
    <n v="2"/>
    <n v="7"/>
    <x v="0"/>
    <x v="0"/>
  </r>
  <r>
    <x v="595"/>
    <x v="1"/>
    <x v="0"/>
    <x v="19"/>
    <x v="23"/>
    <x v="31"/>
    <x v="26"/>
    <s v="No"/>
    <x v="0"/>
    <d v="2025-11-18T00:00:00"/>
    <n v="3"/>
    <n v="2"/>
    <n v="2"/>
    <x v="1"/>
    <x v="12"/>
  </r>
  <r>
    <x v="596"/>
    <x v="0"/>
    <x v="0"/>
    <x v="14"/>
    <x v="15"/>
    <x v="5"/>
    <x v="30"/>
    <s v="Yes"/>
    <x v="1"/>
    <m/>
    <n v="1"/>
    <n v="1"/>
    <n v="2"/>
    <x v="2"/>
    <x v="13"/>
  </r>
  <r>
    <x v="597"/>
    <x v="1"/>
    <x v="0"/>
    <x v="14"/>
    <x v="30"/>
    <x v="13"/>
    <x v="25"/>
    <s v="No"/>
    <x v="0"/>
    <d v="2025-10-28T00:00:00"/>
    <n v="2"/>
    <n v="2"/>
    <n v="4"/>
    <x v="9"/>
    <x v="9"/>
  </r>
  <r>
    <x v="598"/>
    <x v="2"/>
    <x v="0"/>
    <x v="14"/>
    <x v="27"/>
    <x v="13"/>
    <x v="6"/>
    <s v="No"/>
    <x v="0"/>
    <d v="2025-11-10T00:00:00"/>
    <n v="3"/>
    <n v="1"/>
    <n v="5"/>
    <x v="10"/>
    <x v="6"/>
  </r>
  <r>
    <x v="599"/>
    <x v="0"/>
    <x v="0"/>
    <x v="25"/>
    <x v="13"/>
    <x v="5"/>
    <x v="28"/>
    <s v="No"/>
    <x v="0"/>
    <d v="2025-10-29T00:00:00"/>
    <n v="3"/>
    <n v="2"/>
    <n v="4"/>
    <x v="8"/>
    <x v="6"/>
  </r>
  <r>
    <x v="600"/>
    <x v="1"/>
    <x v="1"/>
    <x v="18"/>
    <x v="2"/>
    <x v="2"/>
    <x v="2"/>
    <s v="Yes"/>
    <x v="5"/>
    <m/>
    <m/>
    <m/>
    <m/>
    <x v="2"/>
    <x v="2"/>
  </r>
  <r>
    <x v="601"/>
    <x v="3"/>
    <x v="0"/>
    <x v="3"/>
    <x v="23"/>
    <x v="22"/>
    <x v="23"/>
    <s v="No"/>
    <x v="0"/>
    <d v="2025-11-20T00:00:00"/>
    <n v="1"/>
    <n v="5"/>
    <n v="6"/>
    <x v="9"/>
    <x v="5"/>
  </r>
  <r>
    <x v="602"/>
    <x v="0"/>
    <x v="2"/>
    <x v="27"/>
    <x v="24"/>
    <x v="6"/>
    <x v="31"/>
    <s v="No"/>
    <x v="0"/>
    <d v="2025-11-20T00:00:00"/>
    <n v="3"/>
    <n v="4"/>
    <n v="2"/>
    <x v="1"/>
    <x v="6"/>
  </r>
  <r>
    <x v="603"/>
    <x v="1"/>
    <x v="0"/>
    <x v="18"/>
    <x v="18"/>
    <x v="26"/>
    <x v="9"/>
    <s v="No"/>
    <x v="0"/>
    <d v="2025-11-21T00:00:00"/>
    <n v="3"/>
    <n v="3"/>
    <n v="4"/>
    <x v="5"/>
    <x v="3"/>
  </r>
  <r>
    <x v="604"/>
    <x v="2"/>
    <x v="2"/>
    <x v="26"/>
    <x v="18"/>
    <x v="28"/>
    <x v="24"/>
    <s v="No"/>
    <x v="0"/>
    <d v="2025-11-20T00:00:00"/>
    <n v="1"/>
    <n v="1"/>
    <n v="7"/>
    <x v="3"/>
    <x v="6"/>
  </r>
  <r>
    <x v="605"/>
    <x v="2"/>
    <x v="0"/>
    <x v="24"/>
    <x v="17"/>
    <x v="20"/>
    <x v="31"/>
    <s v="No"/>
    <x v="0"/>
    <d v="2025-11-05T00:00:00"/>
    <n v="3"/>
    <n v="5"/>
    <n v="6"/>
    <x v="9"/>
    <x v="8"/>
  </r>
  <r>
    <x v="606"/>
    <x v="0"/>
    <x v="0"/>
    <x v="6"/>
    <x v="5"/>
    <x v="27"/>
    <x v="17"/>
    <s v="No"/>
    <x v="0"/>
    <d v="2025-11-11T00:00:00"/>
    <n v="4"/>
    <n v="5"/>
    <n v="7"/>
    <x v="0"/>
    <x v="11"/>
  </r>
  <r>
    <x v="607"/>
    <x v="1"/>
    <x v="2"/>
    <x v="20"/>
    <x v="35"/>
    <x v="38"/>
    <x v="23"/>
    <s v="No"/>
    <x v="0"/>
    <d v="2025-12-09T00:00:00"/>
    <n v="4"/>
    <n v="4"/>
    <n v="2"/>
    <x v="8"/>
    <x v="3"/>
  </r>
  <r>
    <x v="608"/>
    <x v="0"/>
    <x v="0"/>
    <x v="23"/>
    <x v="18"/>
    <x v="18"/>
    <x v="17"/>
    <s v="No"/>
    <x v="0"/>
    <d v="2025-11-26T00:00:00"/>
    <n v="4"/>
    <n v="4"/>
    <n v="5"/>
    <x v="6"/>
    <x v="0"/>
  </r>
  <r>
    <x v="609"/>
    <x v="0"/>
    <x v="2"/>
    <x v="13"/>
    <x v="27"/>
    <x v="13"/>
    <x v="6"/>
    <s v="No"/>
    <x v="0"/>
    <d v="2025-11-03T00:00:00"/>
    <n v="4"/>
    <n v="1"/>
    <n v="5"/>
    <x v="10"/>
    <x v="3"/>
  </r>
  <r>
    <x v="610"/>
    <x v="1"/>
    <x v="2"/>
    <x v="24"/>
    <x v="17"/>
    <x v="14"/>
    <x v="27"/>
    <s v="No"/>
    <x v="0"/>
    <d v="2025-11-05T00:00:00"/>
    <n v="3"/>
    <n v="1"/>
    <n v="6"/>
    <x v="10"/>
    <x v="3"/>
  </r>
  <r>
    <x v="611"/>
    <x v="1"/>
    <x v="0"/>
    <x v="11"/>
    <x v="7"/>
    <x v="24"/>
    <x v="1"/>
    <s v="No"/>
    <x v="0"/>
    <d v="2025-11-18T00:00:00"/>
    <n v="2"/>
    <n v="5"/>
    <n v="4"/>
    <x v="0"/>
    <x v="4"/>
  </r>
  <r>
    <x v="612"/>
    <x v="3"/>
    <x v="0"/>
    <x v="0"/>
    <x v="0"/>
    <x v="15"/>
    <x v="17"/>
    <s v="No"/>
    <x v="0"/>
    <d v="2025-11-23T00:00:00"/>
    <n v="4"/>
    <n v="5"/>
    <n v="2"/>
    <x v="1"/>
    <x v="4"/>
  </r>
  <r>
    <x v="613"/>
    <x v="1"/>
    <x v="1"/>
    <x v="17"/>
    <x v="2"/>
    <x v="2"/>
    <x v="2"/>
    <s v="Yes"/>
    <x v="5"/>
    <m/>
    <m/>
    <m/>
    <m/>
    <x v="2"/>
    <x v="2"/>
  </r>
  <r>
    <x v="614"/>
    <x v="2"/>
    <x v="0"/>
    <x v="11"/>
    <x v="22"/>
    <x v="16"/>
    <x v="5"/>
    <s v="No"/>
    <x v="0"/>
    <d v="2025-11-19T00:00:00"/>
    <n v="4"/>
    <n v="4"/>
    <n v="5"/>
    <x v="5"/>
    <x v="0"/>
  </r>
  <r>
    <x v="615"/>
    <x v="0"/>
    <x v="0"/>
    <x v="17"/>
    <x v="20"/>
    <x v="21"/>
    <x v="19"/>
    <s v="No"/>
    <x v="0"/>
    <d v="2025-10-30T00:00:00"/>
    <n v="3"/>
    <n v="1"/>
    <n v="6"/>
    <x v="5"/>
    <x v="3"/>
  </r>
  <r>
    <x v="616"/>
    <x v="0"/>
    <x v="0"/>
    <x v="26"/>
    <x v="12"/>
    <x v="8"/>
    <x v="24"/>
    <s v="No"/>
    <x v="0"/>
    <d v="2025-11-28T00:00:00"/>
    <n v="5"/>
    <n v="1"/>
    <n v="3"/>
    <x v="9"/>
    <x v="6"/>
  </r>
  <r>
    <x v="617"/>
    <x v="2"/>
    <x v="2"/>
    <x v="2"/>
    <x v="26"/>
    <x v="37"/>
    <x v="38"/>
    <s v="No"/>
    <x v="0"/>
    <d v="2025-11-10T00:00:00"/>
    <n v="3"/>
    <n v="5"/>
    <n v="4"/>
    <x v="8"/>
    <x v="5"/>
  </r>
  <r>
    <x v="618"/>
    <x v="1"/>
    <x v="1"/>
    <x v="10"/>
    <x v="2"/>
    <x v="2"/>
    <x v="2"/>
    <s v="Yes"/>
    <x v="5"/>
    <m/>
    <m/>
    <m/>
    <m/>
    <x v="2"/>
    <x v="2"/>
  </r>
  <r>
    <x v="619"/>
    <x v="2"/>
    <x v="0"/>
    <x v="19"/>
    <x v="12"/>
    <x v="15"/>
    <x v="26"/>
    <s v="Yes"/>
    <x v="4"/>
    <m/>
    <n v="1"/>
    <n v="3"/>
    <n v="3"/>
    <x v="2"/>
    <x v="12"/>
  </r>
  <r>
    <x v="620"/>
    <x v="2"/>
    <x v="0"/>
    <x v="11"/>
    <x v="22"/>
    <x v="28"/>
    <x v="5"/>
    <s v="Yes"/>
    <x v="3"/>
    <m/>
    <n v="4"/>
    <n v="5"/>
    <n v="4"/>
    <x v="2"/>
    <x v="0"/>
  </r>
  <r>
    <x v="621"/>
    <x v="3"/>
    <x v="2"/>
    <x v="10"/>
    <x v="11"/>
    <x v="10"/>
    <x v="34"/>
    <s v="No"/>
    <x v="0"/>
    <d v="2025-11-20T00:00:00"/>
    <n v="1"/>
    <n v="3"/>
    <n v="2"/>
    <x v="5"/>
    <x v="7"/>
  </r>
  <r>
    <x v="622"/>
    <x v="2"/>
    <x v="0"/>
    <x v="29"/>
    <x v="1"/>
    <x v="17"/>
    <x v="12"/>
    <s v="No"/>
    <x v="0"/>
    <d v="2025-11-10T00:00:00"/>
    <n v="4"/>
    <n v="1"/>
    <n v="6"/>
    <x v="3"/>
    <x v="4"/>
  </r>
  <r>
    <x v="623"/>
    <x v="0"/>
    <x v="0"/>
    <x v="26"/>
    <x v="12"/>
    <x v="12"/>
    <x v="11"/>
    <s v="No"/>
    <x v="0"/>
    <d v="2025-11-25T00:00:00"/>
    <n v="5"/>
    <n v="5"/>
    <n v="7"/>
    <x v="1"/>
    <x v="14"/>
  </r>
  <r>
    <x v="624"/>
    <x v="2"/>
    <x v="1"/>
    <x v="21"/>
    <x v="2"/>
    <x v="2"/>
    <x v="2"/>
    <s v="Yes"/>
    <x v="5"/>
    <m/>
    <m/>
    <m/>
    <m/>
    <x v="2"/>
    <x v="2"/>
  </r>
  <r>
    <x v="625"/>
    <x v="0"/>
    <x v="2"/>
    <x v="14"/>
    <x v="30"/>
    <x v="14"/>
    <x v="19"/>
    <s v="No"/>
    <x v="0"/>
    <d v="2025-11-15T00:00:00"/>
    <n v="2"/>
    <n v="4"/>
    <n v="7"/>
    <x v="6"/>
    <x v="0"/>
  </r>
  <r>
    <x v="626"/>
    <x v="0"/>
    <x v="0"/>
    <x v="25"/>
    <x v="30"/>
    <x v="13"/>
    <x v="28"/>
    <s v="No"/>
    <x v="0"/>
    <d v="2025-11-11T00:00:00"/>
    <n v="5"/>
    <n v="2"/>
    <n v="2"/>
    <x v="10"/>
    <x v="6"/>
  </r>
  <r>
    <x v="627"/>
    <x v="0"/>
    <x v="1"/>
    <x v="11"/>
    <x v="2"/>
    <x v="2"/>
    <x v="2"/>
    <s v="Yes"/>
    <x v="5"/>
    <m/>
    <m/>
    <m/>
    <m/>
    <x v="2"/>
    <x v="2"/>
  </r>
  <r>
    <x v="628"/>
    <x v="1"/>
    <x v="0"/>
    <x v="8"/>
    <x v="35"/>
    <x v="4"/>
    <x v="4"/>
    <s v="Yes"/>
    <x v="2"/>
    <m/>
    <n v="3"/>
    <n v="1"/>
    <n v="3"/>
    <x v="2"/>
    <x v="12"/>
  </r>
  <r>
    <x v="629"/>
    <x v="3"/>
    <x v="0"/>
    <x v="9"/>
    <x v="14"/>
    <x v="20"/>
    <x v="15"/>
    <s v="No"/>
    <x v="0"/>
    <d v="2025-11-17T00:00:00"/>
    <n v="3"/>
    <n v="1"/>
    <n v="7"/>
    <x v="9"/>
    <x v="4"/>
  </r>
  <r>
    <x v="630"/>
    <x v="0"/>
    <x v="2"/>
    <x v="23"/>
    <x v="5"/>
    <x v="27"/>
    <x v="24"/>
    <s v="No"/>
    <x v="0"/>
    <d v="2025-11-21T00:00:00"/>
    <n v="1"/>
    <n v="5"/>
    <n v="6"/>
    <x v="10"/>
    <x v="5"/>
  </r>
  <r>
    <x v="631"/>
    <x v="0"/>
    <x v="1"/>
    <x v="29"/>
    <x v="2"/>
    <x v="2"/>
    <x v="2"/>
    <s v="Yes"/>
    <x v="4"/>
    <m/>
    <m/>
    <m/>
    <m/>
    <x v="2"/>
    <x v="2"/>
  </r>
  <r>
    <x v="632"/>
    <x v="1"/>
    <x v="2"/>
    <x v="0"/>
    <x v="31"/>
    <x v="28"/>
    <x v="1"/>
    <s v="No"/>
    <x v="0"/>
    <d v="2025-11-21T00:00:00"/>
    <n v="1"/>
    <n v="2"/>
    <n v="2"/>
    <x v="3"/>
    <x v="10"/>
  </r>
  <r>
    <x v="633"/>
    <x v="0"/>
    <x v="0"/>
    <x v="8"/>
    <x v="35"/>
    <x v="7"/>
    <x v="4"/>
    <s v="No"/>
    <x v="0"/>
    <d v="2025-11-26T00:00:00"/>
    <n v="3"/>
    <n v="2"/>
    <n v="2"/>
    <x v="9"/>
    <x v="12"/>
  </r>
  <r>
    <x v="634"/>
    <x v="2"/>
    <x v="0"/>
    <x v="4"/>
    <x v="7"/>
    <x v="1"/>
    <x v="12"/>
    <s v="No"/>
    <x v="0"/>
    <d v="2025-11-05T00:00:00"/>
    <n v="3"/>
    <n v="2"/>
    <n v="2"/>
    <x v="7"/>
    <x v="12"/>
  </r>
  <r>
    <x v="635"/>
    <x v="2"/>
    <x v="2"/>
    <x v="12"/>
    <x v="25"/>
    <x v="31"/>
    <x v="0"/>
    <s v="Yes"/>
    <x v="5"/>
    <m/>
    <n v="3"/>
    <n v="5"/>
    <n v="3"/>
    <x v="2"/>
    <x v="4"/>
  </r>
  <r>
    <x v="636"/>
    <x v="3"/>
    <x v="0"/>
    <x v="17"/>
    <x v="19"/>
    <x v="11"/>
    <x v="22"/>
    <s v="No"/>
    <x v="0"/>
    <d v="2025-11-16T00:00:00"/>
    <n v="4"/>
    <n v="5"/>
    <n v="2"/>
    <x v="9"/>
    <x v="4"/>
  </r>
  <r>
    <x v="637"/>
    <x v="0"/>
    <x v="2"/>
    <x v="11"/>
    <x v="5"/>
    <x v="16"/>
    <x v="5"/>
    <s v="No"/>
    <x v="0"/>
    <d v="2025-11-12T00:00:00"/>
    <n v="5"/>
    <n v="3"/>
    <n v="5"/>
    <x v="0"/>
    <x v="0"/>
  </r>
  <r>
    <x v="638"/>
    <x v="1"/>
    <x v="2"/>
    <x v="3"/>
    <x v="10"/>
    <x v="4"/>
    <x v="11"/>
    <s v="No"/>
    <x v="0"/>
    <d v="2025-11-27T00:00:00"/>
    <n v="4"/>
    <n v="3"/>
    <n v="4"/>
    <x v="10"/>
    <x v="4"/>
  </r>
  <r>
    <x v="639"/>
    <x v="2"/>
    <x v="0"/>
    <x v="29"/>
    <x v="20"/>
    <x v="17"/>
    <x v="22"/>
    <s v="No"/>
    <x v="0"/>
    <d v="2025-11-02T00:00:00"/>
    <n v="2"/>
    <n v="3"/>
    <n v="5"/>
    <x v="1"/>
    <x v="3"/>
  </r>
  <r>
    <x v="640"/>
    <x v="1"/>
    <x v="1"/>
    <x v="28"/>
    <x v="2"/>
    <x v="2"/>
    <x v="2"/>
    <s v="Yes"/>
    <x v="2"/>
    <m/>
    <m/>
    <m/>
    <m/>
    <x v="2"/>
    <x v="2"/>
  </r>
  <r>
    <x v="641"/>
    <x v="1"/>
    <x v="0"/>
    <x v="27"/>
    <x v="7"/>
    <x v="3"/>
    <x v="3"/>
    <s v="No"/>
    <x v="0"/>
    <d v="2025-11-18T00:00:00"/>
    <n v="4"/>
    <n v="4"/>
    <n v="3"/>
    <x v="3"/>
    <x v="4"/>
  </r>
  <r>
    <x v="642"/>
    <x v="2"/>
    <x v="0"/>
    <x v="3"/>
    <x v="4"/>
    <x v="12"/>
    <x v="34"/>
    <s v="No"/>
    <x v="0"/>
    <d v="2025-11-18T00:00:00"/>
    <n v="3"/>
    <n v="1"/>
    <n v="3"/>
    <x v="8"/>
    <x v="12"/>
  </r>
  <r>
    <x v="643"/>
    <x v="1"/>
    <x v="2"/>
    <x v="6"/>
    <x v="5"/>
    <x v="16"/>
    <x v="7"/>
    <s v="No"/>
    <x v="0"/>
    <d v="2025-11-12T00:00:00"/>
    <n v="4"/>
    <n v="3"/>
    <n v="2"/>
    <x v="8"/>
    <x v="6"/>
  </r>
  <r>
    <x v="644"/>
    <x v="2"/>
    <x v="2"/>
    <x v="7"/>
    <x v="6"/>
    <x v="37"/>
    <x v="6"/>
    <s v="No"/>
    <x v="0"/>
    <d v="2025-11-11T00:00:00"/>
    <n v="1"/>
    <n v="4"/>
    <n v="6"/>
    <x v="10"/>
    <x v="4"/>
  </r>
  <r>
    <x v="645"/>
    <x v="1"/>
    <x v="2"/>
    <x v="24"/>
    <x v="17"/>
    <x v="17"/>
    <x v="31"/>
    <s v="No"/>
    <x v="0"/>
    <d v="2025-11-06T00:00:00"/>
    <n v="3"/>
    <n v="4"/>
    <n v="7"/>
    <x v="6"/>
    <x v="8"/>
  </r>
  <r>
    <x v="646"/>
    <x v="2"/>
    <x v="2"/>
    <x v="27"/>
    <x v="3"/>
    <x v="16"/>
    <x v="9"/>
    <s v="No"/>
    <x v="0"/>
    <d v="2025-11-19T00:00:00"/>
    <n v="5"/>
    <n v="5"/>
    <n v="7"/>
    <x v="5"/>
    <x v="14"/>
  </r>
  <r>
    <x v="647"/>
    <x v="0"/>
    <x v="0"/>
    <x v="23"/>
    <x v="18"/>
    <x v="27"/>
    <x v="17"/>
    <s v="No"/>
    <x v="0"/>
    <d v="2025-12-01T00:00:00"/>
    <n v="4"/>
    <n v="2"/>
    <n v="7"/>
    <x v="7"/>
    <x v="0"/>
  </r>
  <r>
    <x v="648"/>
    <x v="3"/>
    <x v="0"/>
    <x v="9"/>
    <x v="14"/>
    <x v="25"/>
    <x v="31"/>
    <s v="No"/>
    <x v="0"/>
    <d v="2025-11-03T00:00:00"/>
    <n v="3"/>
    <n v="2"/>
    <n v="5"/>
    <x v="6"/>
    <x v="3"/>
  </r>
  <r>
    <x v="649"/>
    <x v="2"/>
    <x v="0"/>
    <x v="23"/>
    <x v="5"/>
    <x v="16"/>
    <x v="1"/>
    <s v="Yes"/>
    <x v="1"/>
    <m/>
    <n v="1"/>
    <n v="3"/>
    <n v="3"/>
    <x v="2"/>
    <x v="12"/>
  </r>
  <r>
    <x v="650"/>
    <x v="2"/>
    <x v="2"/>
    <x v="29"/>
    <x v="17"/>
    <x v="14"/>
    <x v="14"/>
    <s v="Yes"/>
    <x v="5"/>
    <m/>
    <n v="1"/>
    <n v="1"/>
    <n v="4"/>
    <x v="2"/>
    <x v="7"/>
  </r>
  <r>
    <x v="651"/>
    <x v="3"/>
    <x v="0"/>
    <x v="12"/>
    <x v="12"/>
    <x v="8"/>
    <x v="24"/>
    <s v="Yes"/>
    <x v="5"/>
    <m/>
    <n v="4"/>
    <n v="1"/>
    <n v="3"/>
    <x v="2"/>
    <x v="9"/>
  </r>
  <r>
    <x v="652"/>
    <x v="2"/>
    <x v="1"/>
    <x v="29"/>
    <x v="2"/>
    <x v="2"/>
    <x v="2"/>
    <s v="Yes"/>
    <x v="2"/>
    <m/>
    <m/>
    <m/>
    <m/>
    <x v="2"/>
    <x v="2"/>
  </r>
  <r>
    <x v="653"/>
    <x v="2"/>
    <x v="2"/>
    <x v="2"/>
    <x v="26"/>
    <x v="32"/>
    <x v="30"/>
    <s v="No"/>
    <x v="0"/>
    <d v="2025-10-27T00:00:00"/>
    <n v="3"/>
    <n v="1"/>
    <n v="5"/>
    <x v="9"/>
    <x v="6"/>
  </r>
  <r>
    <x v="654"/>
    <x v="1"/>
    <x v="1"/>
    <x v="5"/>
    <x v="2"/>
    <x v="2"/>
    <x v="2"/>
    <s v="Yes"/>
    <x v="4"/>
    <m/>
    <m/>
    <m/>
    <m/>
    <x v="2"/>
    <x v="2"/>
  </r>
  <r>
    <x v="655"/>
    <x v="3"/>
    <x v="1"/>
    <x v="26"/>
    <x v="2"/>
    <x v="2"/>
    <x v="2"/>
    <s v="Yes"/>
    <x v="5"/>
    <m/>
    <m/>
    <m/>
    <m/>
    <x v="2"/>
    <x v="2"/>
  </r>
  <r>
    <x v="656"/>
    <x v="0"/>
    <x v="2"/>
    <x v="27"/>
    <x v="3"/>
    <x v="24"/>
    <x v="21"/>
    <s v="No"/>
    <x v="0"/>
    <d v="2025-11-19T00:00:00"/>
    <n v="5"/>
    <n v="4"/>
    <n v="7"/>
    <x v="0"/>
    <x v="11"/>
  </r>
  <r>
    <x v="657"/>
    <x v="2"/>
    <x v="0"/>
    <x v="17"/>
    <x v="17"/>
    <x v="17"/>
    <x v="19"/>
    <s v="Yes"/>
    <x v="1"/>
    <m/>
    <n v="2"/>
    <n v="4"/>
    <n v="4"/>
    <x v="2"/>
    <x v="3"/>
  </r>
  <r>
    <x v="658"/>
    <x v="3"/>
    <x v="0"/>
    <x v="2"/>
    <x v="29"/>
    <x v="29"/>
    <x v="30"/>
    <s v="Yes"/>
    <x v="5"/>
    <m/>
    <n v="1"/>
    <n v="4"/>
    <n v="4"/>
    <x v="2"/>
    <x v="6"/>
  </r>
  <r>
    <x v="659"/>
    <x v="1"/>
    <x v="0"/>
    <x v="23"/>
    <x v="16"/>
    <x v="26"/>
    <x v="5"/>
    <s v="No"/>
    <x v="0"/>
    <d v="2025-11-14T00:00:00"/>
    <n v="2"/>
    <n v="5"/>
    <n v="2"/>
    <x v="0"/>
    <x v="6"/>
  </r>
  <r>
    <x v="660"/>
    <x v="0"/>
    <x v="0"/>
    <x v="3"/>
    <x v="34"/>
    <x v="9"/>
    <x v="39"/>
    <s v="No"/>
    <x v="0"/>
    <d v="2025-12-01T00:00:00"/>
    <n v="5"/>
    <n v="4"/>
    <n v="6"/>
    <x v="10"/>
    <x v="1"/>
  </r>
  <r>
    <x v="661"/>
    <x v="3"/>
    <x v="0"/>
    <x v="26"/>
    <x v="25"/>
    <x v="18"/>
    <x v="24"/>
    <s v="No"/>
    <x v="0"/>
    <d v="2025-11-23T00:00:00"/>
    <n v="4"/>
    <n v="1"/>
    <n v="4"/>
    <x v="3"/>
    <x v="6"/>
  </r>
  <r>
    <x v="662"/>
    <x v="0"/>
    <x v="0"/>
    <x v="22"/>
    <x v="25"/>
    <x v="18"/>
    <x v="21"/>
    <s v="No"/>
    <x v="0"/>
    <d v="2025-11-18T00:00:00"/>
    <n v="1"/>
    <n v="1"/>
    <n v="2"/>
    <x v="7"/>
    <x v="13"/>
  </r>
  <r>
    <x v="663"/>
    <x v="0"/>
    <x v="0"/>
    <x v="15"/>
    <x v="25"/>
    <x v="8"/>
    <x v="0"/>
    <s v="No"/>
    <x v="0"/>
    <d v="2025-11-24T00:00:00"/>
    <n v="2"/>
    <n v="2"/>
    <n v="6"/>
    <x v="8"/>
    <x v="3"/>
  </r>
  <r>
    <x v="664"/>
    <x v="0"/>
    <x v="0"/>
    <x v="30"/>
    <x v="33"/>
    <x v="34"/>
    <x v="42"/>
    <s v="No"/>
    <x v="0"/>
    <d v="2025-10-29T00:00:00"/>
    <n v="1"/>
    <n v="1"/>
    <n v="7"/>
    <x v="3"/>
    <x v="6"/>
  </r>
  <r>
    <x v="665"/>
    <x v="2"/>
    <x v="0"/>
    <x v="20"/>
    <x v="10"/>
    <x v="7"/>
    <x v="4"/>
    <s v="No"/>
    <x v="0"/>
    <d v="2025-12-05T00:00:00"/>
    <n v="2"/>
    <n v="4"/>
    <n v="2"/>
    <x v="0"/>
    <x v="9"/>
  </r>
  <r>
    <x v="666"/>
    <x v="2"/>
    <x v="0"/>
    <x v="18"/>
    <x v="18"/>
    <x v="18"/>
    <x v="9"/>
    <s v="No"/>
    <x v="0"/>
    <d v="2025-11-18T00:00:00"/>
    <n v="3"/>
    <n v="4"/>
    <n v="3"/>
    <x v="11"/>
    <x v="3"/>
  </r>
  <r>
    <x v="667"/>
    <x v="1"/>
    <x v="0"/>
    <x v="15"/>
    <x v="12"/>
    <x v="15"/>
    <x v="26"/>
    <s v="No"/>
    <x v="0"/>
    <d v="2025-11-26T00:00:00"/>
    <n v="3"/>
    <n v="3"/>
    <n v="3"/>
    <x v="6"/>
    <x v="6"/>
  </r>
  <r>
    <x v="668"/>
    <x v="1"/>
    <x v="2"/>
    <x v="6"/>
    <x v="5"/>
    <x v="27"/>
    <x v="24"/>
    <s v="No"/>
    <x v="0"/>
    <d v="2025-11-13T00:00:00"/>
    <n v="4"/>
    <n v="5"/>
    <n v="6"/>
    <x v="0"/>
    <x v="1"/>
  </r>
  <r>
    <x v="669"/>
    <x v="3"/>
    <x v="2"/>
    <x v="5"/>
    <x v="10"/>
    <x v="10"/>
    <x v="34"/>
    <s v="Yes"/>
    <x v="1"/>
    <m/>
    <n v="5"/>
    <n v="1"/>
    <n v="2"/>
    <x v="2"/>
    <x v="9"/>
  </r>
  <r>
    <x v="670"/>
    <x v="1"/>
    <x v="1"/>
    <x v="10"/>
    <x v="2"/>
    <x v="2"/>
    <x v="2"/>
    <s v="Yes"/>
    <x v="3"/>
    <m/>
    <m/>
    <m/>
    <m/>
    <x v="2"/>
    <x v="2"/>
  </r>
  <r>
    <x v="671"/>
    <x v="0"/>
    <x v="0"/>
    <x v="10"/>
    <x v="11"/>
    <x v="4"/>
    <x v="23"/>
    <s v="No"/>
    <x v="0"/>
    <d v="2025-12-04T00:00:00"/>
    <n v="1"/>
    <n v="5"/>
    <n v="5"/>
    <x v="6"/>
    <x v="4"/>
  </r>
  <r>
    <x v="672"/>
    <x v="0"/>
    <x v="2"/>
    <x v="29"/>
    <x v="14"/>
    <x v="20"/>
    <x v="27"/>
    <s v="No"/>
    <x v="0"/>
    <d v="2025-10-29T00:00:00"/>
    <n v="5"/>
    <n v="1"/>
    <n v="2"/>
    <x v="5"/>
    <x v="9"/>
  </r>
  <r>
    <x v="673"/>
    <x v="2"/>
    <x v="2"/>
    <x v="22"/>
    <x v="12"/>
    <x v="0"/>
    <x v="0"/>
    <s v="No"/>
    <x v="0"/>
    <d v="2025-12-03T00:00:00"/>
    <n v="2"/>
    <n v="2"/>
    <n v="5"/>
    <x v="4"/>
    <x v="6"/>
  </r>
  <r>
    <x v="674"/>
    <x v="0"/>
    <x v="2"/>
    <x v="19"/>
    <x v="11"/>
    <x v="12"/>
    <x v="18"/>
    <s v="No"/>
    <x v="0"/>
    <d v="2025-12-03T00:00:00"/>
    <n v="4"/>
    <n v="2"/>
    <n v="4"/>
    <x v="1"/>
    <x v="3"/>
  </r>
  <r>
    <x v="675"/>
    <x v="3"/>
    <x v="1"/>
    <x v="24"/>
    <x v="2"/>
    <x v="2"/>
    <x v="2"/>
    <s v="Yes"/>
    <x v="3"/>
    <m/>
    <m/>
    <m/>
    <m/>
    <x v="2"/>
    <x v="2"/>
  </r>
  <r>
    <x v="676"/>
    <x v="0"/>
    <x v="0"/>
    <x v="18"/>
    <x v="18"/>
    <x v="8"/>
    <x v="17"/>
    <s v="No"/>
    <x v="0"/>
    <d v="2025-11-29T00:00:00"/>
    <n v="3"/>
    <n v="5"/>
    <n v="4"/>
    <x v="4"/>
    <x v="5"/>
  </r>
  <r>
    <x v="677"/>
    <x v="0"/>
    <x v="1"/>
    <x v="19"/>
    <x v="2"/>
    <x v="2"/>
    <x v="2"/>
    <s v="Yes"/>
    <x v="1"/>
    <m/>
    <m/>
    <m/>
    <m/>
    <x v="2"/>
    <x v="2"/>
  </r>
  <r>
    <x v="678"/>
    <x v="3"/>
    <x v="0"/>
    <x v="9"/>
    <x v="14"/>
    <x v="1"/>
    <x v="15"/>
    <s v="Yes"/>
    <x v="4"/>
    <m/>
    <n v="3"/>
    <n v="4"/>
    <n v="4"/>
    <x v="2"/>
    <x v="4"/>
  </r>
  <r>
    <x v="679"/>
    <x v="1"/>
    <x v="0"/>
    <x v="24"/>
    <x v="20"/>
    <x v="17"/>
    <x v="16"/>
    <s v="No"/>
    <x v="0"/>
    <d v="2025-11-15T00:00:00"/>
    <n v="4"/>
    <n v="3"/>
    <n v="2"/>
    <x v="4"/>
    <x v="6"/>
  </r>
  <r>
    <x v="680"/>
    <x v="1"/>
    <x v="0"/>
    <x v="0"/>
    <x v="31"/>
    <x v="16"/>
    <x v="21"/>
    <s v="No"/>
    <x v="0"/>
    <d v="2025-11-10T00:00:00"/>
    <n v="1"/>
    <n v="1"/>
    <n v="6"/>
    <x v="0"/>
    <x v="9"/>
  </r>
  <r>
    <x v="681"/>
    <x v="3"/>
    <x v="0"/>
    <x v="28"/>
    <x v="20"/>
    <x v="21"/>
    <x v="27"/>
    <s v="No"/>
    <x v="0"/>
    <d v="2025-11-12T00:00:00"/>
    <n v="5"/>
    <n v="1"/>
    <n v="5"/>
    <x v="3"/>
    <x v="4"/>
  </r>
  <r>
    <x v="682"/>
    <x v="2"/>
    <x v="2"/>
    <x v="18"/>
    <x v="31"/>
    <x v="27"/>
    <x v="32"/>
    <s v="No"/>
    <x v="0"/>
    <d v="2025-11-12T00:00:00"/>
    <n v="2"/>
    <n v="3"/>
    <n v="2"/>
    <x v="1"/>
    <x v="12"/>
  </r>
  <r>
    <x v="683"/>
    <x v="0"/>
    <x v="1"/>
    <x v="17"/>
    <x v="2"/>
    <x v="2"/>
    <x v="2"/>
    <s v="Yes"/>
    <x v="5"/>
    <m/>
    <m/>
    <m/>
    <m/>
    <x v="2"/>
    <x v="2"/>
  </r>
  <r>
    <x v="684"/>
    <x v="3"/>
    <x v="1"/>
    <x v="26"/>
    <x v="2"/>
    <x v="2"/>
    <x v="2"/>
    <s v="Yes"/>
    <x v="5"/>
    <m/>
    <m/>
    <m/>
    <m/>
    <x v="2"/>
    <x v="2"/>
  </r>
  <r>
    <x v="685"/>
    <x v="0"/>
    <x v="0"/>
    <x v="22"/>
    <x v="11"/>
    <x v="4"/>
    <x v="11"/>
    <s v="No"/>
    <x v="0"/>
    <d v="2025-12-04T00:00:00"/>
    <n v="5"/>
    <n v="5"/>
    <n v="4"/>
    <x v="7"/>
    <x v="8"/>
  </r>
  <r>
    <x v="686"/>
    <x v="2"/>
    <x v="1"/>
    <x v="15"/>
    <x v="2"/>
    <x v="2"/>
    <x v="2"/>
    <s v="Yes"/>
    <x v="3"/>
    <m/>
    <m/>
    <m/>
    <m/>
    <x v="2"/>
    <x v="2"/>
  </r>
  <r>
    <x v="687"/>
    <x v="0"/>
    <x v="1"/>
    <x v="22"/>
    <x v="2"/>
    <x v="2"/>
    <x v="2"/>
    <s v="Yes"/>
    <x v="1"/>
    <m/>
    <m/>
    <m/>
    <m/>
    <x v="2"/>
    <x v="2"/>
  </r>
  <r>
    <x v="688"/>
    <x v="3"/>
    <x v="0"/>
    <x v="26"/>
    <x v="0"/>
    <x v="15"/>
    <x v="26"/>
    <s v="No"/>
    <x v="0"/>
    <d v="2025-11-15T00:00:00"/>
    <n v="3"/>
    <n v="5"/>
    <n v="3"/>
    <x v="7"/>
    <x v="4"/>
  </r>
  <r>
    <x v="689"/>
    <x v="0"/>
    <x v="2"/>
    <x v="26"/>
    <x v="25"/>
    <x v="18"/>
    <x v="24"/>
    <s v="No"/>
    <x v="0"/>
    <d v="2025-11-22T00:00:00"/>
    <n v="4"/>
    <n v="1"/>
    <n v="4"/>
    <x v="0"/>
    <x v="6"/>
  </r>
  <r>
    <x v="690"/>
    <x v="1"/>
    <x v="0"/>
    <x v="5"/>
    <x v="11"/>
    <x v="12"/>
    <x v="4"/>
    <s v="No"/>
    <x v="0"/>
    <d v="2025-12-03T00:00:00"/>
    <n v="3"/>
    <n v="2"/>
    <n v="6"/>
    <x v="11"/>
    <x v="4"/>
  </r>
  <r>
    <x v="691"/>
    <x v="2"/>
    <x v="0"/>
    <x v="13"/>
    <x v="30"/>
    <x v="30"/>
    <x v="6"/>
    <s v="No"/>
    <x v="0"/>
    <d v="2025-11-03T00:00:00"/>
    <n v="3"/>
    <n v="3"/>
    <n v="4"/>
    <x v="9"/>
    <x v="3"/>
  </r>
  <r>
    <x v="692"/>
    <x v="2"/>
    <x v="2"/>
    <x v="0"/>
    <x v="18"/>
    <x v="28"/>
    <x v="24"/>
    <s v="No"/>
    <x v="0"/>
    <d v="2025-11-23T00:00:00"/>
    <n v="2"/>
    <n v="1"/>
    <n v="7"/>
    <x v="1"/>
    <x v="3"/>
  </r>
  <r>
    <x v="693"/>
    <x v="2"/>
    <x v="2"/>
    <x v="7"/>
    <x v="6"/>
    <x v="36"/>
    <x v="38"/>
    <s v="No"/>
    <x v="0"/>
    <d v="2025-10-24T00:00:00"/>
    <n v="1"/>
    <n v="2"/>
    <n v="6"/>
    <x v="11"/>
    <x v="6"/>
  </r>
  <r>
    <x v="694"/>
    <x v="3"/>
    <x v="0"/>
    <x v="10"/>
    <x v="11"/>
    <x v="4"/>
    <x v="4"/>
    <s v="No"/>
    <x v="0"/>
    <d v="2025-11-21T00:00:00"/>
    <n v="1"/>
    <n v="5"/>
    <n v="3"/>
    <x v="0"/>
    <x v="6"/>
  </r>
  <r>
    <x v="695"/>
    <x v="2"/>
    <x v="2"/>
    <x v="0"/>
    <x v="18"/>
    <x v="27"/>
    <x v="9"/>
    <s v="No"/>
    <x v="0"/>
    <d v="2025-11-13T00:00:00"/>
    <n v="2"/>
    <n v="2"/>
    <n v="5"/>
    <x v="0"/>
    <x v="6"/>
  </r>
  <r>
    <x v="696"/>
    <x v="1"/>
    <x v="0"/>
    <x v="0"/>
    <x v="0"/>
    <x v="0"/>
    <x v="26"/>
    <s v="No"/>
    <x v="0"/>
    <d v="2025-11-18T00:00:00"/>
    <n v="4"/>
    <n v="4"/>
    <n v="4"/>
    <x v="3"/>
    <x v="5"/>
  </r>
  <r>
    <x v="697"/>
    <x v="3"/>
    <x v="1"/>
    <x v="30"/>
    <x v="2"/>
    <x v="2"/>
    <x v="2"/>
    <s v="Yes"/>
    <x v="5"/>
    <m/>
    <m/>
    <m/>
    <m/>
    <x v="2"/>
    <x v="2"/>
  </r>
  <r>
    <x v="698"/>
    <x v="1"/>
    <x v="1"/>
    <x v="29"/>
    <x v="2"/>
    <x v="2"/>
    <x v="2"/>
    <s v="Yes"/>
    <x v="5"/>
    <m/>
    <m/>
    <m/>
    <m/>
    <x v="2"/>
    <x v="2"/>
  </r>
  <r>
    <x v="699"/>
    <x v="0"/>
    <x v="2"/>
    <x v="19"/>
    <x v="4"/>
    <x v="12"/>
    <x v="4"/>
    <s v="No"/>
    <x v="0"/>
    <d v="2025-11-27T00:00:00"/>
    <n v="5"/>
    <n v="1"/>
    <n v="6"/>
    <x v="11"/>
    <x v="5"/>
  </r>
  <r>
    <x v="700"/>
    <x v="0"/>
    <x v="1"/>
    <x v="11"/>
    <x v="2"/>
    <x v="2"/>
    <x v="2"/>
    <s v="Yes"/>
    <x v="4"/>
    <m/>
    <m/>
    <m/>
    <m/>
    <x v="2"/>
    <x v="2"/>
  </r>
  <r>
    <x v="701"/>
    <x v="0"/>
    <x v="2"/>
    <x v="30"/>
    <x v="13"/>
    <x v="37"/>
    <x v="25"/>
    <s v="No"/>
    <x v="0"/>
    <d v="2025-11-06T00:00:00"/>
    <n v="4"/>
    <n v="3"/>
    <n v="5"/>
    <x v="3"/>
    <x v="5"/>
  </r>
  <r>
    <x v="702"/>
    <x v="0"/>
    <x v="2"/>
    <x v="23"/>
    <x v="9"/>
    <x v="26"/>
    <x v="21"/>
    <s v="Yes"/>
    <x v="2"/>
    <m/>
    <n v="5"/>
    <n v="2"/>
    <n v="3"/>
    <x v="2"/>
    <x v="3"/>
  </r>
  <r>
    <x v="703"/>
    <x v="1"/>
    <x v="0"/>
    <x v="9"/>
    <x v="19"/>
    <x v="11"/>
    <x v="7"/>
    <s v="No"/>
    <x v="0"/>
    <d v="2025-11-22T00:00:00"/>
    <n v="1"/>
    <n v="5"/>
    <n v="7"/>
    <x v="0"/>
    <x v="0"/>
  </r>
  <r>
    <x v="704"/>
    <x v="3"/>
    <x v="0"/>
    <x v="15"/>
    <x v="12"/>
    <x v="0"/>
    <x v="34"/>
    <s v="No"/>
    <x v="0"/>
    <d v="2025-11-28T00:00:00"/>
    <n v="3"/>
    <n v="2"/>
    <n v="6"/>
    <x v="3"/>
    <x v="4"/>
  </r>
  <r>
    <x v="705"/>
    <x v="3"/>
    <x v="0"/>
    <x v="13"/>
    <x v="30"/>
    <x v="21"/>
    <x v="14"/>
    <s v="No"/>
    <x v="0"/>
    <d v="2025-10-30T00:00:00"/>
    <n v="3"/>
    <n v="5"/>
    <n v="3"/>
    <x v="0"/>
    <x v="4"/>
  </r>
  <r>
    <x v="706"/>
    <x v="2"/>
    <x v="0"/>
    <x v="25"/>
    <x v="15"/>
    <x v="30"/>
    <x v="25"/>
    <s v="No"/>
    <x v="0"/>
    <d v="2025-11-03T00:00:00"/>
    <n v="4"/>
    <n v="4"/>
    <n v="3"/>
    <x v="5"/>
    <x v="4"/>
  </r>
  <r>
    <x v="707"/>
    <x v="1"/>
    <x v="2"/>
    <x v="20"/>
    <x v="10"/>
    <x v="9"/>
    <x v="11"/>
    <s v="Yes"/>
    <x v="3"/>
    <m/>
    <n v="2"/>
    <n v="5"/>
    <n v="2"/>
    <x v="2"/>
    <x v="6"/>
  </r>
  <r>
    <x v="708"/>
    <x v="0"/>
    <x v="2"/>
    <x v="29"/>
    <x v="14"/>
    <x v="11"/>
    <x v="15"/>
    <s v="No"/>
    <x v="0"/>
    <d v="2025-11-07T00:00:00"/>
    <n v="5"/>
    <n v="3"/>
    <n v="5"/>
    <x v="0"/>
    <x v="0"/>
  </r>
  <r>
    <x v="709"/>
    <x v="1"/>
    <x v="0"/>
    <x v="1"/>
    <x v="1"/>
    <x v="11"/>
    <x v="22"/>
    <s v="No"/>
    <x v="0"/>
    <d v="2025-11-01T00:00:00"/>
    <n v="3"/>
    <n v="4"/>
    <n v="2"/>
    <x v="5"/>
    <x v="6"/>
  </r>
  <r>
    <x v="710"/>
    <x v="2"/>
    <x v="0"/>
    <x v="15"/>
    <x v="28"/>
    <x v="15"/>
    <x v="26"/>
    <s v="No"/>
    <x v="0"/>
    <d v="2025-11-27T00:00:00"/>
    <n v="4"/>
    <n v="2"/>
    <n v="3"/>
    <x v="1"/>
    <x v="6"/>
  </r>
  <r>
    <x v="711"/>
    <x v="2"/>
    <x v="0"/>
    <x v="4"/>
    <x v="24"/>
    <x v="25"/>
    <x v="15"/>
    <s v="No"/>
    <x v="0"/>
    <d v="2025-11-12T00:00:00"/>
    <n v="2"/>
    <n v="1"/>
    <n v="6"/>
    <x v="0"/>
    <x v="6"/>
  </r>
  <r>
    <x v="712"/>
    <x v="1"/>
    <x v="2"/>
    <x v="14"/>
    <x v="15"/>
    <x v="14"/>
    <x v="14"/>
    <s v="No"/>
    <x v="0"/>
    <d v="2025-11-15T00:00:00"/>
    <n v="1"/>
    <n v="5"/>
    <n v="4"/>
    <x v="7"/>
    <x v="3"/>
  </r>
  <r>
    <x v="713"/>
    <x v="1"/>
    <x v="0"/>
    <x v="28"/>
    <x v="27"/>
    <x v="14"/>
    <x v="19"/>
    <s v="No"/>
    <x v="0"/>
    <d v="2025-11-03T00:00:00"/>
    <n v="2"/>
    <n v="3"/>
    <n v="7"/>
    <x v="1"/>
    <x v="5"/>
  </r>
  <r>
    <x v="714"/>
    <x v="1"/>
    <x v="2"/>
    <x v="13"/>
    <x v="13"/>
    <x v="36"/>
    <x v="25"/>
    <s v="No"/>
    <x v="0"/>
    <d v="2025-11-03T00:00:00"/>
    <n v="1"/>
    <n v="1"/>
    <n v="7"/>
    <x v="11"/>
    <x v="6"/>
  </r>
  <r>
    <x v="715"/>
    <x v="3"/>
    <x v="2"/>
    <x v="19"/>
    <x v="11"/>
    <x v="31"/>
    <x v="26"/>
    <s v="No"/>
    <x v="0"/>
    <d v="2025-12-02T00:00:00"/>
    <n v="4"/>
    <n v="1"/>
    <n v="2"/>
    <x v="11"/>
    <x v="12"/>
  </r>
  <r>
    <x v="716"/>
    <x v="0"/>
    <x v="0"/>
    <x v="21"/>
    <x v="5"/>
    <x v="28"/>
    <x v="5"/>
    <s v="No"/>
    <x v="0"/>
    <d v="2025-11-08T00:00:00"/>
    <n v="2"/>
    <n v="4"/>
    <n v="4"/>
    <x v="3"/>
    <x v="3"/>
  </r>
  <r>
    <x v="717"/>
    <x v="1"/>
    <x v="2"/>
    <x v="10"/>
    <x v="34"/>
    <x v="4"/>
    <x v="13"/>
    <s v="No"/>
    <x v="0"/>
    <d v="2025-11-16T00:00:00"/>
    <n v="4"/>
    <n v="2"/>
    <n v="2"/>
    <x v="11"/>
    <x v="9"/>
  </r>
  <r>
    <x v="718"/>
    <x v="1"/>
    <x v="2"/>
    <x v="9"/>
    <x v="19"/>
    <x v="23"/>
    <x v="12"/>
    <s v="No"/>
    <x v="0"/>
    <d v="2025-11-14T00:00:00"/>
    <n v="1"/>
    <n v="1"/>
    <n v="7"/>
    <x v="0"/>
    <x v="6"/>
  </r>
  <r>
    <x v="719"/>
    <x v="1"/>
    <x v="0"/>
    <x v="16"/>
    <x v="5"/>
    <x v="16"/>
    <x v="5"/>
    <s v="No"/>
    <x v="0"/>
    <d v="2025-11-15T00:00:00"/>
    <n v="3"/>
    <n v="3"/>
    <n v="5"/>
    <x v="11"/>
    <x v="4"/>
  </r>
  <r>
    <x v="720"/>
    <x v="2"/>
    <x v="0"/>
    <x v="16"/>
    <x v="5"/>
    <x v="27"/>
    <x v="17"/>
    <s v="No"/>
    <x v="0"/>
    <d v="2025-11-17T00:00:00"/>
    <n v="3"/>
    <n v="5"/>
    <n v="7"/>
    <x v="8"/>
    <x v="1"/>
  </r>
  <r>
    <x v="721"/>
    <x v="2"/>
    <x v="0"/>
    <x v="20"/>
    <x v="4"/>
    <x v="7"/>
    <x v="39"/>
    <s v="No"/>
    <x v="0"/>
    <d v="2025-11-27T00:00:00"/>
    <n v="1"/>
    <n v="5"/>
    <n v="7"/>
    <x v="5"/>
    <x v="0"/>
  </r>
  <r>
    <x v="722"/>
    <x v="3"/>
    <x v="2"/>
    <x v="17"/>
    <x v="1"/>
    <x v="1"/>
    <x v="15"/>
    <s v="No"/>
    <x v="0"/>
    <d v="2025-11-20T00:00:00"/>
    <n v="5"/>
    <n v="5"/>
    <n v="4"/>
    <x v="9"/>
    <x v="8"/>
  </r>
  <r>
    <x v="723"/>
    <x v="0"/>
    <x v="2"/>
    <x v="5"/>
    <x v="10"/>
    <x v="7"/>
    <x v="4"/>
    <s v="No"/>
    <x v="0"/>
    <d v="2025-11-22T00:00:00"/>
    <n v="5"/>
    <n v="4"/>
    <n v="2"/>
    <x v="8"/>
    <x v="4"/>
  </r>
  <r>
    <x v="724"/>
    <x v="3"/>
    <x v="2"/>
    <x v="14"/>
    <x v="27"/>
    <x v="14"/>
    <x v="6"/>
    <s v="No"/>
    <x v="0"/>
    <d v="2025-11-09T00:00:00"/>
    <n v="3"/>
    <n v="3"/>
    <n v="3"/>
    <x v="4"/>
    <x v="6"/>
  </r>
  <r>
    <x v="725"/>
    <x v="0"/>
    <x v="2"/>
    <x v="17"/>
    <x v="20"/>
    <x v="21"/>
    <x v="19"/>
    <s v="No"/>
    <x v="0"/>
    <d v="2025-10-31T00:00:00"/>
    <n v="3"/>
    <n v="1"/>
    <n v="6"/>
    <x v="1"/>
    <x v="3"/>
  </r>
  <r>
    <x v="726"/>
    <x v="2"/>
    <x v="0"/>
    <x v="20"/>
    <x v="10"/>
    <x v="4"/>
    <x v="4"/>
    <s v="No"/>
    <x v="0"/>
    <d v="2025-11-21T00:00:00"/>
    <n v="2"/>
    <n v="3"/>
    <n v="3"/>
    <x v="4"/>
    <x v="9"/>
  </r>
  <r>
    <x v="727"/>
    <x v="2"/>
    <x v="1"/>
    <x v="5"/>
    <x v="2"/>
    <x v="2"/>
    <x v="2"/>
    <s v="Yes"/>
    <x v="3"/>
    <m/>
    <m/>
    <m/>
    <m/>
    <x v="2"/>
    <x v="2"/>
  </r>
  <r>
    <x v="728"/>
    <x v="2"/>
    <x v="0"/>
    <x v="8"/>
    <x v="34"/>
    <x v="9"/>
    <x v="36"/>
    <s v="No"/>
    <x v="0"/>
    <d v="2025-12-10T00:00:00"/>
    <n v="2"/>
    <n v="4"/>
    <n v="5"/>
    <x v="9"/>
    <x v="4"/>
  </r>
  <r>
    <x v="729"/>
    <x v="3"/>
    <x v="0"/>
    <x v="6"/>
    <x v="22"/>
    <x v="16"/>
    <x v="5"/>
    <s v="No"/>
    <x v="0"/>
    <d v="2025-11-20T00:00:00"/>
    <n v="3"/>
    <n v="4"/>
    <n v="5"/>
    <x v="3"/>
    <x v="5"/>
  </r>
  <r>
    <x v="730"/>
    <x v="1"/>
    <x v="0"/>
    <x v="8"/>
    <x v="32"/>
    <x v="38"/>
    <x v="23"/>
    <s v="No"/>
    <x v="0"/>
    <d v="2025-12-09T00:00:00"/>
    <n v="5"/>
    <n v="2"/>
    <n v="2"/>
    <x v="10"/>
    <x v="6"/>
  </r>
  <r>
    <x v="731"/>
    <x v="1"/>
    <x v="0"/>
    <x v="19"/>
    <x v="28"/>
    <x v="31"/>
    <x v="0"/>
    <s v="No"/>
    <x v="0"/>
    <d v="2025-11-26T00:00:00"/>
    <n v="2"/>
    <n v="3"/>
    <n v="3"/>
    <x v="1"/>
    <x v="9"/>
  </r>
  <r>
    <x v="732"/>
    <x v="2"/>
    <x v="0"/>
    <x v="29"/>
    <x v="17"/>
    <x v="20"/>
    <x v="15"/>
    <s v="No"/>
    <x v="0"/>
    <d v="2025-11-14T00:00:00"/>
    <n v="1"/>
    <n v="5"/>
    <n v="7"/>
    <x v="5"/>
    <x v="0"/>
  </r>
  <r>
    <x v="733"/>
    <x v="1"/>
    <x v="0"/>
    <x v="15"/>
    <x v="25"/>
    <x v="15"/>
    <x v="0"/>
    <s v="No"/>
    <x v="0"/>
    <d v="2025-11-26T00:00:00"/>
    <n v="2"/>
    <n v="4"/>
    <n v="4"/>
    <x v="8"/>
    <x v="3"/>
  </r>
  <r>
    <x v="734"/>
    <x v="1"/>
    <x v="0"/>
    <x v="3"/>
    <x v="11"/>
    <x v="22"/>
    <x v="18"/>
    <s v="No"/>
    <x v="0"/>
    <d v="2025-11-30T00:00:00"/>
    <n v="2"/>
    <n v="4"/>
    <n v="2"/>
    <x v="8"/>
    <x v="9"/>
  </r>
  <r>
    <x v="735"/>
    <x v="3"/>
    <x v="2"/>
    <x v="1"/>
    <x v="19"/>
    <x v="17"/>
    <x v="16"/>
    <s v="No"/>
    <x v="0"/>
    <d v="2025-11-08T00:00:00"/>
    <n v="2"/>
    <n v="2"/>
    <n v="2"/>
    <x v="3"/>
    <x v="7"/>
  </r>
  <r>
    <x v="736"/>
    <x v="0"/>
    <x v="0"/>
    <x v="19"/>
    <x v="11"/>
    <x v="4"/>
    <x v="4"/>
    <s v="No"/>
    <x v="0"/>
    <d v="2025-11-17T00:00:00"/>
    <n v="4"/>
    <n v="5"/>
    <n v="3"/>
    <x v="6"/>
    <x v="5"/>
  </r>
  <r>
    <x v="737"/>
    <x v="2"/>
    <x v="1"/>
    <x v="7"/>
    <x v="2"/>
    <x v="2"/>
    <x v="2"/>
    <s v="Yes"/>
    <x v="2"/>
    <m/>
    <m/>
    <m/>
    <m/>
    <x v="2"/>
    <x v="2"/>
  </r>
  <r>
    <x v="738"/>
    <x v="2"/>
    <x v="2"/>
    <x v="11"/>
    <x v="24"/>
    <x v="6"/>
    <x v="1"/>
    <s v="No"/>
    <x v="0"/>
    <d v="2025-11-06T00:00:00"/>
    <n v="1"/>
    <n v="4"/>
    <n v="6"/>
    <x v="11"/>
    <x v="4"/>
  </r>
  <r>
    <x v="739"/>
    <x v="3"/>
    <x v="2"/>
    <x v="8"/>
    <x v="35"/>
    <x v="4"/>
    <x v="23"/>
    <s v="No"/>
    <x v="0"/>
    <d v="2025-12-06T00:00:00"/>
    <n v="3"/>
    <n v="1"/>
    <n v="5"/>
    <x v="11"/>
    <x v="6"/>
  </r>
  <r>
    <x v="740"/>
    <x v="3"/>
    <x v="0"/>
    <x v="25"/>
    <x v="30"/>
    <x v="21"/>
    <x v="22"/>
    <s v="No"/>
    <x v="0"/>
    <d v="2025-11-05T00:00:00"/>
    <n v="5"/>
    <n v="5"/>
    <n v="7"/>
    <x v="10"/>
    <x v="14"/>
  </r>
  <r>
    <x v="741"/>
    <x v="1"/>
    <x v="0"/>
    <x v="13"/>
    <x v="21"/>
    <x v="21"/>
    <x v="16"/>
    <s v="No"/>
    <x v="0"/>
    <d v="2025-11-07T00:00:00"/>
    <n v="5"/>
    <n v="3"/>
    <n v="4"/>
    <x v="0"/>
    <x v="5"/>
  </r>
  <r>
    <x v="742"/>
    <x v="2"/>
    <x v="0"/>
    <x v="22"/>
    <x v="28"/>
    <x v="15"/>
    <x v="34"/>
    <s v="No"/>
    <x v="0"/>
    <d v="2025-11-14T00:00:00"/>
    <n v="3"/>
    <n v="2"/>
    <n v="5"/>
    <x v="0"/>
    <x v="3"/>
  </r>
  <r>
    <x v="743"/>
    <x v="0"/>
    <x v="0"/>
    <x v="8"/>
    <x v="8"/>
    <x v="7"/>
    <x v="39"/>
    <s v="No"/>
    <x v="0"/>
    <d v="2025-12-02T00:00:00"/>
    <n v="4"/>
    <n v="1"/>
    <n v="7"/>
    <x v="10"/>
    <x v="5"/>
  </r>
  <r>
    <x v="744"/>
    <x v="3"/>
    <x v="2"/>
    <x v="24"/>
    <x v="19"/>
    <x v="23"/>
    <x v="14"/>
    <s v="No"/>
    <x v="0"/>
    <d v="2025-11-11T00:00:00"/>
    <n v="5"/>
    <n v="1"/>
    <n v="2"/>
    <x v="7"/>
    <x v="9"/>
  </r>
  <r>
    <x v="745"/>
    <x v="0"/>
    <x v="0"/>
    <x v="3"/>
    <x v="11"/>
    <x v="10"/>
    <x v="11"/>
    <s v="No"/>
    <x v="0"/>
    <d v="2025-11-24T00:00:00"/>
    <n v="2"/>
    <n v="3"/>
    <n v="6"/>
    <x v="3"/>
    <x v="4"/>
  </r>
  <r>
    <x v="746"/>
    <x v="0"/>
    <x v="0"/>
    <x v="26"/>
    <x v="12"/>
    <x v="0"/>
    <x v="24"/>
    <s v="Yes"/>
    <x v="5"/>
    <m/>
    <n v="5"/>
    <n v="2"/>
    <n v="2"/>
    <x v="2"/>
    <x v="6"/>
  </r>
  <r>
    <x v="747"/>
    <x v="2"/>
    <x v="1"/>
    <x v="15"/>
    <x v="2"/>
    <x v="2"/>
    <x v="2"/>
    <s v="Yes"/>
    <x v="4"/>
    <m/>
    <m/>
    <m/>
    <m/>
    <x v="2"/>
    <x v="2"/>
  </r>
  <r>
    <x v="748"/>
    <x v="2"/>
    <x v="0"/>
    <x v="26"/>
    <x v="18"/>
    <x v="18"/>
    <x v="26"/>
    <s v="No"/>
    <x v="0"/>
    <d v="2025-11-12T00:00:00"/>
    <n v="1"/>
    <n v="4"/>
    <n v="6"/>
    <x v="11"/>
    <x v="4"/>
  </r>
  <r>
    <x v="749"/>
    <x v="3"/>
    <x v="2"/>
    <x v="27"/>
    <x v="1"/>
    <x v="20"/>
    <x v="19"/>
    <s v="No"/>
    <x v="0"/>
    <d v="2025-10-29T00:00:00"/>
    <n v="1"/>
    <n v="2"/>
    <n v="3"/>
    <x v="6"/>
    <x v="7"/>
  </r>
  <r>
    <x v="750"/>
    <x v="2"/>
    <x v="2"/>
    <x v="8"/>
    <x v="35"/>
    <x v="38"/>
    <x v="33"/>
    <s v="No"/>
    <x v="0"/>
    <d v="2025-12-14T00:00:00"/>
    <n v="3"/>
    <n v="4"/>
    <n v="7"/>
    <x v="11"/>
    <x v="8"/>
  </r>
  <r>
    <x v="751"/>
    <x v="2"/>
    <x v="2"/>
    <x v="3"/>
    <x v="10"/>
    <x v="4"/>
    <x v="23"/>
    <s v="No"/>
    <x v="0"/>
    <d v="2025-11-26T00:00:00"/>
    <n v="4"/>
    <n v="3"/>
    <n v="5"/>
    <x v="8"/>
    <x v="5"/>
  </r>
  <r>
    <x v="752"/>
    <x v="2"/>
    <x v="0"/>
    <x v="19"/>
    <x v="11"/>
    <x v="10"/>
    <x v="34"/>
    <s v="No"/>
    <x v="0"/>
    <d v="2025-11-21T00:00:00"/>
    <n v="4"/>
    <n v="3"/>
    <n v="2"/>
    <x v="8"/>
    <x v="6"/>
  </r>
  <r>
    <x v="753"/>
    <x v="0"/>
    <x v="2"/>
    <x v="21"/>
    <x v="18"/>
    <x v="28"/>
    <x v="9"/>
    <s v="No"/>
    <x v="0"/>
    <d v="2025-11-20T00:00:00"/>
    <n v="5"/>
    <n v="1"/>
    <n v="6"/>
    <x v="3"/>
    <x v="5"/>
  </r>
  <r>
    <x v="754"/>
    <x v="3"/>
    <x v="0"/>
    <x v="9"/>
    <x v="24"/>
    <x v="25"/>
    <x v="15"/>
    <s v="No"/>
    <x v="0"/>
    <d v="2025-11-11T00:00:00"/>
    <n v="4"/>
    <n v="1"/>
    <n v="6"/>
    <x v="5"/>
    <x v="4"/>
  </r>
  <r>
    <x v="755"/>
    <x v="1"/>
    <x v="0"/>
    <x v="25"/>
    <x v="15"/>
    <x v="5"/>
    <x v="30"/>
    <s v="No"/>
    <x v="0"/>
    <d v="2025-10-24T00:00:00"/>
    <n v="4"/>
    <n v="1"/>
    <n v="2"/>
    <x v="7"/>
    <x v="12"/>
  </r>
  <r>
    <x v="756"/>
    <x v="0"/>
    <x v="2"/>
    <x v="19"/>
    <x v="4"/>
    <x v="22"/>
    <x v="11"/>
    <s v="No"/>
    <x v="0"/>
    <d v="2025-11-21T00:00:00"/>
    <n v="5"/>
    <n v="3"/>
    <n v="5"/>
    <x v="11"/>
    <x v="0"/>
  </r>
  <r>
    <x v="757"/>
    <x v="2"/>
    <x v="2"/>
    <x v="27"/>
    <x v="1"/>
    <x v="11"/>
    <x v="7"/>
    <s v="No"/>
    <x v="0"/>
    <d v="2025-11-16T00:00:00"/>
    <n v="1"/>
    <n v="4"/>
    <n v="7"/>
    <x v="5"/>
    <x v="5"/>
  </r>
  <r>
    <x v="758"/>
    <x v="0"/>
    <x v="2"/>
    <x v="2"/>
    <x v="33"/>
    <x v="29"/>
    <x v="35"/>
    <s v="No"/>
    <x v="0"/>
    <d v="2025-11-04T00:00:00"/>
    <n v="2"/>
    <n v="3"/>
    <n v="3"/>
    <x v="5"/>
    <x v="9"/>
  </r>
  <r>
    <x v="759"/>
    <x v="2"/>
    <x v="1"/>
    <x v="17"/>
    <x v="2"/>
    <x v="2"/>
    <x v="2"/>
    <s v="Yes"/>
    <x v="4"/>
    <m/>
    <m/>
    <m/>
    <m/>
    <x v="2"/>
    <x v="2"/>
  </r>
  <r>
    <x v="760"/>
    <x v="2"/>
    <x v="2"/>
    <x v="21"/>
    <x v="16"/>
    <x v="28"/>
    <x v="32"/>
    <s v="No"/>
    <x v="0"/>
    <d v="2025-11-24T00:00:00"/>
    <n v="3"/>
    <n v="3"/>
    <n v="3"/>
    <x v="0"/>
    <x v="6"/>
  </r>
  <r>
    <x v="761"/>
    <x v="0"/>
    <x v="0"/>
    <x v="7"/>
    <x v="6"/>
    <x v="29"/>
    <x v="30"/>
    <s v="No"/>
    <x v="0"/>
    <d v="2025-10-29T00:00:00"/>
    <n v="1"/>
    <n v="1"/>
    <n v="4"/>
    <x v="1"/>
    <x v="7"/>
  </r>
  <r>
    <x v="762"/>
    <x v="3"/>
    <x v="1"/>
    <x v="11"/>
    <x v="2"/>
    <x v="2"/>
    <x v="2"/>
    <s v="Yes"/>
    <x v="3"/>
    <m/>
    <m/>
    <m/>
    <m/>
    <x v="2"/>
    <x v="2"/>
  </r>
  <r>
    <x v="763"/>
    <x v="2"/>
    <x v="0"/>
    <x v="9"/>
    <x v="24"/>
    <x v="11"/>
    <x v="31"/>
    <s v="Yes"/>
    <x v="4"/>
    <m/>
    <n v="4"/>
    <n v="2"/>
    <n v="4"/>
    <x v="2"/>
    <x v="3"/>
  </r>
  <r>
    <x v="764"/>
    <x v="3"/>
    <x v="1"/>
    <x v="26"/>
    <x v="2"/>
    <x v="2"/>
    <x v="2"/>
    <s v="Yes"/>
    <x v="2"/>
    <m/>
    <m/>
    <m/>
    <m/>
    <x v="2"/>
    <x v="2"/>
  </r>
  <r>
    <x v="765"/>
    <x v="1"/>
    <x v="0"/>
    <x v="15"/>
    <x v="28"/>
    <x v="0"/>
    <x v="26"/>
    <s v="No"/>
    <x v="0"/>
    <d v="2025-11-17T00:00:00"/>
    <n v="4"/>
    <n v="1"/>
    <n v="4"/>
    <x v="10"/>
    <x v="6"/>
  </r>
  <r>
    <x v="766"/>
    <x v="2"/>
    <x v="1"/>
    <x v="26"/>
    <x v="2"/>
    <x v="2"/>
    <x v="2"/>
    <s v="Yes"/>
    <x v="5"/>
    <m/>
    <m/>
    <m/>
    <m/>
    <x v="2"/>
    <x v="2"/>
  </r>
  <r>
    <x v="767"/>
    <x v="3"/>
    <x v="2"/>
    <x v="17"/>
    <x v="1"/>
    <x v="20"/>
    <x v="12"/>
    <s v="No"/>
    <x v="0"/>
    <d v="2025-11-02T00:00:00"/>
    <n v="5"/>
    <n v="2"/>
    <n v="5"/>
    <x v="6"/>
    <x v="5"/>
  </r>
  <r>
    <x v="768"/>
    <x v="3"/>
    <x v="2"/>
    <x v="23"/>
    <x v="31"/>
    <x v="26"/>
    <x v="26"/>
    <s v="No"/>
    <x v="0"/>
    <d v="2025-11-13T00:00:00"/>
    <n v="3"/>
    <n v="4"/>
    <n v="7"/>
    <x v="8"/>
    <x v="8"/>
  </r>
  <r>
    <x v="769"/>
    <x v="1"/>
    <x v="0"/>
    <x v="27"/>
    <x v="14"/>
    <x v="1"/>
    <x v="1"/>
    <s v="No"/>
    <x v="0"/>
    <d v="2025-11-14T00:00:00"/>
    <n v="2"/>
    <n v="4"/>
    <n v="7"/>
    <x v="6"/>
    <x v="0"/>
  </r>
  <r>
    <x v="770"/>
    <x v="3"/>
    <x v="1"/>
    <x v="5"/>
    <x v="2"/>
    <x v="2"/>
    <x v="2"/>
    <s v="Yes"/>
    <x v="2"/>
    <m/>
    <m/>
    <m/>
    <m/>
    <x v="2"/>
    <x v="2"/>
  </r>
  <r>
    <x v="771"/>
    <x v="3"/>
    <x v="1"/>
    <x v="0"/>
    <x v="2"/>
    <x v="2"/>
    <x v="2"/>
    <s v="Yes"/>
    <x v="1"/>
    <m/>
    <m/>
    <m/>
    <m/>
    <x v="2"/>
    <x v="2"/>
  </r>
  <r>
    <x v="772"/>
    <x v="1"/>
    <x v="2"/>
    <x v="8"/>
    <x v="32"/>
    <x v="39"/>
    <x v="33"/>
    <s v="No"/>
    <x v="0"/>
    <d v="2025-12-03T00:00:00"/>
    <n v="5"/>
    <n v="5"/>
    <n v="4"/>
    <x v="8"/>
    <x v="8"/>
  </r>
  <r>
    <x v="773"/>
    <x v="2"/>
    <x v="2"/>
    <x v="9"/>
    <x v="7"/>
    <x v="24"/>
    <x v="1"/>
    <s v="No"/>
    <x v="0"/>
    <d v="2025-11-19T00:00:00"/>
    <n v="5"/>
    <n v="5"/>
    <n v="4"/>
    <x v="10"/>
    <x v="8"/>
  </r>
  <r>
    <x v="774"/>
    <x v="3"/>
    <x v="1"/>
    <x v="7"/>
    <x v="2"/>
    <x v="2"/>
    <x v="2"/>
    <s v="Yes"/>
    <x v="3"/>
    <m/>
    <m/>
    <m/>
    <m/>
    <x v="2"/>
    <x v="2"/>
  </r>
  <r>
    <x v="775"/>
    <x v="3"/>
    <x v="2"/>
    <x v="26"/>
    <x v="9"/>
    <x v="0"/>
    <x v="0"/>
    <s v="No"/>
    <x v="0"/>
    <d v="2025-11-29T00:00:00"/>
    <n v="2"/>
    <n v="5"/>
    <n v="5"/>
    <x v="4"/>
    <x v="5"/>
  </r>
  <r>
    <x v="776"/>
    <x v="3"/>
    <x v="0"/>
    <x v="24"/>
    <x v="21"/>
    <x v="23"/>
    <x v="27"/>
    <s v="No"/>
    <x v="0"/>
    <d v="2025-11-16T00:00:00"/>
    <n v="2"/>
    <n v="4"/>
    <n v="4"/>
    <x v="10"/>
    <x v="3"/>
  </r>
  <r>
    <x v="777"/>
    <x v="0"/>
    <x v="1"/>
    <x v="6"/>
    <x v="2"/>
    <x v="2"/>
    <x v="2"/>
    <s v="Yes"/>
    <x v="4"/>
    <m/>
    <m/>
    <m/>
    <m/>
    <x v="2"/>
    <x v="2"/>
  </r>
  <r>
    <x v="778"/>
    <x v="1"/>
    <x v="0"/>
    <x v="2"/>
    <x v="6"/>
    <x v="29"/>
    <x v="35"/>
    <s v="No"/>
    <x v="0"/>
    <d v="2025-11-04T00:00:00"/>
    <n v="4"/>
    <n v="1"/>
    <n v="3"/>
    <x v="9"/>
    <x v="9"/>
  </r>
  <r>
    <x v="779"/>
    <x v="0"/>
    <x v="0"/>
    <x v="18"/>
    <x v="0"/>
    <x v="26"/>
    <x v="5"/>
    <s v="No"/>
    <x v="0"/>
    <d v="2025-11-17T00:00:00"/>
    <n v="5"/>
    <n v="1"/>
    <n v="2"/>
    <x v="0"/>
    <x v="9"/>
  </r>
  <r>
    <x v="780"/>
    <x v="1"/>
    <x v="0"/>
    <x v="10"/>
    <x v="11"/>
    <x v="31"/>
    <x v="0"/>
    <s v="No"/>
    <x v="0"/>
    <d v="2025-11-26T00:00:00"/>
    <n v="1"/>
    <n v="1"/>
    <n v="3"/>
    <x v="0"/>
    <x v="10"/>
  </r>
  <r>
    <x v="781"/>
    <x v="2"/>
    <x v="2"/>
    <x v="8"/>
    <x v="10"/>
    <x v="4"/>
    <x v="4"/>
    <s v="No"/>
    <x v="0"/>
    <d v="2025-11-21T00:00:00"/>
    <n v="1"/>
    <n v="3"/>
    <n v="3"/>
    <x v="8"/>
    <x v="12"/>
  </r>
  <r>
    <x v="782"/>
    <x v="2"/>
    <x v="1"/>
    <x v="21"/>
    <x v="2"/>
    <x v="2"/>
    <x v="2"/>
    <s v="Yes"/>
    <x v="1"/>
    <m/>
    <m/>
    <m/>
    <m/>
    <x v="2"/>
    <x v="2"/>
  </r>
  <r>
    <x v="783"/>
    <x v="3"/>
    <x v="0"/>
    <x v="1"/>
    <x v="24"/>
    <x v="3"/>
    <x v="32"/>
    <s v="No"/>
    <x v="0"/>
    <d v="2025-11-16T00:00:00"/>
    <n v="5"/>
    <n v="5"/>
    <n v="6"/>
    <x v="3"/>
    <x v="11"/>
  </r>
  <r>
    <x v="784"/>
    <x v="1"/>
    <x v="1"/>
    <x v="20"/>
    <x v="2"/>
    <x v="2"/>
    <x v="2"/>
    <s v="Yes"/>
    <x v="4"/>
    <m/>
    <m/>
    <m/>
    <m/>
    <x v="2"/>
    <x v="2"/>
  </r>
  <r>
    <x v="785"/>
    <x v="2"/>
    <x v="2"/>
    <x v="18"/>
    <x v="31"/>
    <x v="16"/>
    <x v="7"/>
    <s v="No"/>
    <x v="0"/>
    <d v="2025-11-19T00:00:00"/>
    <n v="2"/>
    <n v="1"/>
    <n v="2"/>
    <x v="11"/>
    <x v="10"/>
  </r>
  <r>
    <x v="786"/>
    <x v="1"/>
    <x v="1"/>
    <x v="24"/>
    <x v="2"/>
    <x v="2"/>
    <x v="2"/>
    <s v="Yes"/>
    <x v="5"/>
    <m/>
    <m/>
    <m/>
    <m/>
    <x v="2"/>
    <x v="2"/>
  </r>
  <r>
    <x v="787"/>
    <x v="2"/>
    <x v="0"/>
    <x v="0"/>
    <x v="9"/>
    <x v="0"/>
    <x v="17"/>
    <s v="No"/>
    <x v="0"/>
    <d v="2025-11-22T00:00:00"/>
    <n v="3"/>
    <n v="5"/>
    <n v="3"/>
    <x v="9"/>
    <x v="4"/>
  </r>
  <r>
    <x v="788"/>
    <x v="0"/>
    <x v="2"/>
    <x v="25"/>
    <x v="6"/>
    <x v="13"/>
    <x v="28"/>
    <s v="No"/>
    <x v="0"/>
    <d v="2025-10-28T00:00:00"/>
    <n v="2"/>
    <n v="5"/>
    <n v="2"/>
    <x v="9"/>
    <x v="6"/>
  </r>
  <r>
    <x v="789"/>
    <x v="2"/>
    <x v="2"/>
    <x v="0"/>
    <x v="18"/>
    <x v="26"/>
    <x v="21"/>
    <s v="No"/>
    <x v="0"/>
    <d v="2025-11-13T00:00:00"/>
    <n v="2"/>
    <n v="3"/>
    <n v="3"/>
    <x v="9"/>
    <x v="9"/>
  </r>
  <r>
    <x v="790"/>
    <x v="0"/>
    <x v="0"/>
    <x v="5"/>
    <x v="11"/>
    <x v="22"/>
    <x v="11"/>
    <s v="No"/>
    <x v="0"/>
    <d v="2025-11-30T00:00:00"/>
    <n v="3"/>
    <n v="4"/>
    <n v="5"/>
    <x v="7"/>
    <x v="5"/>
  </r>
  <r>
    <x v="791"/>
    <x v="2"/>
    <x v="0"/>
    <x v="11"/>
    <x v="7"/>
    <x v="11"/>
    <x v="15"/>
    <s v="No"/>
    <x v="0"/>
    <d v="2025-11-02T00:00:00"/>
    <n v="2"/>
    <n v="1"/>
    <n v="5"/>
    <x v="1"/>
    <x v="9"/>
  </r>
  <r>
    <x v="792"/>
    <x v="3"/>
    <x v="1"/>
    <x v="20"/>
    <x v="2"/>
    <x v="2"/>
    <x v="2"/>
    <s v="Yes"/>
    <x v="5"/>
    <m/>
    <m/>
    <m/>
    <m/>
    <x v="2"/>
    <x v="2"/>
  </r>
  <r>
    <x v="793"/>
    <x v="0"/>
    <x v="2"/>
    <x v="12"/>
    <x v="25"/>
    <x v="0"/>
    <x v="26"/>
    <s v="No"/>
    <x v="0"/>
    <d v="2025-11-19T00:00:00"/>
    <n v="3"/>
    <n v="3"/>
    <n v="4"/>
    <x v="10"/>
    <x v="3"/>
  </r>
  <r>
    <x v="794"/>
    <x v="2"/>
    <x v="2"/>
    <x v="29"/>
    <x v="14"/>
    <x v="1"/>
    <x v="3"/>
    <s v="No"/>
    <x v="0"/>
    <d v="2025-11-10T00:00:00"/>
    <n v="5"/>
    <n v="4"/>
    <n v="5"/>
    <x v="4"/>
    <x v="8"/>
  </r>
  <r>
    <x v="795"/>
    <x v="3"/>
    <x v="0"/>
    <x v="0"/>
    <x v="9"/>
    <x v="8"/>
    <x v="9"/>
    <s v="No"/>
    <x v="0"/>
    <d v="2025-11-13T00:00:00"/>
    <n v="3"/>
    <n v="4"/>
    <n v="2"/>
    <x v="8"/>
    <x v="6"/>
  </r>
  <r>
    <x v="796"/>
    <x v="0"/>
    <x v="0"/>
    <x v="4"/>
    <x v="14"/>
    <x v="20"/>
    <x v="31"/>
    <s v="No"/>
    <x v="0"/>
    <d v="2025-11-07T00:00:00"/>
    <n v="1"/>
    <n v="1"/>
    <n v="6"/>
    <x v="1"/>
    <x v="9"/>
  </r>
  <r>
    <x v="797"/>
    <x v="3"/>
    <x v="0"/>
    <x v="7"/>
    <x v="15"/>
    <x v="14"/>
    <x v="14"/>
    <s v="No"/>
    <x v="0"/>
    <d v="2025-10-26T00:00:00"/>
    <n v="3"/>
    <n v="5"/>
    <n v="4"/>
    <x v="11"/>
    <x v="5"/>
  </r>
  <r>
    <x v="798"/>
    <x v="1"/>
    <x v="1"/>
    <x v="13"/>
    <x v="2"/>
    <x v="2"/>
    <x v="2"/>
    <s v="Yes"/>
    <x v="5"/>
    <m/>
    <m/>
    <m/>
    <m/>
    <x v="2"/>
    <x v="2"/>
  </r>
  <r>
    <x v="799"/>
    <x v="1"/>
    <x v="1"/>
    <x v="30"/>
    <x v="2"/>
    <x v="2"/>
    <x v="2"/>
    <s v="Yes"/>
    <x v="4"/>
    <m/>
    <m/>
    <m/>
    <m/>
    <x v="2"/>
    <x v="2"/>
  </r>
  <r>
    <x v="800"/>
    <x v="0"/>
    <x v="1"/>
    <x v="8"/>
    <x v="2"/>
    <x v="2"/>
    <x v="2"/>
    <s v="Yes"/>
    <x v="1"/>
    <m/>
    <m/>
    <m/>
    <m/>
    <x v="2"/>
    <x v="2"/>
  </r>
  <r>
    <x v="801"/>
    <x v="2"/>
    <x v="0"/>
    <x v="30"/>
    <x v="26"/>
    <x v="29"/>
    <x v="35"/>
    <s v="Yes"/>
    <x v="5"/>
    <m/>
    <n v="2"/>
    <n v="2"/>
    <n v="3"/>
    <x v="2"/>
    <x v="12"/>
  </r>
  <r>
    <x v="802"/>
    <x v="0"/>
    <x v="0"/>
    <x v="29"/>
    <x v="14"/>
    <x v="6"/>
    <x v="7"/>
    <s v="No"/>
    <x v="0"/>
    <d v="2025-11-22T00:00:00"/>
    <n v="5"/>
    <n v="5"/>
    <n v="5"/>
    <x v="4"/>
    <x v="1"/>
  </r>
  <r>
    <x v="803"/>
    <x v="3"/>
    <x v="0"/>
    <x v="6"/>
    <x v="22"/>
    <x v="28"/>
    <x v="5"/>
    <s v="No"/>
    <x v="0"/>
    <d v="2025-11-23T00:00:00"/>
    <n v="3"/>
    <n v="5"/>
    <n v="4"/>
    <x v="10"/>
    <x v="5"/>
  </r>
  <r>
    <x v="804"/>
    <x v="2"/>
    <x v="0"/>
    <x v="7"/>
    <x v="13"/>
    <x v="5"/>
    <x v="38"/>
    <s v="No"/>
    <x v="0"/>
    <d v="2025-10-28T00:00:00"/>
    <n v="2"/>
    <n v="2"/>
    <n v="5"/>
    <x v="3"/>
    <x v="6"/>
  </r>
  <r>
    <x v="805"/>
    <x v="1"/>
    <x v="1"/>
    <x v="7"/>
    <x v="2"/>
    <x v="2"/>
    <x v="2"/>
    <s v="Yes"/>
    <x v="1"/>
    <m/>
    <m/>
    <m/>
    <m/>
    <x v="2"/>
    <x v="2"/>
  </r>
  <r>
    <x v="806"/>
    <x v="2"/>
    <x v="2"/>
    <x v="24"/>
    <x v="17"/>
    <x v="17"/>
    <x v="19"/>
    <s v="No"/>
    <x v="0"/>
    <d v="2025-11-01T00:00:00"/>
    <n v="3"/>
    <n v="4"/>
    <n v="4"/>
    <x v="9"/>
    <x v="4"/>
  </r>
  <r>
    <x v="807"/>
    <x v="1"/>
    <x v="0"/>
    <x v="10"/>
    <x v="35"/>
    <x v="7"/>
    <x v="4"/>
    <s v="No"/>
    <x v="0"/>
    <d v="2025-11-28T00:00:00"/>
    <n v="5"/>
    <n v="2"/>
    <n v="2"/>
    <x v="0"/>
    <x v="6"/>
  </r>
  <r>
    <x v="808"/>
    <x v="2"/>
    <x v="2"/>
    <x v="21"/>
    <x v="18"/>
    <x v="27"/>
    <x v="32"/>
    <s v="No"/>
    <x v="0"/>
    <d v="2025-11-26T00:00:00"/>
    <n v="5"/>
    <n v="2"/>
    <n v="2"/>
    <x v="7"/>
    <x v="6"/>
  </r>
  <r>
    <x v="809"/>
    <x v="2"/>
    <x v="0"/>
    <x v="13"/>
    <x v="13"/>
    <x v="37"/>
    <x v="28"/>
    <s v="No"/>
    <x v="0"/>
    <d v="2025-10-23T00:00:00"/>
    <n v="1"/>
    <n v="3"/>
    <n v="3"/>
    <x v="10"/>
    <x v="12"/>
  </r>
  <r>
    <x v="810"/>
    <x v="2"/>
    <x v="1"/>
    <x v="27"/>
    <x v="2"/>
    <x v="2"/>
    <x v="2"/>
    <s v="Yes"/>
    <x v="4"/>
    <m/>
    <m/>
    <m/>
    <m/>
    <x v="2"/>
    <x v="2"/>
  </r>
  <r>
    <x v="811"/>
    <x v="3"/>
    <x v="0"/>
    <x v="11"/>
    <x v="5"/>
    <x v="16"/>
    <x v="9"/>
    <s v="No"/>
    <x v="0"/>
    <d v="2025-11-21T00:00:00"/>
    <n v="5"/>
    <n v="3"/>
    <n v="7"/>
    <x v="11"/>
    <x v="1"/>
  </r>
  <r>
    <x v="812"/>
    <x v="3"/>
    <x v="2"/>
    <x v="9"/>
    <x v="1"/>
    <x v="25"/>
    <x v="12"/>
    <s v="No"/>
    <x v="0"/>
    <d v="2025-11-20T00:00:00"/>
    <n v="2"/>
    <n v="3"/>
    <n v="4"/>
    <x v="9"/>
    <x v="6"/>
  </r>
  <r>
    <x v="813"/>
    <x v="0"/>
    <x v="1"/>
    <x v="26"/>
    <x v="2"/>
    <x v="2"/>
    <x v="2"/>
    <s v="Yes"/>
    <x v="1"/>
    <m/>
    <m/>
    <m/>
    <m/>
    <x v="2"/>
    <x v="2"/>
  </r>
  <r>
    <x v="814"/>
    <x v="0"/>
    <x v="0"/>
    <x v="8"/>
    <x v="32"/>
    <x v="19"/>
    <x v="43"/>
    <s v="No"/>
    <x v="0"/>
    <d v="2025-12-04T00:00:00"/>
    <n v="5"/>
    <n v="4"/>
    <n v="7"/>
    <x v="0"/>
    <x v="11"/>
  </r>
  <r>
    <x v="815"/>
    <x v="1"/>
    <x v="2"/>
    <x v="15"/>
    <x v="23"/>
    <x v="31"/>
    <x v="4"/>
    <s v="No"/>
    <x v="0"/>
    <d v="2025-12-04T00:00:00"/>
    <n v="5"/>
    <n v="2"/>
    <n v="7"/>
    <x v="7"/>
    <x v="8"/>
  </r>
  <r>
    <x v="816"/>
    <x v="3"/>
    <x v="2"/>
    <x v="12"/>
    <x v="0"/>
    <x v="26"/>
    <x v="17"/>
    <s v="Yes"/>
    <x v="4"/>
    <m/>
    <n v="2"/>
    <n v="1"/>
    <n v="6"/>
    <x v="2"/>
    <x v="6"/>
  </r>
  <r>
    <x v="817"/>
    <x v="1"/>
    <x v="2"/>
    <x v="8"/>
    <x v="34"/>
    <x v="4"/>
    <x v="13"/>
    <s v="No"/>
    <x v="0"/>
    <d v="2025-12-05T00:00:00"/>
    <n v="2"/>
    <n v="2"/>
    <n v="2"/>
    <x v="1"/>
    <x v="7"/>
  </r>
  <r>
    <x v="818"/>
    <x v="0"/>
    <x v="2"/>
    <x v="21"/>
    <x v="18"/>
    <x v="18"/>
    <x v="9"/>
    <s v="No"/>
    <x v="0"/>
    <d v="2025-11-10T00:00:00"/>
    <n v="5"/>
    <n v="4"/>
    <n v="3"/>
    <x v="1"/>
    <x v="5"/>
  </r>
  <r>
    <x v="819"/>
    <x v="1"/>
    <x v="1"/>
    <x v="4"/>
    <x v="2"/>
    <x v="2"/>
    <x v="2"/>
    <s v="Yes"/>
    <x v="4"/>
    <m/>
    <m/>
    <m/>
    <m/>
    <x v="2"/>
    <x v="2"/>
  </r>
  <r>
    <x v="820"/>
    <x v="0"/>
    <x v="0"/>
    <x v="23"/>
    <x v="9"/>
    <x v="18"/>
    <x v="24"/>
    <s v="No"/>
    <x v="0"/>
    <d v="2025-11-29T00:00:00"/>
    <n v="5"/>
    <n v="3"/>
    <n v="4"/>
    <x v="0"/>
    <x v="5"/>
  </r>
  <r>
    <x v="821"/>
    <x v="3"/>
    <x v="1"/>
    <x v="15"/>
    <x v="2"/>
    <x v="2"/>
    <x v="2"/>
    <s v="Yes"/>
    <x v="3"/>
    <m/>
    <m/>
    <m/>
    <m/>
    <x v="2"/>
    <x v="2"/>
  </r>
  <r>
    <x v="822"/>
    <x v="2"/>
    <x v="0"/>
    <x v="15"/>
    <x v="12"/>
    <x v="31"/>
    <x v="0"/>
    <s v="No"/>
    <x v="0"/>
    <d v="2025-11-14T00:00:00"/>
    <n v="3"/>
    <n v="4"/>
    <n v="3"/>
    <x v="9"/>
    <x v="3"/>
  </r>
  <r>
    <x v="823"/>
    <x v="3"/>
    <x v="2"/>
    <x v="13"/>
    <x v="21"/>
    <x v="21"/>
    <x v="6"/>
    <s v="No"/>
    <x v="0"/>
    <d v="2025-10-28T00:00:00"/>
    <n v="5"/>
    <n v="3"/>
    <n v="2"/>
    <x v="8"/>
    <x v="3"/>
  </r>
  <r>
    <x v="824"/>
    <x v="1"/>
    <x v="0"/>
    <x v="10"/>
    <x v="11"/>
    <x v="22"/>
    <x v="8"/>
    <s v="Yes"/>
    <x v="4"/>
    <m/>
    <n v="1"/>
    <n v="4"/>
    <n v="7"/>
    <x v="2"/>
    <x v="5"/>
  </r>
  <r>
    <x v="825"/>
    <x v="1"/>
    <x v="2"/>
    <x v="4"/>
    <x v="14"/>
    <x v="20"/>
    <x v="19"/>
    <s v="No"/>
    <x v="0"/>
    <d v="2025-11-18T00:00:00"/>
    <n v="1"/>
    <n v="1"/>
    <n v="3"/>
    <x v="9"/>
    <x v="10"/>
  </r>
  <r>
    <x v="826"/>
    <x v="3"/>
    <x v="0"/>
    <x v="0"/>
    <x v="31"/>
    <x v="27"/>
    <x v="21"/>
    <s v="No"/>
    <x v="0"/>
    <d v="2025-11-08T00:00:00"/>
    <n v="1"/>
    <n v="3"/>
    <n v="4"/>
    <x v="5"/>
    <x v="9"/>
  </r>
  <r>
    <x v="827"/>
    <x v="3"/>
    <x v="1"/>
    <x v="7"/>
    <x v="2"/>
    <x v="2"/>
    <x v="2"/>
    <s v="Yes"/>
    <x v="4"/>
    <m/>
    <m/>
    <m/>
    <m/>
    <x v="2"/>
    <x v="2"/>
  </r>
  <r>
    <x v="828"/>
    <x v="0"/>
    <x v="0"/>
    <x v="5"/>
    <x v="28"/>
    <x v="31"/>
    <x v="18"/>
    <s v="No"/>
    <x v="0"/>
    <d v="2025-11-16T00:00:00"/>
    <n v="1"/>
    <n v="3"/>
    <n v="5"/>
    <x v="0"/>
    <x v="6"/>
  </r>
  <r>
    <x v="829"/>
    <x v="1"/>
    <x v="0"/>
    <x v="6"/>
    <x v="16"/>
    <x v="16"/>
    <x v="21"/>
    <s v="Yes"/>
    <x v="2"/>
    <m/>
    <n v="5"/>
    <n v="2"/>
    <n v="6"/>
    <x v="2"/>
    <x v="0"/>
  </r>
  <r>
    <x v="830"/>
    <x v="1"/>
    <x v="2"/>
    <x v="18"/>
    <x v="18"/>
    <x v="18"/>
    <x v="21"/>
    <s v="Yes"/>
    <x v="5"/>
    <m/>
    <n v="3"/>
    <n v="4"/>
    <n v="2"/>
    <x v="2"/>
    <x v="6"/>
  </r>
  <r>
    <x v="831"/>
    <x v="3"/>
    <x v="2"/>
    <x v="4"/>
    <x v="24"/>
    <x v="3"/>
    <x v="5"/>
    <s v="No"/>
    <x v="0"/>
    <d v="2025-11-10T00:00:00"/>
    <n v="2"/>
    <n v="5"/>
    <n v="7"/>
    <x v="3"/>
    <x v="8"/>
  </r>
  <r>
    <x v="832"/>
    <x v="2"/>
    <x v="2"/>
    <x v="8"/>
    <x v="32"/>
    <x v="39"/>
    <x v="33"/>
    <s v="No"/>
    <x v="0"/>
    <d v="2025-12-07T00:00:00"/>
    <n v="5"/>
    <n v="5"/>
    <n v="4"/>
    <x v="3"/>
    <x v="8"/>
  </r>
  <r>
    <x v="833"/>
    <x v="1"/>
    <x v="0"/>
    <x v="8"/>
    <x v="8"/>
    <x v="9"/>
    <x v="8"/>
    <s v="No"/>
    <x v="0"/>
    <d v="2025-12-04T00:00:00"/>
    <n v="4"/>
    <n v="2"/>
    <n v="4"/>
    <x v="5"/>
    <x v="3"/>
  </r>
  <r>
    <x v="834"/>
    <x v="2"/>
    <x v="2"/>
    <x v="17"/>
    <x v="1"/>
    <x v="11"/>
    <x v="12"/>
    <s v="No"/>
    <x v="0"/>
    <d v="2025-11-12T00:00:00"/>
    <n v="5"/>
    <n v="4"/>
    <n v="3"/>
    <x v="1"/>
    <x v="5"/>
  </r>
  <r>
    <x v="835"/>
    <x v="3"/>
    <x v="0"/>
    <x v="30"/>
    <x v="33"/>
    <x v="34"/>
    <x v="41"/>
    <s v="Yes"/>
    <x v="3"/>
    <m/>
    <n v="1"/>
    <n v="1"/>
    <n v="2"/>
    <x v="2"/>
    <x v="13"/>
  </r>
  <r>
    <x v="836"/>
    <x v="3"/>
    <x v="0"/>
    <x v="12"/>
    <x v="12"/>
    <x v="0"/>
    <x v="0"/>
    <s v="No"/>
    <x v="0"/>
    <d v="2025-11-16T00:00:00"/>
    <n v="4"/>
    <n v="2"/>
    <n v="5"/>
    <x v="0"/>
    <x v="4"/>
  </r>
  <r>
    <x v="837"/>
    <x v="0"/>
    <x v="0"/>
    <x v="9"/>
    <x v="7"/>
    <x v="6"/>
    <x v="7"/>
    <s v="No"/>
    <x v="0"/>
    <d v="2025-11-21T00:00:00"/>
    <n v="5"/>
    <n v="3"/>
    <n v="5"/>
    <x v="5"/>
    <x v="0"/>
  </r>
  <r>
    <x v="838"/>
    <x v="1"/>
    <x v="2"/>
    <x v="28"/>
    <x v="21"/>
    <x v="30"/>
    <x v="16"/>
    <s v="No"/>
    <x v="0"/>
    <d v="2025-11-04T00:00:00"/>
    <n v="3"/>
    <n v="1"/>
    <n v="6"/>
    <x v="5"/>
    <x v="3"/>
  </r>
  <r>
    <x v="839"/>
    <x v="2"/>
    <x v="2"/>
    <x v="11"/>
    <x v="3"/>
    <x v="24"/>
    <x v="21"/>
    <s v="No"/>
    <x v="0"/>
    <d v="2025-11-23T00:00:00"/>
    <n v="3"/>
    <n v="4"/>
    <n v="7"/>
    <x v="3"/>
    <x v="8"/>
  </r>
  <r>
    <x v="840"/>
    <x v="0"/>
    <x v="1"/>
    <x v="11"/>
    <x v="2"/>
    <x v="2"/>
    <x v="2"/>
    <s v="Yes"/>
    <x v="3"/>
    <m/>
    <m/>
    <m/>
    <m/>
    <x v="2"/>
    <x v="2"/>
  </r>
  <r>
    <x v="841"/>
    <x v="1"/>
    <x v="0"/>
    <x v="8"/>
    <x v="8"/>
    <x v="38"/>
    <x v="10"/>
    <s v="No"/>
    <x v="0"/>
    <d v="2025-11-27T00:00:00"/>
    <n v="4"/>
    <n v="3"/>
    <n v="6"/>
    <x v="3"/>
    <x v="0"/>
  </r>
  <r>
    <x v="842"/>
    <x v="0"/>
    <x v="0"/>
    <x v="24"/>
    <x v="21"/>
    <x v="17"/>
    <x v="27"/>
    <s v="No"/>
    <x v="0"/>
    <d v="2025-11-03T00:00:00"/>
    <n v="2"/>
    <n v="5"/>
    <n v="3"/>
    <x v="6"/>
    <x v="3"/>
  </r>
  <r>
    <x v="843"/>
    <x v="3"/>
    <x v="2"/>
    <x v="3"/>
    <x v="10"/>
    <x v="7"/>
    <x v="4"/>
    <s v="Yes"/>
    <x v="3"/>
    <m/>
    <n v="4"/>
    <n v="4"/>
    <n v="2"/>
    <x v="2"/>
    <x v="3"/>
  </r>
  <r>
    <x v="844"/>
    <x v="1"/>
    <x v="1"/>
    <x v="9"/>
    <x v="2"/>
    <x v="2"/>
    <x v="2"/>
    <s v="Yes"/>
    <x v="2"/>
    <m/>
    <m/>
    <m/>
    <m/>
    <x v="2"/>
    <x v="2"/>
  </r>
  <r>
    <x v="845"/>
    <x v="0"/>
    <x v="0"/>
    <x v="7"/>
    <x v="15"/>
    <x v="13"/>
    <x v="6"/>
    <s v="No"/>
    <x v="0"/>
    <d v="2025-11-14T00:00:00"/>
    <n v="3"/>
    <n v="3"/>
    <n v="5"/>
    <x v="11"/>
    <x v="4"/>
  </r>
  <r>
    <x v="846"/>
    <x v="0"/>
    <x v="0"/>
    <x v="26"/>
    <x v="25"/>
    <x v="15"/>
    <x v="17"/>
    <s v="No"/>
    <x v="0"/>
    <d v="2025-11-11T00:00:00"/>
    <n v="4"/>
    <n v="4"/>
    <n v="2"/>
    <x v="9"/>
    <x v="3"/>
  </r>
  <r>
    <x v="847"/>
    <x v="2"/>
    <x v="1"/>
    <x v="9"/>
    <x v="2"/>
    <x v="2"/>
    <x v="2"/>
    <s v="Yes"/>
    <x v="4"/>
    <m/>
    <m/>
    <m/>
    <m/>
    <x v="2"/>
    <x v="2"/>
  </r>
  <r>
    <x v="848"/>
    <x v="0"/>
    <x v="2"/>
    <x v="21"/>
    <x v="22"/>
    <x v="24"/>
    <x v="7"/>
    <s v="No"/>
    <x v="0"/>
    <d v="2025-11-13T00:00:00"/>
    <n v="1"/>
    <n v="3"/>
    <n v="3"/>
    <x v="7"/>
    <x v="12"/>
  </r>
  <r>
    <x v="849"/>
    <x v="1"/>
    <x v="0"/>
    <x v="10"/>
    <x v="11"/>
    <x v="22"/>
    <x v="18"/>
    <s v="No"/>
    <x v="0"/>
    <d v="2025-11-28T00:00:00"/>
    <n v="1"/>
    <n v="4"/>
    <n v="2"/>
    <x v="5"/>
    <x v="12"/>
  </r>
  <r>
    <x v="850"/>
    <x v="1"/>
    <x v="0"/>
    <x v="0"/>
    <x v="18"/>
    <x v="8"/>
    <x v="9"/>
    <s v="No"/>
    <x v="0"/>
    <d v="2025-11-12T00:00:00"/>
    <n v="2"/>
    <n v="5"/>
    <n v="2"/>
    <x v="8"/>
    <x v="6"/>
  </r>
  <r>
    <x v="851"/>
    <x v="2"/>
    <x v="2"/>
    <x v="9"/>
    <x v="24"/>
    <x v="11"/>
    <x v="22"/>
    <s v="No"/>
    <x v="0"/>
    <d v="2025-11-15T00:00:00"/>
    <n v="4"/>
    <n v="2"/>
    <n v="2"/>
    <x v="3"/>
    <x v="9"/>
  </r>
  <r>
    <x v="852"/>
    <x v="1"/>
    <x v="1"/>
    <x v="30"/>
    <x v="2"/>
    <x v="2"/>
    <x v="2"/>
    <s v="Yes"/>
    <x v="5"/>
    <m/>
    <m/>
    <m/>
    <m/>
    <x v="2"/>
    <x v="2"/>
  </r>
  <r>
    <x v="853"/>
    <x v="3"/>
    <x v="0"/>
    <x v="27"/>
    <x v="7"/>
    <x v="6"/>
    <x v="15"/>
    <s v="Yes"/>
    <x v="1"/>
    <m/>
    <n v="4"/>
    <n v="3"/>
    <n v="3"/>
    <x v="2"/>
    <x v="3"/>
  </r>
  <r>
    <x v="854"/>
    <x v="1"/>
    <x v="0"/>
    <x v="17"/>
    <x v="19"/>
    <x v="20"/>
    <x v="19"/>
    <s v="No"/>
    <x v="0"/>
    <d v="2025-11-06T00:00:00"/>
    <n v="4"/>
    <n v="3"/>
    <n v="3"/>
    <x v="0"/>
    <x v="3"/>
  </r>
  <r>
    <x v="855"/>
    <x v="1"/>
    <x v="2"/>
    <x v="28"/>
    <x v="17"/>
    <x v="20"/>
    <x v="19"/>
    <s v="No"/>
    <x v="0"/>
    <d v="2025-11-17T00:00:00"/>
    <n v="4"/>
    <n v="5"/>
    <n v="3"/>
    <x v="11"/>
    <x v="5"/>
  </r>
  <r>
    <x v="856"/>
    <x v="0"/>
    <x v="2"/>
    <x v="8"/>
    <x v="34"/>
    <x v="4"/>
    <x v="23"/>
    <s v="No"/>
    <x v="0"/>
    <d v="2025-12-08T00:00:00"/>
    <n v="2"/>
    <n v="2"/>
    <n v="5"/>
    <x v="10"/>
    <x v="6"/>
  </r>
  <r>
    <x v="857"/>
    <x v="0"/>
    <x v="0"/>
    <x v="7"/>
    <x v="15"/>
    <x v="30"/>
    <x v="6"/>
    <s v="No"/>
    <x v="0"/>
    <d v="2025-10-29T00:00:00"/>
    <n v="3"/>
    <n v="4"/>
    <n v="4"/>
    <x v="9"/>
    <x v="4"/>
  </r>
  <r>
    <x v="858"/>
    <x v="1"/>
    <x v="0"/>
    <x v="8"/>
    <x v="32"/>
    <x v="33"/>
    <x v="20"/>
    <s v="No"/>
    <x v="0"/>
    <d v="2025-12-08T00:00:00"/>
    <n v="5"/>
    <n v="3"/>
    <n v="7"/>
    <x v="11"/>
    <x v="1"/>
  </r>
  <r>
    <x v="859"/>
    <x v="2"/>
    <x v="2"/>
    <x v="3"/>
    <x v="11"/>
    <x v="12"/>
    <x v="11"/>
    <s v="No"/>
    <x v="0"/>
    <d v="2025-11-21T00:00:00"/>
    <n v="2"/>
    <n v="2"/>
    <n v="7"/>
    <x v="8"/>
    <x v="4"/>
  </r>
  <r>
    <x v="860"/>
    <x v="0"/>
    <x v="0"/>
    <x v="5"/>
    <x v="11"/>
    <x v="22"/>
    <x v="8"/>
    <s v="No"/>
    <x v="0"/>
    <d v="2025-12-06T00:00:00"/>
    <n v="3"/>
    <n v="4"/>
    <n v="7"/>
    <x v="0"/>
    <x v="8"/>
  </r>
  <r>
    <x v="861"/>
    <x v="2"/>
    <x v="0"/>
    <x v="11"/>
    <x v="3"/>
    <x v="3"/>
    <x v="15"/>
    <s v="No"/>
    <x v="0"/>
    <d v="2025-11-21T00:00:00"/>
    <n v="3"/>
    <n v="3"/>
    <n v="2"/>
    <x v="7"/>
    <x v="9"/>
  </r>
  <r>
    <x v="862"/>
    <x v="1"/>
    <x v="2"/>
    <x v="25"/>
    <x v="13"/>
    <x v="37"/>
    <x v="6"/>
    <s v="Yes"/>
    <x v="4"/>
    <m/>
    <n v="3"/>
    <n v="3"/>
    <n v="6"/>
    <x v="2"/>
    <x v="5"/>
  </r>
  <r>
    <x v="863"/>
    <x v="1"/>
    <x v="0"/>
    <x v="26"/>
    <x v="25"/>
    <x v="15"/>
    <x v="18"/>
    <s v="No"/>
    <x v="0"/>
    <d v="2025-11-18T00:00:00"/>
    <n v="4"/>
    <n v="4"/>
    <n v="6"/>
    <x v="3"/>
    <x v="8"/>
  </r>
  <r>
    <x v="864"/>
    <x v="3"/>
    <x v="2"/>
    <x v="28"/>
    <x v="27"/>
    <x v="23"/>
    <x v="27"/>
    <s v="No"/>
    <x v="0"/>
    <d v="2025-11-06T00:00:00"/>
    <n v="2"/>
    <n v="5"/>
    <n v="4"/>
    <x v="8"/>
    <x v="4"/>
  </r>
  <r>
    <x v="865"/>
    <x v="0"/>
    <x v="1"/>
    <x v="0"/>
    <x v="2"/>
    <x v="2"/>
    <x v="2"/>
    <s v="Yes"/>
    <x v="2"/>
    <m/>
    <m/>
    <m/>
    <m/>
    <x v="2"/>
    <x v="2"/>
  </r>
  <r>
    <x v="866"/>
    <x v="1"/>
    <x v="0"/>
    <x v="0"/>
    <x v="9"/>
    <x v="26"/>
    <x v="5"/>
    <s v="No"/>
    <x v="0"/>
    <d v="2025-11-10T00:00:00"/>
    <n v="3"/>
    <n v="2"/>
    <n v="2"/>
    <x v="3"/>
    <x v="12"/>
  </r>
  <r>
    <x v="867"/>
    <x v="3"/>
    <x v="2"/>
    <x v="18"/>
    <x v="0"/>
    <x v="8"/>
    <x v="9"/>
    <s v="No"/>
    <x v="0"/>
    <d v="2025-11-12T00:00:00"/>
    <n v="5"/>
    <n v="3"/>
    <n v="2"/>
    <x v="3"/>
    <x v="3"/>
  </r>
  <r>
    <x v="868"/>
    <x v="0"/>
    <x v="0"/>
    <x v="2"/>
    <x v="13"/>
    <x v="13"/>
    <x v="28"/>
    <s v="No"/>
    <x v="0"/>
    <d v="2025-11-06T00:00:00"/>
    <n v="5"/>
    <n v="4"/>
    <n v="2"/>
    <x v="7"/>
    <x v="4"/>
  </r>
  <r>
    <x v="869"/>
    <x v="1"/>
    <x v="0"/>
    <x v="30"/>
    <x v="33"/>
    <x v="29"/>
    <x v="35"/>
    <s v="No"/>
    <x v="0"/>
    <d v="2025-10-25T00:00:00"/>
    <n v="1"/>
    <n v="3"/>
    <n v="3"/>
    <x v="10"/>
    <x v="12"/>
  </r>
  <r>
    <x v="870"/>
    <x v="1"/>
    <x v="0"/>
    <x v="19"/>
    <x v="23"/>
    <x v="10"/>
    <x v="23"/>
    <s v="No"/>
    <x v="0"/>
    <d v="2025-12-08T00:00:00"/>
    <n v="3"/>
    <n v="4"/>
    <n v="7"/>
    <x v="1"/>
    <x v="8"/>
  </r>
  <r>
    <x v="871"/>
    <x v="0"/>
    <x v="0"/>
    <x v="1"/>
    <x v="19"/>
    <x v="20"/>
    <x v="12"/>
    <s v="No"/>
    <x v="0"/>
    <d v="2025-11-06T00:00:00"/>
    <n v="2"/>
    <n v="3"/>
    <n v="5"/>
    <x v="11"/>
    <x v="3"/>
  </r>
  <r>
    <x v="872"/>
    <x v="0"/>
    <x v="0"/>
    <x v="24"/>
    <x v="20"/>
    <x v="21"/>
    <x v="14"/>
    <s v="No"/>
    <x v="0"/>
    <d v="2025-11-03T00:00:00"/>
    <n v="4"/>
    <n v="1"/>
    <n v="3"/>
    <x v="7"/>
    <x v="9"/>
  </r>
  <r>
    <x v="873"/>
    <x v="0"/>
    <x v="2"/>
    <x v="13"/>
    <x v="13"/>
    <x v="30"/>
    <x v="38"/>
    <s v="No"/>
    <x v="0"/>
    <d v="2025-11-08T00:00:00"/>
    <n v="1"/>
    <n v="5"/>
    <n v="2"/>
    <x v="8"/>
    <x v="9"/>
  </r>
  <r>
    <x v="874"/>
    <x v="1"/>
    <x v="2"/>
    <x v="19"/>
    <x v="23"/>
    <x v="31"/>
    <x v="34"/>
    <s v="No"/>
    <x v="0"/>
    <d v="2025-11-20T00:00:00"/>
    <n v="3"/>
    <n v="2"/>
    <n v="4"/>
    <x v="9"/>
    <x v="6"/>
  </r>
  <r>
    <x v="875"/>
    <x v="1"/>
    <x v="2"/>
    <x v="23"/>
    <x v="18"/>
    <x v="8"/>
    <x v="9"/>
    <s v="No"/>
    <x v="0"/>
    <d v="2025-11-20T00:00:00"/>
    <n v="4"/>
    <n v="5"/>
    <n v="2"/>
    <x v="5"/>
    <x v="4"/>
  </r>
  <r>
    <x v="876"/>
    <x v="3"/>
    <x v="0"/>
    <x v="28"/>
    <x v="27"/>
    <x v="23"/>
    <x v="14"/>
    <s v="No"/>
    <x v="0"/>
    <d v="2025-11-08T00:00:00"/>
    <n v="2"/>
    <n v="5"/>
    <n v="2"/>
    <x v="0"/>
    <x v="6"/>
  </r>
  <r>
    <x v="877"/>
    <x v="2"/>
    <x v="1"/>
    <x v="25"/>
    <x v="2"/>
    <x v="2"/>
    <x v="2"/>
    <s v="Yes"/>
    <x v="4"/>
    <m/>
    <m/>
    <m/>
    <m/>
    <x v="2"/>
    <x v="2"/>
  </r>
  <r>
    <x v="878"/>
    <x v="0"/>
    <x v="0"/>
    <x v="5"/>
    <x v="23"/>
    <x v="31"/>
    <x v="18"/>
    <s v="No"/>
    <x v="0"/>
    <d v="2025-11-24T00:00:00"/>
    <n v="2"/>
    <n v="2"/>
    <n v="5"/>
    <x v="8"/>
    <x v="6"/>
  </r>
  <r>
    <x v="879"/>
    <x v="1"/>
    <x v="2"/>
    <x v="22"/>
    <x v="25"/>
    <x v="31"/>
    <x v="26"/>
    <s v="No"/>
    <x v="0"/>
    <d v="2025-11-17T00:00:00"/>
    <n v="1"/>
    <n v="5"/>
    <n v="2"/>
    <x v="8"/>
    <x v="9"/>
  </r>
  <r>
    <x v="880"/>
    <x v="1"/>
    <x v="0"/>
    <x v="21"/>
    <x v="22"/>
    <x v="6"/>
    <x v="15"/>
    <s v="No"/>
    <x v="0"/>
    <d v="2025-11-03T00:00:00"/>
    <n v="1"/>
    <n v="1"/>
    <n v="3"/>
    <x v="0"/>
    <x v="10"/>
  </r>
  <r>
    <x v="881"/>
    <x v="0"/>
    <x v="1"/>
    <x v="28"/>
    <x v="2"/>
    <x v="2"/>
    <x v="2"/>
    <s v="Yes"/>
    <x v="4"/>
    <m/>
    <m/>
    <m/>
    <m/>
    <x v="2"/>
    <x v="2"/>
  </r>
  <r>
    <x v="882"/>
    <x v="2"/>
    <x v="0"/>
    <x v="23"/>
    <x v="31"/>
    <x v="26"/>
    <x v="17"/>
    <s v="No"/>
    <x v="0"/>
    <d v="2025-11-28T00:00:00"/>
    <n v="3"/>
    <n v="4"/>
    <n v="6"/>
    <x v="8"/>
    <x v="0"/>
  </r>
  <r>
    <x v="883"/>
    <x v="0"/>
    <x v="1"/>
    <x v="28"/>
    <x v="2"/>
    <x v="2"/>
    <x v="2"/>
    <s v="Yes"/>
    <x v="2"/>
    <m/>
    <m/>
    <m/>
    <m/>
    <x v="2"/>
    <x v="2"/>
  </r>
  <r>
    <x v="884"/>
    <x v="2"/>
    <x v="2"/>
    <x v="5"/>
    <x v="4"/>
    <x v="10"/>
    <x v="4"/>
    <s v="No"/>
    <x v="0"/>
    <d v="2025-12-02T00:00:00"/>
    <n v="4"/>
    <n v="2"/>
    <n v="5"/>
    <x v="11"/>
    <x v="4"/>
  </r>
  <r>
    <x v="885"/>
    <x v="1"/>
    <x v="2"/>
    <x v="3"/>
    <x v="34"/>
    <x v="9"/>
    <x v="10"/>
    <s v="No"/>
    <x v="0"/>
    <d v="2025-11-29T00:00:00"/>
    <n v="5"/>
    <n v="4"/>
    <n v="7"/>
    <x v="9"/>
    <x v="11"/>
  </r>
  <r>
    <x v="886"/>
    <x v="2"/>
    <x v="1"/>
    <x v="24"/>
    <x v="2"/>
    <x v="2"/>
    <x v="2"/>
    <s v="Yes"/>
    <x v="3"/>
    <m/>
    <m/>
    <m/>
    <m/>
    <x v="2"/>
    <x v="2"/>
  </r>
  <r>
    <x v="887"/>
    <x v="3"/>
    <x v="0"/>
    <x v="1"/>
    <x v="14"/>
    <x v="11"/>
    <x v="15"/>
    <s v="No"/>
    <x v="0"/>
    <d v="2025-11-17T00:00:00"/>
    <n v="4"/>
    <n v="3"/>
    <n v="5"/>
    <x v="11"/>
    <x v="5"/>
  </r>
  <r>
    <x v="888"/>
    <x v="1"/>
    <x v="0"/>
    <x v="22"/>
    <x v="12"/>
    <x v="8"/>
    <x v="26"/>
    <s v="No"/>
    <x v="0"/>
    <d v="2025-11-22T00:00:00"/>
    <n v="2"/>
    <n v="1"/>
    <n v="5"/>
    <x v="3"/>
    <x v="9"/>
  </r>
  <r>
    <x v="889"/>
    <x v="3"/>
    <x v="0"/>
    <x v="13"/>
    <x v="15"/>
    <x v="30"/>
    <x v="38"/>
    <s v="No"/>
    <x v="0"/>
    <d v="2025-10-30T00:00:00"/>
    <n v="2"/>
    <n v="4"/>
    <n v="2"/>
    <x v="8"/>
    <x v="9"/>
  </r>
  <r>
    <x v="890"/>
    <x v="0"/>
    <x v="1"/>
    <x v="19"/>
    <x v="2"/>
    <x v="2"/>
    <x v="2"/>
    <s v="Yes"/>
    <x v="3"/>
    <m/>
    <m/>
    <m/>
    <m/>
    <x v="2"/>
    <x v="2"/>
  </r>
  <r>
    <x v="891"/>
    <x v="0"/>
    <x v="0"/>
    <x v="10"/>
    <x v="10"/>
    <x v="7"/>
    <x v="8"/>
    <s v="No"/>
    <x v="0"/>
    <d v="2025-11-20T00:00:00"/>
    <n v="3"/>
    <n v="4"/>
    <n v="5"/>
    <x v="11"/>
    <x v="5"/>
  </r>
  <r>
    <x v="892"/>
    <x v="0"/>
    <x v="0"/>
    <x v="18"/>
    <x v="0"/>
    <x v="18"/>
    <x v="0"/>
    <s v="No"/>
    <x v="0"/>
    <d v="2025-11-13T00:00:00"/>
    <n v="5"/>
    <n v="2"/>
    <n v="7"/>
    <x v="11"/>
    <x v="8"/>
  </r>
  <r>
    <x v="893"/>
    <x v="2"/>
    <x v="0"/>
    <x v="2"/>
    <x v="26"/>
    <x v="36"/>
    <x v="28"/>
    <s v="No"/>
    <x v="0"/>
    <d v="2025-10-24T00:00:00"/>
    <n v="3"/>
    <n v="3"/>
    <n v="5"/>
    <x v="11"/>
    <x v="4"/>
  </r>
  <r>
    <x v="894"/>
    <x v="1"/>
    <x v="0"/>
    <x v="17"/>
    <x v="17"/>
    <x v="21"/>
    <x v="14"/>
    <s v="No"/>
    <x v="0"/>
    <d v="2025-10-29T00:00:00"/>
    <n v="2"/>
    <n v="2"/>
    <n v="3"/>
    <x v="10"/>
    <x v="12"/>
  </r>
  <r>
    <x v="895"/>
    <x v="0"/>
    <x v="0"/>
    <x v="3"/>
    <x v="11"/>
    <x v="10"/>
    <x v="13"/>
    <s v="Yes"/>
    <x v="5"/>
    <m/>
    <n v="2"/>
    <n v="3"/>
    <n v="4"/>
    <x v="2"/>
    <x v="6"/>
  </r>
  <r>
    <x v="896"/>
    <x v="0"/>
    <x v="1"/>
    <x v="13"/>
    <x v="2"/>
    <x v="2"/>
    <x v="2"/>
    <s v="Yes"/>
    <x v="5"/>
    <m/>
    <m/>
    <m/>
    <m/>
    <x v="2"/>
    <x v="2"/>
  </r>
  <r>
    <x v="897"/>
    <x v="1"/>
    <x v="1"/>
    <x v="13"/>
    <x v="2"/>
    <x v="2"/>
    <x v="2"/>
    <s v="Yes"/>
    <x v="3"/>
    <m/>
    <m/>
    <m/>
    <m/>
    <x v="2"/>
    <x v="2"/>
  </r>
  <r>
    <x v="898"/>
    <x v="0"/>
    <x v="1"/>
    <x v="21"/>
    <x v="2"/>
    <x v="2"/>
    <x v="2"/>
    <s v="Yes"/>
    <x v="1"/>
    <m/>
    <m/>
    <m/>
    <m/>
    <x v="2"/>
    <x v="2"/>
  </r>
  <r>
    <x v="899"/>
    <x v="3"/>
    <x v="2"/>
    <x v="17"/>
    <x v="19"/>
    <x v="17"/>
    <x v="27"/>
    <s v="No"/>
    <x v="0"/>
    <d v="2025-11-15T00:00:00"/>
    <n v="4"/>
    <n v="2"/>
    <n v="3"/>
    <x v="3"/>
    <x v="6"/>
  </r>
  <r>
    <x v="900"/>
    <x v="1"/>
    <x v="0"/>
    <x v="19"/>
    <x v="4"/>
    <x v="4"/>
    <x v="4"/>
    <s v="No"/>
    <x v="0"/>
    <d v="2025-12-02T00:00:00"/>
    <n v="5"/>
    <n v="4"/>
    <n v="3"/>
    <x v="4"/>
    <x v="5"/>
  </r>
  <r>
    <x v="901"/>
    <x v="1"/>
    <x v="0"/>
    <x v="14"/>
    <x v="21"/>
    <x v="23"/>
    <x v="27"/>
    <s v="No"/>
    <x v="0"/>
    <d v="2025-11-01T00:00:00"/>
    <n v="4"/>
    <n v="4"/>
    <n v="4"/>
    <x v="6"/>
    <x v="5"/>
  </r>
  <r>
    <x v="902"/>
    <x v="1"/>
    <x v="0"/>
    <x v="7"/>
    <x v="30"/>
    <x v="37"/>
    <x v="38"/>
    <s v="No"/>
    <x v="0"/>
    <d v="2025-10-25T00:00:00"/>
    <n v="4"/>
    <n v="1"/>
    <n v="4"/>
    <x v="7"/>
    <x v="6"/>
  </r>
  <r>
    <x v="903"/>
    <x v="3"/>
    <x v="0"/>
    <x v="26"/>
    <x v="0"/>
    <x v="0"/>
    <x v="0"/>
    <s v="No"/>
    <x v="0"/>
    <d v="2025-11-29T00:00:00"/>
    <n v="3"/>
    <n v="4"/>
    <n v="5"/>
    <x v="3"/>
    <x v="5"/>
  </r>
  <r>
    <x v="904"/>
    <x v="1"/>
    <x v="1"/>
    <x v="3"/>
    <x v="2"/>
    <x v="2"/>
    <x v="2"/>
    <s v="Yes"/>
    <x v="4"/>
    <m/>
    <m/>
    <m/>
    <m/>
    <x v="2"/>
    <x v="2"/>
  </r>
  <r>
    <x v="905"/>
    <x v="3"/>
    <x v="0"/>
    <x v="2"/>
    <x v="6"/>
    <x v="13"/>
    <x v="38"/>
    <s v="No"/>
    <x v="0"/>
    <d v="2025-10-25T00:00:00"/>
    <n v="4"/>
    <n v="5"/>
    <n v="3"/>
    <x v="11"/>
    <x v="5"/>
  </r>
  <r>
    <x v="906"/>
    <x v="1"/>
    <x v="0"/>
    <x v="13"/>
    <x v="13"/>
    <x v="13"/>
    <x v="28"/>
    <s v="No"/>
    <x v="0"/>
    <d v="2025-10-25T00:00:00"/>
    <n v="1"/>
    <n v="4"/>
    <n v="2"/>
    <x v="8"/>
    <x v="12"/>
  </r>
  <r>
    <x v="907"/>
    <x v="2"/>
    <x v="2"/>
    <x v="2"/>
    <x v="29"/>
    <x v="36"/>
    <x v="38"/>
    <s v="No"/>
    <x v="0"/>
    <d v="2025-10-31T00:00:00"/>
    <n v="1"/>
    <n v="5"/>
    <n v="6"/>
    <x v="0"/>
    <x v="5"/>
  </r>
  <r>
    <x v="908"/>
    <x v="0"/>
    <x v="0"/>
    <x v="9"/>
    <x v="24"/>
    <x v="6"/>
    <x v="1"/>
    <s v="No"/>
    <x v="0"/>
    <d v="2025-11-25T00:00:00"/>
    <n v="4"/>
    <n v="4"/>
    <n v="6"/>
    <x v="1"/>
    <x v="8"/>
  </r>
  <r>
    <x v="909"/>
    <x v="2"/>
    <x v="0"/>
    <x v="19"/>
    <x v="4"/>
    <x v="7"/>
    <x v="36"/>
    <s v="No"/>
    <x v="0"/>
    <d v="2025-11-28T00:00:00"/>
    <n v="5"/>
    <n v="5"/>
    <n v="6"/>
    <x v="0"/>
    <x v="11"/>
  </r>
  <r>
    <x v="910"/>
    <x v="0"/>
    <x v="0"/>
    <x v="19"/>
    <x v="11"/>
    <x v="4"/>
    <x v="4"/>
    <s v="No"/>
    <x v="0"/>
    <d v="2025-12-01T00:00:00"/>
    <n v="4"/>
    <n v="5"/>
    <n v="3"/>
    <x v="8"/>
    <x v="5"/>
  </r>
  <r>
    <x v="911"/>
    <x v="3"/>
    <x v="2"/>
    <x v="24"/>
    <x v="21"/>
    <x v="23"/>
    <x v="12"/>
    <s v="No"/>
    <x v="0"/>
    <d v="2025-11-09T00:00:00"/>
    <n v="2"/>
    <n v="4"/>
    <n v="7"/>
    <x v="10"/>
    <x v="0"/>
  </r>
  <r>
    <x v="912"/>
    <x v="2"/>
    <x v="2"/>
    <x v="23"/>
    <x v="16"/>
    <x v="26"/>
    <x v="9"/>
    <s v="No"/>
    <x v="0"/>
    <d v="2025-11-17T00:00:00"/>
    <n v="2"/>
    <n v="5"/>
    <n v="4"/>
    <x v="1"/>
    <x v="4"/>
  </r>
  <r>
    <x v="913"/>
    <x v="1"/>
    <x v="0"/>
    <x v="1"/>
    <x v="24"/>
    <x v="25"/>
    <x v="31"/>
    <s v="No"/>
    <x v="0"/>
    <d v="2025-11-15T00:00:00"/>
    <n v="5"/>
    <n v="1"/>
    <n v="5"/>
    <x v="3"/>
    <x v="4"/>
  </r>
  <r>
    <x v="914"/>
    <x v="0"/>
    <x v="2"/>
    <x v="2"/>
    <x v="26"/>
    <x v="36"/>
    <x v="28"/>
    <s v="No"/>
    <x v="0"/>
    <d v="2025-10-23T00:00:00"/>
    <n v="3"/>
    <n v="3"/>
    <n v="5"/>
    <x v="8"/>
    <x v="4"/>
  </r>
  <r>
    <x v="915"/>
    <x v="0"/>
    <x v="2"/>
    <x v="14"/>
    <x v="15"/>
    <x v="14"/>
    <x v="27"/>
    <s v="No"/>
    <x v="0"/>
    <d v="2025-10-31T00:00:00"/>
    <n v="1"/>
    <n v="5"/>
    <n v="6"/>
    <x v="10"/>
    <x v="5"/>
  </r>
  <r>
    <x v="916"/>
    <x v="2"/>
    <x v="2"/>
    <x v="17"/>
    <x v="21"/>
    <x v="17"/>
    <x v="22"/>
    <s v="No"/>
    <x v="0"/>
    <d v="2025-11-04T00:00:00"/>
    <n v="1"/>
    <n v="5"/>
    <n v="5"/>
    <x v="5"/>
    <x v="4"/>
  </r>
  <r>
    <x v="917"/>
    <x v="3"/>
    <x v="2"/>
    <x v="30"/>
    <x v="6"/>
    <x v="29"/>
    <x v="29"/>
    <s v="No"/>
    <x v="0"/>
    <d v="2025-10-19T00:00:00"/>
    <n v="3"/>
    <n v="1"/>
    <n v="2"/>
    <x v="1"/>
    <x v="7"/>
  </r>
  <r>
    <x v="918"/>
    <x v="2"/>
    <x v="2"/>
    <x v="13"/>
    <x v="27"/>
    <x v="13"/>
    <x v="28"/>
    <s v="No"/>
    <x v="0"/>
    <d v="2025-10-31T00:00:00"/>
    <n v="4"/>
    <n v="1"/>
    <n v="2"/>
    <x v="10"/>
    <x v="12"/>
  </r>
  <r>
    <x v="919"/>
    <x v="3"/>
    <x v="0"/>
    <x v="15"/>
    <x v="23"/>
    <x v="31"/>
    <x v="34"/>
    <s v="No"/>
    <x v="0"/>
    <d v="2025-11-25T00:00:00"/>
    <n v="5"/>
    <n v="2"/>
    <n v="4"/>
    <x v="5"/>
    <x v="4"/>
  </r>
  <r>
    <x v="920"/>
    <x v="3"/>
    <x v="0"/>
    <x v="4"/>
    <x v="3"/>
    <x v="3"/>
    <x v="1"/>
    <s v="No"/>
    <x v="0"/>
    <d v="2025-11-15T00:00:00"/>
    <n v="4"/>
    <n v="3"/>
    <n v="5"/>
    <x v="6"/>
    <x v="5"/>
  </r>
  <r>
    <x v="921"/>
    <x v="0"/>
    <x v="1"/>
    <x v="16"/>
    <x v="2"/>
    <x v="2"/>
    <x v="2"/>
    <s v="Yes"/>
    <x v="1"/>
    <m/>
    <m/>
    <m/>
    <m/>
    <x v="2"/>
    <x v="2"/>
  </r>
  <r>
    <x v="922"/>
    <x v="2"/>
    <x v="0"/>
    <x v="7"/>
    <x v="15"/>
    <x v="37"/>
    <x v="28"/>
    <s v="No"/>
    <x v="0"/>
    <d v="2025-11-04T00:00:00"/>
    <n v="3"/>
    <n v="2"/>
    <n v="3"/>
    <x v="5"/>
    <x v="9"/>
  </r>
  <r>
    <x v="923"/>
    <x v="2"/>
    <x v="0"/>
    <x v="15"/>
    <x v="23"/>
    <x v="22"/>
    <x v="11"/>
    <s v="No"/>
    <x v="0"/>
    <d v="2025-11-21T00:00:00"/>
    <n v="5"/>
    <n v="5"/>
    <n v="5"/>
    <x v="5"/>
    <x v="1"/>
  </r>
  <r>
    <x v="924"/>
    <x v="3"/>
    <x v="2"/>
    <x v="25"/>
    <x v="26"/>
    <x v="32"/>
    <x v="29"/>
    <s v="No"/>
    <x v="0"/>
    <d v="2025-10-21T00:00:00"/>
    <n v="1"/>
    <n v="1"/>
    <n v="3"/>
    <x v="5"/>
    <x v="10"/>
  </r>
  <r>
    <x v="925"/>
    <x v="2"/>
    <x v="2"/>
    <x v="6"/>
    <x v="7"/>
    <x v="24"/>
    <x v="21"/>
    <s v="No"/>
    <x v="0"/>
    <d v="2025-11-09T00:00:00"/>
    <n v="1"/>
    <n v="5"/>
    <n v="7"/>
    <x v="0"/>
    <x v="0"/>
  </r>
  <r>
    <x v="926"/>
    <x v="1"/>
    <x v="0"/>
    <x v="11"/>
    <x v="22"/>
    <x v="16"/>
    <x v="21"/>
    <s v="No"/>
    <x v="0"/>
    <d v="2025-11-08T00:00:00"/>
    <n v="4"/>
    <n v="4"/>
    <n v="6"/>
    <x v="11"/>
    <x v="8"/>
  </r>
  <r>
    <x v="927"/>
    <x v="1"/>
    <x v="2"/>
    <x v="22"/>
    <x v="12"/>
    <x v="15"/>
    <x v="26"/>
    <s v="Yes"/>
    <x v="4"/>
    <m/>
    <n v="2"/>
    <n v="3"/>
    <n v="3"/>
    <x v="2"/>
    <x v="9"/>
  </r>
  <r>
    <x v="928"/>
    <x v="2"/>
    <x v="0"/>
    <x v="9"/>
    <x v="14"/>
    <x v="1"/>
    <x v="1"/>
    <s v="No"/>
    <x v="0"/>
    <d v="2025-11-09T00:00:00"/>
    <n v="3"/>
    <n v="4"/>
    <n v="7"/>
    <x v="1"/>
    <x v="8"/>
  </r>
  <r>
    <x v="929"/>
    <x v="2"/>
    <x v="0"/>
    <x v="16"/>
    <x v="5"/>
    <x v="3"/>
    <x v="32"/>
    <s v="No"/>
    <x v="0"/>
    <d v="2025-11-26T00:00:00"/>
    <n v="3"/>
    <n v="1"/>
    <n v="6"/>
    <x v="10"/>
    <x v="3"/>
  </r>
  <r>
    <x v="930"/>
    <x v="3"/>
    <x v="0"/>
    <x v="23"/>
    <x v="18"/>
    <x v="28"/>
    <x v="1"/>
    <s v="No"/>
    <x v="0"/>
    <d v="2025-11-10T00:00:00"/>
    <n v="4"/>
    <n v="1"/>
    <n v="2"/>
    <x v="11"/>
    <x v="12"/>
  </r>
  <r>
    <x v="931"/>
    <x v="1"/>
    <x v="2"/>
    <x v="7"/>
    <x v="15"/>
    <x v="5"/>
    <x v="38"/>
    <s v="No"/>
    <x v="0"/>
    <d v="2025-11-02T00:00:00"/>
    <n v="3"/>
    <n v="1"/>
    <n v="5"/>
    <x v="3"/>
    <x v="6"/>
  </r>
  <r>
    <x v="932"/>
    <x v="1"/>
    <x v="0"/>
    <x v="11"/>
    <x v="24"/>
    <x v="1"/>
    <x v="1"/>
    <s v="No"/>
    <x v="0"/>
    <d v="2025-11-16T00:00:00"/>
    <n v="1"/>
    <n v="3"/>
    <n v="7"/>
    <x v="0"/>
    <x v="4"/>
  </r>
  <r>
    <x v="933"/>
    <x v="0"/>
    <x v="0"/>
    <x v="16"/>
    <x v="16"/>
    <x v="16"/>
    <x v="32"/>
    <s v="Yes"/>
    <x v="3"/>
    <m/>
    <n v="4"/>
    <n v="2"/>
    <n v="4"/>
    <x v="2"/>
    <x v="3"/>
  </r>
  <r>
    <x v="934"/>
    <x v="3"/>
    <x v="2"/>
    <x v="24"/>
    <x v="27"/>
    <x v="23"/>
    <x v="19"/>
    <s v="No"/>
    <x v="0"/>
    <d v="2025-11-12T00:00:00"/>
    <n v="1"/>
    <n v="5"/>
    <n v="5"/>
    <x v="3"/>
    <x v="4"/>
  </r>
  <r>
    <x v="935"/>
    <x v="0"/>
    <x v="0"/>
    <x v="8"/>
    <x v="32"/>
    <x v="39"/>
    <x v="43"/>
    <s v="No"/>
    <x v="0"/>
    <d v="2025-12-15T00:00:00"/>
    <n v="5"/>
    <n v="5"/>
    <n v="6"/>
    <x v="0"/>
    <x v="11"/>
  </r>
  <r>
    <x v="936"/>
    <x v="1"/>
    <x v="0"/>
    <x v="18"/>
    <x v="0"/>
    <x v="15"/>
    <x v="34"/>
    <s v="No"/>
    <x v="0"/>
    <d v="2025-11-22T00:00:00"/>
    <n v="5"/>
    <n v="5"/>
    <n v="5"/>
    <x v="8"/>
    <x v="1"/>
  </r>
  <r>
    <x v="937"/>
    <x v="3"/>
    <x v="1"/>
    <x v="30"/>
    <x v="2"/>
    <x v="2"/>
    <x v="2"/>
    <s v="Yes"/>
    <x v="5"/>
    <m/>
    <m/>
    <m/>
    <m/>
    <x v="2"/>
    <x v="2"/>
  </r>
  <r>
    <x v="938"/>
    <x v="2"/>
    <x v="2"/>
    <x v="15"/>
    <x v="25"/>
    <x v="31"/>
    <x v="34"/>
    <s v="No"/>
    <x v="0"/>
    <d v="2025-11-16T00:00:00"/>
    <n v="2"/>
    <n v="5"/>
    <n v="4"/>
    <x v="11"/>
    <x v="4"/>
  </r>
  <r>
    <x v="939"/>
    <x v="3"/>
    <x v="1"/>
    <x v="19"/>
    <x v="2"/>
    <x v="2"/>
    <x v="2"/>
    <s v="Yes"/>
    <x v="5"/>
    <m/>
    <m/>
    <m/>
    <m/>
    <x v="2"/>
    <x v="2"/>
  </r>
  <r>
    <x v="940"/>
    <x v="2"/>
    <x v="0"/>
    <x v="20"/>
    <x v="34"/>
    <x v="38"/>
    <x v="10"/>
    <s v="No"/>
    <x v="0"/>
    <d v="2025-12-04T00:00:00"/>
    <n v="3"/>
    <n v="5"/>
    <n v="6"/>
    <x v="1"/>
    <x v="8"/>
  </r>
  <r>
    <x v="941"/>
    <x v="2"/>
    <x v="0"/>
    <x v="3"/>
    <x v="34"/>
    <x v="4"/>
    <x v="8"/>
    <s v="No"/>
    <x v="0"/>
    <d v="2025-11-30T00:00:00"/>
    <n v="5"/>
    <n v="2"/>
    <n v="6"/>
    <x v="7"/>
    <x v="0"/>
  </r>
  <r>
    <x v="942"/>
    <x v="3"/>
    <x v="2"/>
    <x v="26"/>
    <x v="0"/>
    <x v="0"/>
    <x v="26"/>
    <s v="No"/>
    <x v="0"/>
    <d v="2025-11-17T00:00:00"/>
    <n v="3"/>
    <n v="4"/>
    <n v="4"/>
    <x v="8"/>
    <x v="4"/>
  </r>
  <r>
    <x v="943"/>
    <x v="2"/>
    <x v="0"/>
    <x v="16"/>
    <x v="3"/>
    <x v="3"/>
    <x v="1"/>
    <s v="No"/>
    <x v="0"/>
    <d v="2025-11-08T00:00:00"/>
    <n v="1"/>
    <n v="3"/>
    <n v="5"/>
    <x v="0"/>
    <x v="6"/>
  </r>
  <r>
    <x v="944"/>
    <x v="0"/>
    <x v="2"/>
    <x v="29"/>
    <x v="1"/>
    <x v="11"/>
    <x v="31"/>
    <s v="No"/>
    <x v="0"/>
    <d v="2025-11-13T00:00:00"/>
    <n v="4"/>
    <n v="4"/>
    <n v="4"/>
    <x v="9"/>
    <x v="5"/>
  </r>
  <r>
    <x v="945"/>
    <x v="1"/>
    <x v="0"/>
    <x v="11"/>
    <x v="5"/>
    <x v="28"/>
    <x v="32"/>
    <s v="No"/>
    <x v="0"/>
    <d v="2025-11-18T00:00:00"/>
    <n v="5"/>
    <n v="4"/>
    <n v="3"/>
    <x v="5"/>
    <x v="5"/>
  </r>
  <r>
    <x v="946"/>
    <x v="2"/>
    <x v="2"/>
    <x v="0"/>
    <x v="0"/>
    <x v="15"/>
    <x v="17"/>
    <s v="No"/>
    <x v="0"/>
    <d v="2025-11-25T00:00:00"/>
    <n v="4"/>
    <n v="5"/>
    <n v="2"/>
    <x v="5"/>
    <x v="4"/>
  </r>
  <r>
    <x v="947"/>
    <x v="0"/>
    <x v="1"/>
    <x v="8"/>
    <x v="2"/>
    <x v="2"/>
    <x v="2"/>
    <s v="Yes"/>
    <x v="1"/>
    <m/>
    <m/>
    <m/>
    <m/>
    <x v="2"/>
    <x v="2"/>
  </r>
  <r>
    <x v="948"/>
    <x v="2"/>
    <x v="0"/>
    <x v="2"/>
    <x v="13"/>
    <x v="30"/>
    <x v="6"/>
    <s v="No"/>
    <x v="0"/>
    <d v="2025-11-02T00:00:00"/>
    <n v="5"/>
    <n v="5"/>
    <n v="4"/>
    <x v="1"/>
    <x v="8"/>
  </r>
  <r>
    <x v="949"/>
    <x v="1"/>
    <x v="0"/>
    <x v="30"/>
    <x v="6"/>
    <x v="36"/>
    <x v="38"/>
    <s v="No"/>
    <x v="0"/>
    <d v="2025-11-04T00:00:00"/>
    <n v="3"/>
    <n v="2"/>
    <n v="6"/>
    <x v="0"/>
    <x v="4"/>
  </r>
  <r>
    <x v="950"/>
    <x v="0"/>
    <x v="2"/>
    <x v="6"/>
    <x v="16"/>
    <x v="28"/>
    <x v="32"/>
    <s v="No"/>
    <x v="0"/>
    <d v="2025-11-21T00:00:00"/>
    <n v="5"/>
    <n v="3"/>
    <n v="3"/>
    <x v="9"/>
    <x v="4"/>
  </r>
  <r>
    <x v="951"/>
    <x v="1"/>
    <x v="2"/>
    <x v="3"/>
    <x v="34"/>
    <x v="22"/>
    <x v="18"/>
    <s v="No"/>
    <x v="0"/>
    <d v="2025-11-28T00:00:00"/>
    <n v="5"/>
    <n v="1"/>
    <n v="2"/>
    <x v="10"/>
    <x v="9"/>
  </r>
  <r>
    <x v="952"/>
    <x v="1"/>
    <x v="0"/>
    <x v="27"/>
    <x v="1"/>
    <x v="11"/>
    <x v="31"/>
    <s v="No"/>
    <x v="0"/>
    <d v="2025-11-21T00:00:00"/>
    <n v="1"/>
    <n v="4"/>
    <n v="4"/>
    <x v="10"/>
    <x v="6"/>
  </r>
  <r>
    <x v="953"/>
    <x v="0"/>
    <x v="0"/>
    <x v="4"/>
    <x v="24"/>
    <x v="25"/>
    <x v="19"/>
    <s v="No"/>
    <x v="0"/>
    <d v="2025-11-03T00:00:00"/>
    <n v="2"/>
    <n v="1"/>
    <n v="2"/>
    <x v="5"/>
    <x v="10"/>
  </r>
  <r>
    <x v="954"/>
    <x v="0"/>
    <x v="2"/>
    <x v="26"/>
    <x v="18"/>
    <x v="26"/>
    <x v="24"/>
    <s v="No"/>
    <x v="0"/>
    <d v="2025-11-13T00:00:00"/>
    <n v="1"/>
    <n v="3"/>
    <n v="5"/>
    <x v="10"/>
    <x v="6"/>
  </r>
  <r>
    <x v="955"/>
    <x v="0"/>
    <x v="0"/>
    <x v="7"/>
    <x v="30"/>
    <x v="14"/>
    <x v="27"/>
    <s v="No"/>
    <x v="0"/>
    <d v="2025-11-01T00:00:00"/>
    <n v="4"/>
    <n v="4"/>
    <n v="6"/>
    <x v="0"/>
    <x v="8"/>
  </r>
  <r>
    <x v="956"/>
    <x v="3"/>
    <x v="1"/>
    <x v="6"/>
    <x v="2"/>
    <x v="2"/>
    <x v="2"/>
    <s v="Yes"/>
    <x v="5"/>
    <m/>
    <m/>
    <m/>
    <m/>
    <x v="2"/>
    <x v="2"/>
  </r>
  <r>
    <x v="957"/>
    <x v="0"/>
    <x v="0"/>
    <x v="12"/>
    <x v="25"/>
    <x v="18"/>
    <x v="24"/>
    <s v="No"/>
    <x v="0"/>
    <d v="2025-11-11T00:00:00"/>
    <n v="3"/>
    <n v="1"/>
    <n v="4"/>
    <x v="4"/>
    <x v="9"/>
  </r>
  <r>
    <x v="958"/>
    <x v="0"/>
    <x v="0"/>
    <x v="20"/>
    <x v="34"/>
    <x v="22"/>
    <x v="23"/>
    <s v="No"/>
    <x v="0"/>
    <d v="2025-11-24T00:00:00"/>
    <n v="3"/>
    <n v="1"/>
    <n v="6"/>
    <x v="10"/>
    <x v="3"/>
  </r>
  <r>
    <x v="959"/>
    <x v="0"/>
    <x v="1"/>
    <x v="11"/>
    <x v="2"/>
    <x v="2"/>
    <x v="2"/>
    <s v="Yes"/>
    <x v="3"/>
    <m/>
    <m/>
    <m/>
    <m/>
    <x v="2"/>
    <x v="2"/>
  </r>
  <r>
    <x v="960"/>
    <x v="0"/>
    <x v="2"/>
    <x v="25"/>
    <x v="30"/>
    <x v="13"/>
    <x v="38"/>
    <s v="No"/>
    <x v="0"/>
    <d v="2025-10-26T00:00:00"/>
    <n v="5"/>
    <n v="2"/>
    <n v="3"/>
    <x v="1"/>
    <x v="3"/>
  </r>
  <r>
    <x v="961"/>
    <x v="2"/>
    <x v="0"/>
    <x v="10"/>
    <x v="10"/>
    <x v="4"/>
    <x v="4"/>
    <s v="No"/>
    <x v="0"/>
    <d v="2025-11-30T00:00:00"/>
    <n v="3"/>
    <n v="3"/>
    <n v="3"/>
    <x v="5"/>
    <x v="6"/>
  </r>
  <r>
    <x v="962"/>
    <x v="3"/>
    <x v="1"/>
    <x v="25"/>
    <x v="2"/>
    <x v="2"/>
    <x v="2"/>
    <s v="Yes"/>
    <x v="1"/>
    <m/>
    <m/>
    <m/>
    <m/>
    <x v="2"/>
    <x v="2"/>
  </r>
  <r>
    <x v="963"/>
    <x v="1"/>
    <x v="2"/>
    <x v="1"/>
    <x v="19"/>
    <x v="20"/>
    <x v="27"/>
    <s v="No"/>
    <x v="0"/>
    <d v="2025-11-15T00:00:00"/>
    <n v="2"/>
    <n v="3"/>
    <n v="2"/>
    <x v="9"/>
    <x v="12"/>
  </r>
  <r>
    <x v="964"/>
    <x v="0"/>
    <x v="0"/>
    <x v="18"/>
    <x v="31"/>
    <x v="27"/>
    <x v="5"/>
    <s v="No"/>
    <x v="0"/>
    <d v="2025-11-22T00:00:00"/>
    <n v="2"/>
    <n v="3"/>
    <n v="3"/>
    <x v="3"/>
    <x v="9"/>
  </r>
  <r>
    <x v="965"/>
    <x v="2"/>
    <x v="0"/>
    <x v="13"/>
    <x v="21"/>
    <x v="23"/>
    <x v="12"/>
    <s v="No"/>
    <x v="0"/>
    <d v="2025-11-18T00:00:00"/>
    <n v="5"/>
    <n v="4"/>
    <n v="7"/>
    <x v="11"/>
    <x v="11"/>
  </r>
  <r>
    <x v="966"/>
    <x v="2"/>
    <x v="0"/>
    <x v="25"/>
    <x v="30"/>
    <x v="13"/>
    <x v="38"/>
    <s v="No"/>
    <x v="0"/>
    <d v="2025-11-06T00:00:00"/>
    <n v="5"/>
    <n v="2"/>
    <n v="3"/>
    <x v="8"/>
    <x v="3"/>
  </r>
  <r>
    <x v="967"/>
    <x v="2"/>
    <x v="0"/>
    <x v="13"/>
    <x v="27"/>
    <x v="23"/>
    <x v="27"/>
    <s v="No"/>
    <x v="0"/>
    <d v="2025-11-02T00:00:00"/>
    <n v="4"/>
    <n v="5"/>
    <n v="4"/>
    <x v="11"/>
    <x v="0"/>
  </r>
  <r>
    <x v="968"/>
    <x v="1"/>
    <x v="1"/>
    <x v="17"/>
    <x v="2"/>
    <x v="2"/>
    <x v="2"/>
    <s v="Yes"/>
    <x v="4"/>
    <m/>
    <m/>
    <m/>
    <m/>
    <x v="2"/>
    <x v="2"/>
  </r>
  <r>
    <x v="969"/>
    <x v="0"/>
    <x v="0"/>
    <x v="18"/>
    <x v="0"/>
    <x v="0"/>
    <x v="34"/>
    <s v="No"/>
    <x v="0"/>
    <d v="2025-12-03T00:00:00"/>
    <n v="5"/>
    <n v="4"/>
    <n v="6"/>
    <x v="5"/>
    <x v="1"/>
  </r>
  <r>
    <x v="970"/>
    <x v="3"/>
    <x v="2"/>
    <x v="0"/>
    <x v="31"/>
    <x v="27"/>
    <x v="17"/>
    <s v="No"/>
    <x v="0"/>
    <d v="2025-11-23T00:00:00"/>
    <n v="1"/>
    <n v="3"/>
    <n v="7"/>
    <x v="4"/>
    <x v="4"/>
  </r>
  <r>
    <x v="971"/>
    <x v="3"/>
    <x v="1"/>
    <x v="23"/>
    <x v="2"/>
    <x v="2"/>
    <x v="2"/>
    <s v="Yes"/>
    <x v="5"/>
    <m/>
    <m/>
    <m/>
    <m/>
    <x v="2"/>
    <x v="2"/>
  </r>
  <r>
    <x v="972"/>
    <x v="2"/>
    <x v="2"/>
    <x v="21"/>
    <x v="22"/>
    <x v="16"/>
    <x v="7"/>
    <s v="No"/>
    <x v="0"/>
    <d v="2025-11-15T00:00:00"/>
    <n v="1"/>
    <n v="4"/>
    <n v="2"/>
    <x v="4"/>
    <x v="12"/>
  </r>
  <r>
    <x v="973"/>
    <x v="1"/>
    <x v="0"/>
    <x v="12"/>
    <x v="9"/>
    <x v="27"/>
    <x v="5"/>
    <s v="No"/>
    <x v="0"/>
    <d v="2025-11-26T00:00:00"/>
    <n v="1"/>
    <n v="1"/>
    <n v="3"/>
    <x v="3"/>
    <x v="10"/>
  </r>
  <r>
    <x v="974"/>
    <x v="1"/>
    <x v="0"/>
    <x v="1"/>
    <x v="19"/>
    <x v="25"/>
    <x v="15"/>
    <s v="No"/>
    <x v="0"/>
    <d v="2025-11-02T00:00:00"/>
    <n v="2"/>
    <n v="4"/>
    <n v="6"/>
    <x v="11"/>
    <x v="5"/>
  </r>
  <r>
    <x v="975"/>
    <x v="1"/>
    <x v="0"/>
    <x v="27"/>
    <x v="24"/>
    <x v="6"/>
    <x v="7"/>
    <s v="Yes"/>
    <x v="2"/>
    <m/>
    <n v="3"/>
    <n v="4"/>
    <n v="5"/>
    <x v="2"/>
    <x v="5"/>
  </r>
  <r>
    <x v="976"/>
    <x v="3"/>
    <x v="0"/>
    <x v="18"/>
    <x v="9"/>
    <x v="18"/>
    <x v="24"/>
    <s v="Yes"/>
    <x v="5"/>
    <m/>
    <n v="4"/>
    <n v="3"/>
    <n v="4"/>
    <x v="2"/>
    <x v="4"/>
  </r>
  <r>
    <x v="977"/>
    <x v="2"/>
    <x v="1"/>
    <x v="16"/>
    <x v="2"/>
    <x v="2"/>
    <x v="2"/>
    <s v="Yes"/>
    <x v="4"/>
    <m/>
    <m/>
    <m/>
    <m/>
    <x v="2"/>
    <x v="2"/>
  </r>
  <r>
    <x v="978"/>
    <x v="0"/>
    <x v="0"/>
    <x v="29"/>
    <x v="14"/>
    <x v="20"/>
    <x v="19"/>
    <s v="No"/>
    <x v="0"/>
    <d v="2025-11-02T00:00:00"/>
    <n v="5"/>
    <n v="1"/>
    <n v="3"/>
    <x v="1"/>
    <x v="6"/>
  </r>
  <r>
    <x v="979"/>
    <x v="3"/>
    <x v="0"/>
    <x v="11"/>
    <x v="22"/>
    <x v="24"/>
    <x v="7"/>
    <s v="No"/>
    <x v="0"/>
    <d v="2025-11-19T00:00:00"/>
    <n v="4"/>
    <n v="3"/>
    <n v="3"/>
    <x v="7"/>
    <x v="3"/>
  </r>
  <r>
    <x v="980"/>
    <x v="2"/>
    <x v="2"/>
    <x v="16"/>
    <x v="22"/>
    <x v="6"/>
    <x v="15"/>
    <s v="No"/>
    <x v="0"/>
    <d v="2025-11-17T00:00:00"/>
    <n v="2"/>
    <n v="1"/>
    <n v="3"/>
    <x v="6"/>
    <x v="7"/>
  </r>
  <r>
    <x v="981"/>
    <x v="2"/>
    <x v="1"/>
    <x v="18"/>
    <x v="2"/>
    <x v="2"/>
    <x v="2"/>
    <s v="Yes"/>
    <x v="1"/>
    <m/>
    <m/>
    <m/>
    <m/>
    <x v="2"/>
    <x v="2"/>
  </r>
  <r>
    <x v="982"/>
    <x v="0"/>
    <x v="1"/>
    <x v="4"/>
    <x v="2"/>
    <x v="2"/>
    <x v="2"/>
    <s v="Yes"/>
    <x v="4"/>
    <m/>
    <m/>
    <m/>
    <m/>
    <x v="2"/>
    <x v="2"/>
  </r>
  <r>
    <x v="983"/>
    <x v="0"/>
    <x v="0"/>
    <x v="7"/>
    <x v="27"/>
    <x v="13"/>
    <x v="14"/>
    <s v="No"/>
    <x v="0"/>
    <d v="2025-10-29T00:00:00"/>
    <n v="5"/>
    <n v="1"/>
    <n v="6"/>
    <x v="0"/>
    <x v="5"/>
  </r>
  <r>
    <x v="984"/>
    <x v="0"/>
    <x v="2"/>
    <x v="19"/>
    <x v="4"/>
    <x v="12"/>
    <x v="18"/>
    <s v="No"/>
    <x v="0"/>
    <d v="2025-11-28T00:00:00"/>
    <n v="5"/>
    <n v="1"/>
    <n v="4"/>
    <x v="0"/>
    <x v="3"/>
  </r>
  <r>
    <x v="985"/>
    <x v="1"/>
    <x v="2"/>
    <x v="12"/>
    <x v="0"/>
    <x v="8"/>
    <x v="34"/>
    <s v="No"/>
    <x v="0"/>
    <d v="2025-11-28T00:00:00"/>
    <n v="2"/>
    <n v="3"/>
    <n v="7"/>
    <x v="11"/>
    <x v="5"/>
  </r>
  <r>
    <x v="986"/>
    <x v="0"/>
    <x v="2"/>
    <x v="7"/>
    <x v="15"/>
    <x v="5"/>
    <x v="6"/>
    <s v="No"/>
    <x v="0"/>
    <d v="2025-10-26T00:00:00"/>
    <n v="3"/>
    <n v="1"/>
    <n v="7"/>
    <x v="1"/>
    <x v="4"/>
  </r>
  <r>
    <x v="987"/>
    <x v="2"/>
    <x v="2"/>
    <x v="3"/>
    <x v="34"/>
    <x v="4"/>
    <x v="11"/>
    <s v="No"/>
    <x v="0"/>
    <d v="2025-11-20T00:00:00"/>
    <n v="5"/>
    <n v="2"/>
    <n v="4"/>
    <x v="6"/>
    <x v="4"/>
  </r>
  <r>
    <x v="988"/>
    <x v="0"/>
    <x v="0"/>
    <x v="0"/>
    <x v="9"/>
    <x v="26"/>
    <x v="17"/>
    <s v="No"/>
    <x v="0"/>
    <d v="2025-11-19T00:00:00"/>
    <n v="3"/>
    <n v="2"/>
    <n v="6"/>
    <x v="8"/>
    <x v="4"/>
  </r>
  <r>
    <x v="989"/>
    <x v="2"/>
    <x v="1"/>
    <x v="0"/>
    <x v="2"/>
    <x v="2"/>
    <x v="2"/>
    <s v="Yes"/>
    <x v="2"/>
    <m/>
    <m/>
    <m/>
    <m/>
    <x v="2"/>
    <x v="2"/>
  </r>
  <r>
    <x v="990"/>
    <x v="3"/>
    <x v="0"/>
    <x v="10"/>
    <x v="4"/>
    <x v="7"/>
    <x v="4"/>
    <s v="No"/>
    <x v="0"/>
    <d v="2025-12-07T00:00:00"/>
    <n v="2"/>
    <n v="5"/>
    <n v="2"/>
    <x v="5"/>
    <x v="6"/>
  </r>
  <r>
    <x v="991"/>
    <x v="1"/>
    <x v="2"/>
    <x v="22"/>
    <x v="23"/>
    <x v="31"/>
    <x v="4"/>
    <s v="No"/>
    <x v="0"/>
    <d v="2025-11-27T00:00:00"/>
    <n v="4"/>
    <n v="2"/>
    <n v="7"/>
    <x v="9"/>
    <x v="0"/>
  </r>
  <r>
    <x v="992"/>
    <x v="3"/>
    <x v="2"/>
    <x v="21"/>
    <x v="18"/>
    <x v="8"/>
    <x v="34"/>
    <s v="No"/>
    <x v="0"/>
    <d v="2025-11-14T00:00:00"/>
    <n v="5"/>
    <n v="5"/>
    <n v="7"/>
    <x v="7"/>
    <x v="14"/>
  </r>
  <r>
    <x v="993"/>
    <x v="3"/>
    <x v="2"/>
    <x v="15"/>
    <x v="12"/>
    <x v="0"/>
    <x v="26"/>
    <s v="No"/>
    <x v="0"/>
    <d v="2025-11-28T00:00:00"/>
    <n v="3"/>
    <n v="2"/>
    <n v="4"/>
    <x v="11"/>
    <x v="6"/>
  </r>
  <r>
    <x v="994"/>
    <x v="2"/>
    <x v="2"/>
    <x v="3"/>
    <x v="34"/>
    <x v="7"/>
    <x v="36"/>
    <s v="No"/>
    <x v="0"/>
    <d v="2025-12-09T00:00:00"/>
    <n v="5"/>
    <n v="3"/>
    <n v="6"/>
    <x v="10"/>
    <x v="8"/>
  </r>
  <r>
    <x v="995"/>
    <x v="3"/>
    <x v="2"/>
    <x v="28"/>
    <x v="21"/>
    <x v="17"/>
    <x v="12"/>
    <s v="No"/>
    <x v="0"/>
    <d v="2025-11-18T00:00:00"/>
    <n v="3"/>
    <n v="5"/>
    <n v="6"/>
    <x v="7"/>
    <x v="8"/>
  </r>
  <r>
    <x v="996"/>
    <x v="2"/>
    <x v="2"/>
    <x v="4"/>
    <x v="22"/>
    <x v="16"/>
    <x v="1"/>
    <s v="No"/>
    <x v="0"/>
    <d v="2025-11-12T00:00:00"/>
    <n v="5"/>
    <n v="4"/>
    <n v="3"/>
    <x v="11"/>
    <x v="5"/>
  </r>
  <r>
    <x v="997"/>
    <x v="0"/>
    <x v="0"/>
    <x v="11"/>
    <x v="5"/>
    <x v="28"/>
    <x v="9"/>
    <s v="No"/>
    <x v="0"/>
    <d v="2025-11-19T00:00:00"/>
    <n v="5"/>
    <n v="4"/>
    <n v="6"/>
    <x v="9"/>
    <x v="1"/>
  </r>
  <r>
    <x v="998"/>
    <x v="0"/>
    <x v="1"/>
    <x v="10"/>
    <x v="2"/>
    <x v="2"/>
    <x v="2"/>
    <s v="Yes"/>
    <x v="3"/>
    <m/>
    <m/>
    <m/>
    <m/>
    <x v="2"/>
    <x v="2"/>
  </r>
  <r>
    <x v="999"/>
    <x v="2"/>
    <x v="0"/>
    <x v="24"/>
    <x v="19"/>
    <x v="17"/>
    <x v="27"/>
    <s v="No"/>
    <x v="0"/>
    <d v="2025-11-13T00:00:00"/>
    <n v="5"/>
    <n v="2"/>
    <n v="3"/>
    <x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64A13-9349-422E-9D8E-875EAFFFF4C0}"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
  <location ref="A1:F6"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name="Count of Lead Date" fld="1" subtotal="count" baseField="0" baseItem="0"/>
    <dataField name="Count of Pre-Booking Date" fld="2" subtotal="count" baseField="0" baseItem="0"/>
    <dataField name="Count of Booking Date" fld="3" subtotal="count" baseField="0" baseItem="0"/>
    <dataField name="Count of Delivery Date" fld="4" subtotal="count" baseField="0" baseItem="0"/>
    <dataField name="Count of Service Follow-up Date" fld="5"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2"/>
          </reference>
        </references>
      </pivotArea>
    </chartFormat>
    <chartFormat chart="12" format="13" series="1">
      <pivotArea type="data" outline="0" fieldPosition="0">
        <references count="1">
          <reference field="4294967294" count="1" selected="0">
            <x v="3"/>
          </reference>
        </references>
      </pivotArea>
    </chartFormat>
    <chartFormat chart="12" format="14" series="1">
      <pivotArea type="data" outline="0" fieldPosition="0">
        <references count="1">
          <reference field="4294967294" count="1" selected="0">
            <x v="4"/>
          </reference>
        </references>
      </pivotArea>
    </chartFormat>
  </chartFormats>
  <pivotHierarchies count="37">
    <pivotHierarchy dragToData="1"/>
    <pivotHierarchy dragToData="1"/>
    <pivotHierarchy multipleItemSelectionAllowed="1" dragToData="1">
      <members count="1" level="1">
        <member name="[EPe_BA_intern_assesment_Raw_data___Sheet1].[Lead Type].&amp;[Ho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Pe_BA_intern_assesment_Raw_data___Sheet1">
        <x15:activeTabTopLevelEntity name="[EPe_BA_intern_assesment_Raw_data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7D8E8-F2D3-44C8-8369-9A45C00478E3}"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D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Average of TAT Pre-Booking (Days)" fld="1" subtotal="average" baseField="0" baseItem="0"/>
    <dataField name="Average of TAT Booking (Days)" fld="2" subtotal="average" baseField="0" baseItem="0"/>
    <dataField name="Average of TAT Delivery (Days)" fld="3" subtotal="average" baseField="0" baseItem="0"/>
  </dataFields>
  <formats count="3">
    <format dxfId="25">
      <pivotArea collapsedLevelsAreSubtotals="1" fieldPosition="0">
        <references count="2">
          <reference field="4294967294" count="1" selected="0">
            <x v="2"/>
          </reference>
          <reference field="0" count="1">
            <x v="2"/>
          </reference>
        </references>
      </pivotArea>
    </format>
    <format dxfId="24">
      <pivotArea outline="0" collapsedLevelsAreSubtotals="1" fieldPosition="0"/>
    </format>
    <format dxfId="23">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Pe_BA_intern_assesment_Raw_data___Sheet1">
        <x15:activeTabTopLevelEntity name="[EPe_BA_intern_assesment_Raw_data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A62CE-94CB-4EBC-BEE8-80EAA7AE1BEE}"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colHeaderCaption="">
  <location ref="A1:G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s="1" x="0"/>
        <item s="1" x="1"/>
        <item s="1" x="2"/>
        <item s="1" x="3"/>
        <item s="1" x="4"/>
        <item n="ef'" x="5"/>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6">
    <i>
      <x/>
    </i>
    <i>
      <x v="1"/>
    </i>
    <i>
      <x v="2"/>
    </i>
    <i>
      <x v="3"/>
    </i>
    <i>
      <x v="4"/>
    </i>
    <i t="grand">
      <x/>
    </i>
  </colItems>
  <dataFields count="1">
    <dataField name="Count of Cancellation Reason" fld="2" subtotal="count" baseField="0" baseItem="0"/>
  </dataFields>
  <chartFormats count="11">
    <chartFormat chart="13" format="7" series="1">
      <pivotArea type="data" outline="0" fieldPosition="0">
        <references count="1">
          <reference field="1" count="1" selected="0">
            <x v="5"/>
          </reference>
        </references>
      </pivotArea>
    </chartFormat>
    <chartFormat chart="13" format="8" series="1">
      <pivotArea type="data" outline="0" fieldPosition="0">
        <references count="1">
          <reference field="1" count="1" selected="0">
            <x v="0"/>
          </reference>
        </references>
      </pivotArea>
    </chartFormat>
    <chartFormat chart="13" format="9" series="1">
      <pivotArea type="data" outline="0" fieldPosition="0">
        <references count="1">
          <reference field="1" count="1" selected="0">
            <x v="1"/>
          </reference>
        </references>
      </pivotArea>
    </chartFormat>
    <chartFormat chart="13" format="10" series="1">
      <pivotArea type="data" outline="0" fieldPosition="0">
        <references count="1">
          <reference field="1" count="1" selected="0">
            <x v="2"/>
          </reference>
        </references>
      </pivotArea>
    </chartFormat>
    <chartFormat chart="13" format="11" series="1">
      <pivotArea type="data" outline="0" fieldPosition="0">
        <references count="1">
          <reference field="1" count="1" selected="0">
            <x v="3"/>
          </reference>
        </references>
      </pivotArea>
    </chartFormat>
    <chartFormat chart="13" format="12" series="1">
      <pivotArea type="data" outline="0" fieldPosition="0">
        <references count="1">
          <reference field="1" count="1" selected="0">
            <x v="4"/>
          </reference>
        </references>
      </pivotArea>
    </chartFormat>
    <chartFormat chart="13" format="13" series="1">
      <pivotArea type="data" outline="0" fieldPosition="0">
        <references count="2">
          <reference field="4294967294" count="1" selected="0">
            <x v="0"/>
          </reference>
          <reference field="1" count="1" selected="0">
            <x v="0"/>
          </reference>
        </references>
      </pivotArea>
    </chartFormat>
    <chartFormat chart="13" format="14" series="1">
      <pivotArea type="data" outline="0" fieldPosition="0">
        <references count="2">
          <reference field="4294967294" count="1" selected="0">
            <x v="0"/>
          </reference>
          <reference field="1" count="1" selected="0">
            <x v="1"/>
          </reference>
        </references>
      </pivotArea>
    </chartFormat>
    <chartFormat chart="13" format="15" series="1">
      <pivotArea type="data" outline="0" fieldPosition="0">
        <references count="2">
          <reference field="4294967294" count="1" selected="0">
            <x v="0"/>
          </reference>
          <reference field="1" count="1" selected="0">
            <x v="2"/>
          </reference>
        </references>
      </pivotArea>
    </chartFormat>
    <chartFormat chart="13" format="16" series="1">
      <pivotArea type="data" outline="0" fieldPosition="0">
        <references count="2">
          <reference field="4294967294" count="1" selected="0">
            <x v="0"/>
          </reference>
          <reference field="1" count="1" selected="0">
            <x v="3"/>
          </reference>
        </references>
      </pivotArea>
    </chartFormat>
    <chartFormat chart="13" format="17" series="1">
      <pivotArea type="data" outline="0" fieldPosition="0">
        <references count="2">
          <reference field="4294967294" count="1" selected="0">
            <x v="0"/>
          </reference>
          <reference field="1" count="1" selected="0">
            <x v="4"/>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Pe_BA_intern_assesment_Raw_data___Sheet1">
        <x15:activeTabTopLevelEntity name="[EPe_BA_intern_assesment_Raw_data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077C3F-74F5-43AB-A345-924E8DB3E0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S51:IW68" firstHeaderRow="0" firstDataRow="1" firstDataCol="1"/>
  <pivotFields count="21">
    <pivotField showAll="0"/>
    <pivotField axis="axisRow" showAll="0">
      <items count="5">
        <item x="0"/>
        <item x="3"/>
        <item x="1"/>
        <item x="2"/>
        <item t="default"/>
      </items>
    </pivotField>
    <pivotField showAll="0">
      <items count="4">
        <item x="1"/>
        <item x="2"/>
        <item x="0"/>
        <item t="default"/>
      </items>
    </pivotField>
    <pivotField numFmtId="14" showAll="0"/>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dataField="1"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dataField="1"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3">
    <field x="1"/>
    <field x="16"/>
    <field x="15"/>
  </rowFields>
  <rowItems count="17">
    <i>
      <x/>
    </i>
    <i r="1">
      <x/>
    </i>
    <i r="1">
      <x v="10"/>
    </i>
    <i r="1">
      <x v="11"/>
    </i>
    <i>
      <x v="1"/>
    </i>
    <i r="1">
      <x/>
    </i>
    <i r="1">
      <x v="10"/>
    </i>
    <i r="1">
      <x v="11"/>
    </i>
    <i>
      <x v="2"/>
    </i>
    <i r="1">
      <x/>
    </i>
    <i r="1">
      <x v="10"/>
    </i>
    <i r="1">
      <x v="11"/>
    </i>
    <i>
      <x v="3"/>
    </i>
    <i r="1">
      <x/>
    </i>
    <i r="1">
      <x v="10"/>
    </i>
    <i r="1">
      <x v="11"/>
    </i>
    <i t="grand">
      <x/>
    </i>
  </rowItems>
  <colFields count="1">
    <field x="-2"/>
  </colFields>
  <colItems count="4">
    <i>
      <x/>
    </i>
    <i i="1">
      <x v="1"/>
    </i>
    <i i="2">
      <x v="2"/>
    </i>
    <i i="3">
      <x v="3"/>
    </i>
  </colItems>
  <dataFields count="4">
    <dataField name="Count of Pre-Booking Date" fld="4" subtotal="count" baseField="0" baseItem="0"/>
    <dataField name="Count of Booking Date" fld="5" subtotal="count" baseField="0" baseItem="0"/>
    <dataField name="Count of Delivery Date" fld="6" subtotal="count" baseField="0" baseItem="0"/>
    <dataField name="Count of Cancellation Status" fld="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E88362-4569-4EE3-877E-27813ED2ECA7}"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colHeaderCaption="">
  <location ref="A1:E7" firstHeaderRow="1" firstDataRow="2" firstDataCol="1"/>
  <pivotFields count="5">
    <pivotField allDrilled="1" subtotalTop="0" showAll="0" dataSourceSort="1" defaultSubtotal="0" defaultAttributeDrillState="1">
      <items count="6">
        <item x="0"/>
        <item x="1"/>
        <item x="2"/>
        <item x="3"/>
        <item x="4"/>
        <item n="ef'" x="5"/>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i>
    <i>
      <x v="1"/>
    </i>
    <i>
      <x v="2"/>
    </i>
    <i>
      <x v="3"/>
    </i>
    <i t="grand">
      <x/>
    </i>
  </rowItems>
  <colFields count="1">
    <field x="3"/>
  </colFields>
  <colItems count="4">
    <i>
      <x/>
    </i>
    <i>
      <x v="1"/>
    </i>
    <i>
      <x v="2"/>
    </i>
    <i t="grand">
      <x/>
    </i>
  </colItems>
  <dataFields count="1">
    <dataField name="Count of Lead Type" fld="2" subtotal="count" baseField="0" baseItem="0"/>
  </dataFields>
  <chartFormats count="27">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13" format="6" series="1">
      <pivotArea type="data" outline="0" fieldPosition="0">
        <references count="2">
          <reference field="4294967294" count="1" selected="0">
            <x v="0"/>
          </reference>
          <reference field="3" count="1" selected="0">
            <x v="0"/>
          </reference>
        </references>
      </pivotArea>
    </chartFormat>
    <chartFormat chart="13" format="7" series="1">
      <pivotArea type="data" outline="0" fieldPosition="0">
        <references count="2">
          <reference field="4294967294" count="1" selected="0">
            <x v="0"/>
          </reference>
          <reference field="3" count="1" selected="0">
            <x v="1"/>
          </reference>
        </references>
      </pivotArea>
    </chartFormat>
    <chartFormat chart="13" format="8" series="1">
      <pivotArea type="data" outline="0" fieldPosition="0">
        <references count="2">
          <reference field="4294967294" count="1" selected="0">
            <x v="0"/>
          </reference>
          <reference field="3" count="1" selected="0">
            <x v="2"/>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18" format="2" series="1">
      <pivotArea type="data" outline="0" fieldPosition="0">
        <references count="2">
          <reference field="4294967294" count="1" selected="0">
            <x v="0"/>
          </reference>
          <reference field="3" count="1" selected="0">
            <x v="2"/>
          </reference>
        </references>
      </pivotArea>
    </chartFormat>
    <chartFormat chart="20" format="18" series="1">
      <pivotArea type="data" outline="0" fieldPosition="0">
        <references count="2">
          <reference field="4294967294" count="1" selected="0">
            <x v="0"/>
          </reference>
          <reference field="3" count="1" selected="0">
            <x v="0"/>
          </reference>
        </references>
      </pivotArea>
    </chartFormat>
    <chartFormat chart="20" format="19">
      <pivotArea type="data" outline="0" fieldPosition="0">
        <references count="3">
          <reference field="4294967294" count="1" selected="0">
            <x v="0"/>
          </reference>
          <reference field="1" count="1" selected="0">
            <x v="0"/>
          </reference>
          <reference field="3" count="1" selected="0">
            <x v="0"/>
          </reference>
        </references>
      </pivotArea>
    </chartFormat>
    <chartFormat chart="20" format="20">
      <pivotArea type="data" outline="0" fieldPosition="0">
        <references count="3">
          <reference field="4294967294" count="1" selected="0">
            <x v="0"/>
          </reference>
          <reference field="1" count="1" selected="0">
            <x v="1"/>
          </reference>
          <reference field="3" count="1" selected="0">
            <x v="0"/>
          </reference>
        </references>
      </pivotArea>
    </chartFormat>
    <chartFormat chart="20" format="21">
      <pivotArea type="data" outline="0" fieldPosition="0">
        <references count="3">
          <reference field="4294967294" count="1" selected="0">
            <x v="0"/>
          </reference>
          <reference field="1" count="1" selected="0">
            <x v="2"/>
          </reference>
          <reference field="3" count="1" selected="0">
            <x v="0"/>
          </reference>
        </references>
      </pivotArea>
    </chartFormat>
    <chartFormat chart="20" format="22">
      <pivotArea type="data" outline="0" fieldPosition="0">
        <references count="3">
          <reference field="4294967294" count="1" selected="0">
            <x v="0"/>
          </reference>
          <reference field="1" count="1" selected="0">
            <x v="3"/>
          </reference>
          <reference field="3" count="1" selected="0">
            <x v="0"/>
          </reference>
        </references>
      </pivotArea>
    </chartFormat>
    <chartFormat chart="20" format="23" series="1">
      <pivotArea type="data" outline="0" fieldPosition="0">
        <references count="2">
          <reference field="4294967294" count="1" selected="0">
            <x v="0"/>
          </reference>
          <reference field="3" count="1" selected="0">
            <x v="1"/>
          </reference>
        </references>
      </pivotArea>
    </chartFormat>
    <chartFormat chart="20" format="24">
      <pivotArea type="data" outline="0" fieldPosition="0">
        <references count="3">
          <reference field="4294967294" count="1" selected="0">
            <x v="0"/>
          </reference>
          <reference field="1" count="1" selected="0">
            <x v="0"/>
          </reference>
          <reference field="3" count="1" selected="0">
            <x v="1"/>
          </reference>
        </references>
      </pivotArea>
    </chartFormat>
    <chartFormat chart="20" format="25">
      <pivotArea type="data" outline="0" fieldPosition="0">
        <references count="3">
          <reference field="4294967294" count="1" selected="0">
            <x v="0"/>
          </reference>
          <reference field="1" count="1" selected="0">
            <x v="1"/>
          </reference>
          <reference field="3" count="1" selected="0">
            <x v="1"/>
          </reference>
        </references>
      </pivotArea>
    </chartFormat>
    <chartFormat chart="20" format="26">
      <pivotArea type="data" outline="0" fieldPosition="0">
        <references count="3">
          <reference field="4294967294" count="1" selected="0">
            <x v="0"/>
          </reference>
          <reference field="1" count="1" selected="0">
            <x v="2"/>
          </reference>
          <reference field="3" count="1" selected="0">
            <x v="1"/>
          </reference>
        </references>
      </pivotArea>
    </chartFormat>
    <chartFormat chart="20" format="27">
      <pivotArea type="data" outline="0" fieldPosition="0">
        <references count="3">
          <reference field="4294967294" count="1" selected="0">
            <x v="0"/>
          </reference>
          <reference field="1" count="1" selected="0">
            <x v="3"/>
          </reference>
          <reference field="3" count="1" selected="0">
            <x v="1"/>
          </reference>
        </references>
      </pivotArea>
    </chartFormat>
    <chartFormat chart="20" format="28" series="1">
      <pivotArea type="data" outline="0" fieldPosition="0">
        <references count="2">
          <reference field="4294967294" count="1" selected="0">
            <x v="0"/>
          </reference>
          <reference field="3" count="1" selected="0">
            <x v="2"/>
          </reference>
        </references>
      </pivotArea>
    </chartFormat>
    <chartFormat chart="20" format="29">
      <pivotArea type="data" outline="0" fieldPosition="0">
        <references count="3">
          <reference field="4294967294" count="1" selected="0">
            <x v="0"/>
          </reference>
          <reference field="1" count="1" selected="0">
            <x v="0"/>
          </reference>
          <reference field="3" count="1" selected="0">
            <x v="2"/>
          </reference>
        </references>
      </pivotArea>
    </chartFormat>
    <chartFormat chart="20" format="30">
      <pivotArea type="data" outline="0" fieldPosition="0">
        <references count="3">
          <reference field="4294967294" count="1" selected="0">
            <x v="0"/>
          </reference>
          <reference field="1" count="1" selected="0">
            <x v="1"/>
          </reference>
          <reference field="3" count="1" selected="0">
            <x v="2"/>
          </reference>
        </references>
      </pivotArea>
    </chartFormat>
    <chartFormat chart="20" format="31">
      <pivotArea type="data" outline="0" fieldPosition="0">
        <references count="3">
          <reference field="4294967294" count="1" selected="0">
            <x v="0"/>
          </reference>
          <reference field="1" count="1" selected="0">
            <x v="2"/>
          </reference>
          <reference field="3" count="1" selected="0">
            <x v="2"/>
          </reference>
        </references>
      </pivotArea>
    </chartFormat>
    <chartFormat chart="20" format="32">
      <pivotArea type="data" outline="0" fieldPosition="0">
        <references count="3">
          <reference field="4294967294" count="1" selected="0">
            <x v="0"/>
          </reference>
          <reference field="1" count="1" selected="0">
            <x v="3"/>
          </reference>
          <reference field="3" count="1" selected="0">
            <x v="2"/>
          </reference>
        </references>
      </pivotArea>
    </chartFormat>
    <chartFormat chart="23" format="6" series="1">
      <pivotArea type="data" outline="0" fieldPosition="0">
        <references count="2">
          <reference field="4294967294" count="1" selected="0">
            <x v="0"/>
          </reference>
          <reference field="3" count="1" selected="0">
            <x v="0"/>
          </reference>
        </references>
      </pivotArea>
    </chartFormat>
    <chartFormat chart="23" format="7" series="1">
      <pivotArea type="data" outline="0" fieldPosition="0">
        <references count="2">
          <reference field="4294967294" count="1" selected="0">
            <x v="0"/>
          </reference>
          <reference field="3" count="1" selected="0">
            <x v="1"/>
          </reference>
        </references>
      </pivotArea>
    </chartFormat>
    <chartFormat chart="23" format="8" series="1">
      <pivotArea type="data" outline="0" fieldPosition="0">
        <references count="2">
          <reference field="4294967294" count="1" selected="0">
            <x v="0"/>
          </reference>
          <reference field="3" count="1" selected="0">
            <x v="2"/>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Pe_BA_intern_assesment_Raw_data___Sheet1">
        <x15:activeTabTopLevelEntity name="[EPe_BA_intern_assesment_Raw_data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DEF1B-163B-4862-A4FB-BAAF6025E077}"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E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Rating type" fld="2" subtotal="count" baseField="0" baseItem="0"/>
  </dataFields>
  <chartFormats count="1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10" format="3"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1"/>
          </reference>
        </references>
      </pivotArea>
    </chartFormat>
    <chartFormat chart="10" format="5" series="1">
      <pivotArea type="data" outline="0" fieldPosition="0">
        <references count="2">
          <reference field="4294967294" count="1" selected="0">
            <x v="0"/>
          </reference>
          <reference field="1" count="1" selected="0">
            <x v="2"/>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s>
  <pivotHierarchies count="3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Pe_BA_intern_assesment_Raw_data___Sheet1">
        <x15:activeTabTopLevelEntity name="[EPe_BA_intern_assesment_Raw_data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93F788-FF16-4D9C-9B6B-2E9F3CA284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18" firstHeaderRow="0" firstDataRow="1" firstDataCol="1"/>
  <pivotFields count="21">
    <pivotField showAll="0"/>
    <pivotField axis="axisRow" showAll="0">
      <items count="5">
        <item x="0"/>
        <item x="3"/>
        <item x="1"/>
        <item x="2"/>
        <item t="default"/>
      </items>
    </pivotField>
    <pivotField showAll="0">
      <items count="4">
        <item x="1"/>
        <item x="2"/>
        <item x="0"/>
        <item t="default"/>
      </items>
    </pivotField>
    <pivotField numFmtId="14" showAll="0"/>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dataField="1"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dataField="1"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3">
    <field x="1"/>
    <field x="16"/>
    <field x="15"/>
  </rowFields>
  <rowItems count="17">
    <i>
      <x/>
    </i>
    <i r="1">
      <x/>
    </i>
    <i r="1">
      <x v="10"/>
    </i>
    <i r="1">
      <x v="11"/>
    </i>
    <i>
      <x v="1"/>
    </i>
    <i r="1">
      <x/>
    </i>
    <i r="1">
      <x v="10"/>
    </i>
    <i r="1">
      <x v="11"/>
    </i>
    <i>
      <x v="2"/>
    </i>
    <i r="1">
      <x/>
    </i>
    <i r="1">
      <x v="10"/>
    </i>
    <i r="1">
      <x v="11"/>
    </i>
    <i>
      <x v="3"/>
    </i>
    <i r="1">
      <x/>
    </i>
    <i r="1">
      <x v="10"/>
    </i>
    <i r="1">
      <x v="11"/>
    </i>
    <i t="grand">
      <x/>
    </i>
  </rowItems>
  <colFields count="1">
    <field x="-2"/>
  </colFields>
  <colItems count="4">
    <i>
      <x/>
    </i>
    <i i="1">
      <x v="1"/>
    </i>
    <i i="2">
      <x v="2"/>
    </i>
    <i i="3">
      <x v="3"/>
    </i>
  </colItems>
  <dataFields count="4">
    <dataField name="Count of Pre-Booking Date" fld="4" subtotal="count" baseField="0" baseItem="0"/>
    <dataField name="Count of Booking Date" fld="5" subtotal="count" baseField="0" baseItem="0"/>
    <dataField name="Count of Delivery Date" fld="6" subtotal="count" baseField="0" baseItem="0"/>
    <dataField name="Count of Cancellation Status" fld="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F17F5E4-E669-46E9-901A-B34C5CCB6635}" autoFormatId="16" applyNumberFormats="0" applyBorderFormats="0" applyFontFormats="0" applyPatternFormats="0" applyAlignmentFormats="0" applyWidthHeightFormats="0">
  <queryTableRefresh nextId="19" unboundColumnsRight="3">
    <queryTableFields count="18">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4" name="Customer Rating" tableColumnId="14"/>
      <queryTableField id="15" name="TAT Overall(days)" tableColumnId="15"/>
      <queryTableField id="16" dataBound="0" tableColumnId="16"/>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19C4A23-0386-4FC1-AA65-93B6DF44BB34}" autoFormatId="16" applyNumberFormats="0" applyBorderFormats="0" applyFontFormats="0" applyPatternFormats="0" applyAlignmentFormats="0" applyWidthHeightFormats="0">
  <queryTableRefresh nextId="17">
    <queryTableFields count="16">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4" name="Customer Rating" tableColumnId="14"/>
      <queryTableField id="15" name="TAT Overall(days)" tableColumnId="15"/>
      <queryTableField id="16" name="Rating typ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3" xr10:uid="{DEFDA1A8-835F-4DC5-A296-09A6B2632556}" sourceName="Lead Type">
  <pivotTables>
    <pivotTable tabId="3" name="PivotTable9"/>
    <pivotTable tabId="16" name="PivotTable1"/>
  </pivotTables>
  <data>
    <tabular pivotCacheId="78170713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ype" xr10:uid="{E488A062-BEF9-4419-A6DA-5DA6089A15E5}" sourceName="[EPe_BA_intern_assesment_Raw_data___Sheet1].[Rating type]">
  <pivotTables>
    <pivotTable tabId="12" name="PivotTable13"/>
  </pivotTables>
  <data>
    <olap pivotCacheId="9378893">
      <levels count="2">
        <level uniqueName="[EPe_BA_intern_assesment_Raw_data___Sheet1].[Rating type].[(All)]" sourceCaption="(All)" count="0"/>
        <level uniqueName="[EPe_BA_intern_assesment_Raw_data___Sheet1].[Rating type].[Rating type]" sourceCaption="Rating type" count="4">
          <ranges>
            <range startItem="0">
              <i n="[EPe_BA_intern_assesment_Raw_data___Sheet1].[Rating type].&amp;" c="(blank)"/>
              <i n="[EPe_BA_intern_assesment_Raw_data___Sheet1].[Rating type].&amp;[Detractors]" c="Detractors"/>
              <i n="[EPe_BA_intern_assesment_Raw_data___Sheet1].[Rating type].&amp;[Passives]" c="Passives"/>
              <i n="[EPe_BA_intern_assesment_Raw_data___Sheet1].[Rating type].&amp;[Promoters]" c="Promoters"/>
            </range>
          </ranges>
        </level>
      </levels>
      <selections count="1">
        <selection n="[EPe_BA_intern_assesment_Raw_data___Sheet1].[Rating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6" xr10:uid="{55F721C4-87FF-4A3D-A4F5-1E6520166C42}" sourceName="[EPe_BA_intern_assesment_Raw_data___Sheet1].[Lead Type]">
  <pivotTables>
    <pivotTable tabId="14" name="PivotTable7"/>
    <pivotTable tabId="3" name="PivotTable8"/>
  </pivotTables>
  <data>
    <olap pivotCacheId="990179502">
      <levels count="2">
        <level uniqueName="[EPe_BA_intern_assesment_Raw_data___Sheet1].[Lead Type].[(All)]" sourceCaption="(All)" count="0"/>
        <level uniqueName="[EPe_BA_intern_assesment_Raw_data___Sheet1].[Lead Type].[Lead Type]" sourceCaption="Lead Type" count="3">
          <ranges>
            <range startItem="0">
              <i n="[EPe_BA_intern_assesment_Raw_data___Sheet1].[Lead Type].&amp;[Cold]" c="Cold"/>
              <i n="[EPe_BA_intern_assesment_Raw_data___Sheet1].[Lead Type].&amp;[Hot]" c="Hot"/>
              <i n="[EPe_BA_intern_assesment_Raw_data___Sheet1].[Lead Type].&amp;[Warm]" c="Warm"/>
            </range>
          </ranges>
        </level>
      </levels>
      <selections count="1">
        <selection n="[EPe_BA_intern_assesment_Raw_data___Sheet1].[Lead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ype1" xr10:uid="{87939EC6-EA11-4832-9449-2CD44799039E}" sourceName="[EPe_BA_intern_assesment_Raw_data___Sheet1].[Rating type]">
  <pivotTables>
    <pivotTable tabId="10" name="PivotTable1"/>
  </pivotTables>
  <data>
    <olap pivotCacheId="9378893">
      <levels count="2">
        <level uniqueName="[EPe_BA_intern_assesment_Raw_data___Sheet1].[Rating type].[(All)]" sourceCaption="(All)" count="0"/>
        <level uniqueName="[EPe_BA_intern_assesment_Raw_data___Sheet1].[Rating type].[Rating type]" sourceCaption="Rating type" count="4">
          <ranges>
            <range startItem="0">
              <i n="[EPe_BA_intern_assesment_Raw_data___Sheet1].[Rating type].&amp;" c="(blank)"/>
              <i n="[EPe_BA_intern_assesment_Raw_data___Sheet1].[Rating type].&amp;[Detractors]" c="Detractors"/>
              <i n="[EPe_BA_intern_assesment_Raw_data___Sheet1].[Rating type].&amp;[Passives]" c="Passives"/>
              <i n="[EPe_BA_intern_assesment_Raw_data___Sheet1].[Rating type].&amp;[Promoters]" c="Promoters"/>
            </range>
          </ranges>
        </level>
      </levels>
      <selections count="1">
        <selection n="[EPe_BA_intern_assesment_Raw_data___Sheet1].[Rating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8BE34E2B-255B-4352-A266-CF63AD3A3D6F}" sourceName="[EPe_BA_intern_assesment_Raw_data___Sheet1].[Lead Type]">
  <pivotTables>
    <pivotTable tabId="12" name="PivotTable13"/>
  </pivotTables>
  <data>
    <olap pivotCacheId="9378893">
      <levels count="2">
        <level uniqueName="[EPe_BA_intern_assesment_Raw_data___Sheet1].[Lead Type].[(All)]" sourceCaption="(All)" count="0"/>
        <level uniqueName="[EPe_BA_intern_assesment_Raw_data___Sheet1].[Lead Type].[Lead Type]" sourceCaption="Lead Type" count="3">
          <ranges>
            <range startItem="0">
              <i n="[EPe_BA_intern_assesment_Raw_data___Sheet1].[Lead Type].&amp;[Hot]" c="Hot"/>
              <i n="[EPe_BA_intern_assesment_Raw_data___Sheet1].[Lead Type].&amp;[Warm]" c="Warm"/>
              <i n="[EPe_BA_intern_assesment_Raw_data___Sheet1].[Lead Type].&amp;[Cold]" c="Cold" nd="1"/>
            </range>
          </ranges>
        </level>
      </levels>
      <selections count="1">
        <selection n="[EPe_BA_intern_assesment_Raw_data___Sheet1].[Lead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ype2" xr10:uid="{A36B2862-8F16-45CF-91DB-1B926AF46F97}" sourceName="[EPe_BA_intern_assesment_Raw_data___Sheet1].[Rating type]">
  <pivotTables>
    <pivotTable tabId="3" name="PivotTable8"/>
  </pivotTables>
  <data>
    <olap pivotCacheId="9378893">
      <levels count="2">
        <level uniqueName="[EPe_BA_intern_assesment_Raw_data___Sheet1].[Rating type].[(All)]" sourceCaption="(All)" count="0"/>
        <level uniqueName="[EPe_BA_intern_assesment_Raw_data___Sheet1].[Rating type].[Rating type]" sourceCaption="Rating type" count="4">
          <ranges>
            <range startItem="0">
              <i n="[EPe_BA_intern_assesment_Raw_data___Sheet1].[Rating type].&amp;" c="(blank)"/>
              <i n="[EPe_BA_intern_assesment_Raw_data___Sheet1].[Rating type].&amp;[Detractors]" c="Detractors"/>
              <i n="[EPe_BA_intern_assesment_Raw_data___Sheet1].[Rating type].&amp;[Passives]" c="Passives"/>
              <i n="[EPe_BA_intern_assesment_Raw_data___Sheet1].[Rating type].&amp;[Promoters]" c="Promoters"/>
            </range>
          </ranges>
        </level>
      </levels>
      <selections count="1">
        <selection n="[EPe_BA_intern_assesment_Raw_data___Sheet1].[Rating 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1" xr10:uid="{40381A16-CFFD-4132-B5FE-84EF1A2C407A}" sourceName="[EPe_BA_intern_assesment_Raw_data___Sheet1].[Lead Type]">
  <pivotTables>
    <pivotTable tabId="6" name="PivotTable9"/>
  </pivotTables>
  <data>
    <olap pivotCacheId="9378893">
      <levels count="2">
        <level uniqueName="[EPe_BA_intern_assesment_Raw_data___Sheet1].[Lead Type].[(All)]" sourceCaption="(All)" count="0"/>
        <level uniqueName="[EPe_BA_intern_assesment_Raw_data___Sheet1].[Lead Type].[Lead Type]" sourceCaption="Lead Type" count="3">
          <ranges>
            <range startItem="0">
              <i n="[EPe_BA_intern_assesment_Raw_data___Sheet1].[Lead Type].&amp;[Hot]" c="Hot"/>
              <i n="[EPe_BA_intern_assesment_Raw_data___Sheet1].[Lead Type].&amp;[Warm]" c="Warm"/>
              <i n="[EPe_BA_intern_assesment_Raw_data___Sheet1].[Lead Type].&amp;[Cold]" c="Cold" nd="1"/>
            </range>
          </ranges>
        </level>
      </levels>
      <selections count="1">
        <selection n="[EPe_BA_intern_assesment_Raw_data___Sheet1].[Lead 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4" xr10:uid="{570F1C76-E605-4ACE-B20C-E4D6A9FC909D}" sourceName="[EPe_BA_intern_assesment_Raw_data___Sheet1].[Lead Type]">
  <pivotTables>
    <pivotTable tabId="10" name="PivotTable1"/>
  </pivotTables>
  <data>
    <olap pivotCacheId="9378893">
      <levels count="2">
        <level uniqueName="[EPe_BA_intern_assesment_Raw_data___Sheet1].[Lead Type].[(All)]" sourceCaption="(All)" count="0"/>
        <level uniqueName="[EPe_BA_intern_assesment_Raw_data___Sheet1].[Lead Type].[Lead Type]" sourceCaption="Lead Type" count="3">
          <ranges>
            <range startItem="0">
              <i n="[EPe_BA_intern_assesment_Raw_data___Sheet1].[Lead Type].&amp;[Cold]" c="Cold"/>
              <i n="[EPe_BA_intern_assesment_Raw_data___Sheet1].[Lead Type].&amp;[Hot]" c="Hot"/>
              <i n="[EPe_BA_intern_assesment_Raw_data___Sheet1].[Lead Type].&amp;[Warm]" c="Warm"/>
            </range>
          </ranges>
        </level>
      </levels>
      <selections count="1">
        <selection n="[EPe_BA_intern_assesment_Raw_data___Sheet1].[Lead Type].&amp;[Ho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5" xr10:uid="{AC0113A3-3668-417F-B1D1-95AA9AC06B27}" cache="Slicer_Lead_Type3" caption="Lead Type" rowHeight="234950"/>
  <slicer name="Rating type 5" xr10:uid="{2AF9E3BD-8C7C-4870-8D20-E0FBA9A77116}" cache="Slicer_Rating_type" caption="Rating type" level="1" rowHeight="234950"/>
  <slicer name="Rating type 2" xr10:uid="{93A289E7-3494-497E-8274-5F557FD23165}" cache="Slicer_Rating_type1" caption="Rating type" level="1" rowHeight="234950"/>
  <slicer name="Lead Type 6" xr10:uid="{26368819-C65D-455A-B888-BAC6DEA63B81}" cache="Slicer_Lead_Type" caption="Lead Type" level="1" rowHeight="234950"/>
  <slicer name="Rating type 4" xr10:uid="{63D497B7-8FEF-4AE1-B296-4512B2BA6935}" cache="Slicer_Rating_type2" caption="Rating type" level="1" rowHeight="234950"/>
  <slicer name="Rating type 6" xr10:uid="{FD94FA2F-597F-4054-A92A-8DABF0478859}" cache="Slicer_Rating_type2" caption="Rating type" level="1" rowHeight="234950"/>
  <slicer name="Lead Type 2" xr10:uid="{38012C75-D581-4988-A5B5-9C1A3A218466}" cache="Slicer_Lead_Type1" caption="Lead Type" level="1" rowHeight="234950"/>
  <slicer name="Lead Type 4" xr10:uid="{C674D7C9-0122-409B-88D4-F40B20BE18FC}" cache="Slicer_Lead_Type4" caption="Lead 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type" xr10:uid="{B5025AC9-620D-43C2-9E2E-2C888DA8DF75}" cache="Slicer_Rating_type1" caption="Rating typ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type 1" xr10:uid="{AEC83001-3C43-43B2-866E-8EE560128D1B}" cache="Slicer_Rating_type" caption="Rating type" level="1" rowHeight="234950"/>
  <slicer name="Lead Type" xr10:uid="{0C240D70-852A-4EF6-9F67-F0377B8FCCB6}" cache="Slicer_Lead_Type" caption="Lead Typ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8" xr10:uid="{C59DA04E-EB0C-4EA2-90FA-12D92F06DB1A}" cache="Slicer_Lead_Type6" caption="Lead Type"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type 3" xr10:uid="{E0C1ABCB-0B56-40F4-9A23-33720C8F906E}" cache="Slicer_Rating_type2" caption="Rating type"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1" xr10:uid="{8825449C-B770-45B8-B6BD-14A34D9F0219}" cache="Slicer_Lead_Type1" caption="Lead Typ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7" xr10:uid="{A7C7685B-37CF-4DAB-ACED-B2E40D74F1BA}" cache="Slicer_Lead_Type3" caption="Lead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ABC41B-D0E9-4765-9A97-DA5BEC1BC196}" name="EPe_BA_intern_assesment_Raw_data___Sheet13" displayName="EPe_BA_intern_assesment_Raw_data___Sheet13" ref="A1:R1002" tableType="queryTable" totalsRowCount="1">
  <autoFilter ref="A1:R1001" xr:uid="{78B89B3B-A757-4BDD-937F-C43846ED769A}"/>
  <tableColumns count="18">
    <tableColumn id="1" xr3:uid="{06EA6921-096D-4EC6-9CD3-F34BCFDD4176}" uniqueName="1" name="Lead ID" totalsRowLabel="Total" queryTableFieldId="1" dataDxfId="22"/>
    <tableColumn id="2" xr3:uid="{DCC96F8B-210E-487C-803C-B2B3483957C5}" uniqueName="2" name="Store Name" queryTableFieldId="2" dataDxfId="21"/>
    <tableColumn id="3" xr3:uid="{F04D9AC7-DC9E-4963-B61B-244EA3323CD4}" uniqueName="3" name="Lead Type" queryTableFieldId="3" dataDxfId="20"/>
    <tableColumn id="4" xr3:uid="{661CCD8E-2069-4E27-BA27-D09FD9165272}" uniqueName="4" name="Lead Date" queryTableFieldId="4" dataDxfId="19"/>
    <tableColumn id="5" xr3:uid="{731FA16D-D7AD-4C6E-9ECA-87C71A96B85B}" uniqueName="5" name="Pre-Booking Date" queryTableFieldId="5" dataDxfId="18"/>
    <tableColumn id="6" xr3:uid="{6C67C576-7D4B-4111-87BE-03B759900A61}" uniqueName="6" name="Booking Date" queryTableFieldId="6" dataDxfId="17"/>
    <tableColumn id="7" xr3:uid="{5EA16970-7F31-4A95-9BE6-515FEF337954}" uniqueName="7" name="Delivery Date" queryTableFieldId="7" dataDxfId="16"/>
    <tableColumn id="8" xr3:uid="{F49CEAA7-C4ED-4958-B2BC-1345E561153E}" uniqueName="8" name="Cancellation Status" queryTableFieldId="8" dataDxfId="15"/>
    <tableColumn id="9" xr3:uid="{85F06B18-1E9D-4A2E-B925-0BCC68396067}" uniqueName="9" name="Cancellation Reason" queryTableFieldId="9" dataDxfId="14"/>
    <tableColumn id="10" xr3:uid="{D7862F1E-18D9-4602-BF84-FE9CAE856C55}" uniqueName="10" name="Service Follow-up Date" queryTableFieldId="10" dataDxfId="13"/>
    <tableColumn id="11" xr3:uid="{FFA8AACF-8BB2-4876-861D-F7A3DDC11F30}" uniqueName="11" name="TAT Pre-Booking (Days)" queryTableFieldId="11"/>
    <tableColumn id="12" xr3:uid="{D45BE07E-E400-4287-9447-96E935BD268C}" uniqueName="12" name="TAT Booking (Days)" queryTableFieldId="12"/>
    <tableColumn id="13" xr3:uid="{0098AFA6-1BBF-4505-98A4-E75041CFADC7}" uniqueName="13" name="TAT Delivery (Days)" queryTableFieldId="13"/>
    <tableColumn id="14" xr3:uid="{E581FB8B-C3BF-4A5C-BF5B-A49F723F6483}" uniqueName="14" name="Customer Rating" totalsRowFunction="count" queryTableFieldId="14"/>
    <tableColumn id="15" xr3:uid="{2B610D2F-EF0A-40F0-8E86-3B4D32668B3B}" uniqueName="15" name="TAT Overall(days)" totalsRowFunction="sum" queryTableFieldId="15"/>
    <tableColumn id="16" xr3:uid="{CED05430-09DE-4356-AF04-F12FEBCB5360}" uniqueName="16" name="PROMOTORS" totalsRowFunction="count" queryTableFieldId="16" dataDxfId="12">
      <calculatedColumnFormula>IF(EPe_BA_intern_assesment_Raw_data___Sheet13[[#This Row],[Customer Rating]]&gt;8,EPe_BA_intern_assesment_Raw_data___Sheet13[[#This Row],[Customer Rating]])</calculatedColumnFormula>
    </tableColumn>
    <tableColumn id="17" xr3:uid="{7B16276B-D1FE-4AF9-98EC-BC35A3F2F050}" uniqueName="17" name="Passives" totalsRowFunction="count" queryTableFieldId="17" dataDxfId="11">
      <calculatedColumnFormula>IF(AND(EPe_BA_intern_assesment_Raw_data___Sheet13[[#This Row],[Customer Rating]]&gt;6,EPe_BA_intern_assesment_Raw_data___Sheet13[[#This Row],[Customer Rating]]&lt;9), EPe_BA_intern_assesment_Raw_data___Sheet13[[#This Row],[Customer Rating]], "")</calculatedColumnFormula>
    </tableColumn>
    <tableColumn id="18" xr3:uid="{FDE48569-FE36-4744-B8CE-1075F416E10F}" uniqueName="18" name="Detracters" totalsRowFunction="count" queryTableFieldId="18" dataDxfId="10">
      <calculatedColumnFormula>IF(EPe_BA_intern_assesment_Raw_data___Sheet13[[#This Row],[Customer Rating]]&lt;7,EPe_BA_intern_assesment_Raw_data___Sheet13[[#This Row],[Customer Rating]])</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89B3B-A757-4BDD-937F-C43846ED769A}" name="EPe_BA_intern_assesment_Raw_data___Sheet1" displayName="EPe_BA_intern_assesment_Raw_data___Sheet1" ref="A1:P1001" tableType="queryTable" totalsRowShown="0">
  <autoFilter ref="A1:P1001" xr:uid="{78B89B3B-A757-4BDD-937F-C43846ED769A}"/>
  <tableColumns count="16">
    <tableColumn id="1" xr3:uid="{AD1C98F6-7C44-4F8C-8B7F-228DA984025C}" uniqueName="1" name="Lead ID" queryTableFieldId="1" dataDxfId="9"/>
    <tableColumn id="2" xr3:uid="{D7ECA81A-677B-4AC4-8FAE-53824C97BE3D}" uniqueName="2" name="Store Name" queryTableFieldId="2" dataDxfId="8"/>
    <tableColumn id="3" xr3:uid="{6D27815D-406E-45E2-BD32-CD2F6363E5CE}" uniqueName="3" name="Lead Type" queryTableFieldId="3" dataDxfId="7"/>
    <tableColumn id="4" xr3:uid="{52F4F8D6-DC47-4F3C-A6B8-5133E2C9DE30}" uniqueName="4" name="Lead Date" queryTableFieldId="4" dataDxfId="6"/>
    <tableColumn id="5" xr3:uid="{4E86E2E2-4BDF-495A-9AEC-8B8BB9F54E98}" uniqueName="5" name="Pre-Booking Date" queryTableFieldId="5" dataDxfId="5"/>
    <tableColumn id="6" xr3:uid="{9AB490C8-5C41-46DA-BCDB-DEF2EA59DDF7}" uniqueName="6" name="Booking Date" queryTableFieldId="6" dataDxfId="4"/>
    <tableColumn id="7" xr3:uid="{C43C757C-2B14-4333-89B3-18900406F158}" uniqueName="7" name="Delivery Date" queryTableFieldId="7" dataDxfId="3"/>
    <tableColumn id="8" xr3:uid="{A1D7D816-30ED-4CD3-9115-E32DBA6DDA21}" uniqueName="8" name="Cancellation Status" queryTableFieldId="8" dataDxfId="2"/>
    <tableColumn id="9" xr3:uid="{B542533C-2806-498C-BC54-3DB63C8DB07D}" uniqueName="9" name="Cancellation Reason" queryTableFieldId="9" dataDxfId="1"/>
    <tableColumn id="10" xr3:uid="{D88983B4-5A63-437C-A150-D3482AD901A4}" uniqueName="10" name="Service Follow-up Date" queryTableFieldId="10" dataDxfId="0"/>
    <tableColumn id="11" xr3:uid="{7C059C46-1C8F-46DE-A359-39F6EF9DF324}" uniqueName="11" name="TAT Pre-Booking (Days)" queryTableFieldId="11"/>
    <tableColumn id="12" xr3:uid="{481C5ACC-1E8D-4A6B-A1E6-29F929600FAB}" uniqueName="12" name="TAT Booking (Days)" queryTableFieldId="12"/>
    <tableColumn id="13" xr3:uid="{CC3D9091-C4F5-4875-AA8D-64E290C06E46}" uniqueName="13" name="TAT Delivery (Days)" queryTableFieldId="13"/>
    <tableColumn id="14" xr3:uid="{594D4A5C-1881-4D71-8C93-31F3B3E6E5B5}" uniqueName="14" name="Customer Rating" queryTableFieldId="14"/>
    <tableColumn id="15" xr3:uid="{4C17E629-7BD6-4454-8DA5-C9D7FE65FB0E}" uniqueName="15" name="TAT Overall(days)" queryTableFieldId="15"/>
    <tableColumn id="16" xr3:uid="{9EBDEF65-F1AE-4905-950E-D0F4833EF2C6}" uniqueName="16" name="Rating type"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05B6-8A04-47C5-9FB6-C395CA6433A8}">
  <dimension ref="A1:FS497"/>
  <sheetViews>
    <sheetView tabSelected="1" zoomScale="81" workbookViewId="0">
      <selection activeCell="O70" sqref="O70"/>
    </sheetView>
  </sheetViews>
  <sheetFormatPr defaultRowHeight="14.4" x14ac:dyDescent="0.3"/>
  <sheetData>
    <row r="1" spans="1:175"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row>
    <row r="2" spans="1:175"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row>
    <row r="3" spans="1:175"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row>
    <row r="4" spans="1:175"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row>
    <row r="5" spans="1:175"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row>
    <row r="6" spans="1:175"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row>
    <row r="7" spans="1:175"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row>
    <row r="8" spans="1:175"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row>
    <row r="9" spans="1:175"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row>
    <row r="10" spans="1:175"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row>
    <row r="11" spans="1:175"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row>
    <row r="12" spans="1:175"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row>
    <row r="13" spans="1:175"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row>
    <row r="14" spans="1:175"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row>
    <row r="15" spans="1:175"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row>
    <row r="16" spans="1:175"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row>
    <row r="17" spans="1:175"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row>
    <row r="18" spans="1:175"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row>
    <row r="19" spans="1:175"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row>
    <row r="20" spans="1:175"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row>
    <row r="21" spans="1:175"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row>
    <row r="22" spans="1:175"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row>
    <row r="23" spans="1:175"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row>
    <row r="24" spans="1:175"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row>
    <row r="25" spans="1:175"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row>
    <row r="26" spans="1:175"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row>
    <row r="27" spans="1:175"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row>
    <row r="28" spans="1:175"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row>
    <row r="29" spans="1:175"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row>
    <row r="30" spans="1:175"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row>
    <row r="31" spans="1:175"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row>
    <row r="32" spans="1:175"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row>
    <row r="33" spans="1:175"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row>
    <row r="34" spans="1:175"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row>
    <row r="35" spans="1:175"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row>
    <row r="36" spans="1:175"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row>
    <row r="37" spans="1:175"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row>
    <row r="38" spans="1:175"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row>
    <row r="39" spans="1:175"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row>
    <row r="40" spans="1:175"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row>
    <row r="41" spans="1:175"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row>
    <row r="42" spans="1:175"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row>
    <row r="43" spans="1:175"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row>
    <row r="44" spans="1:175"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row>
    <row r="45" spans="1:175"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row>
    <row r="46" spans="1:175"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row>
    <row r="47" spans="1:175"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row>
    <row r="48" spans="1:175"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row>
    <row r="49" spans="1:175"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row>
    <row r="50" spans="1:175"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row>
    <row r="51" spans="1:175"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row>
    <row r="52" spans="1:175"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row>
    <row r="53" spans="1:175"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row>
    <row r="54" spans="1:175"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row>
    <row r="55" spans="1:175"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row>
    <row r="56" spans="1:175"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row>
    <row r="57" spans="1:175"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row>
    <row r="58" spans="1:175"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row>
    <row r="59" spans="1:175"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row>
    <row r="60" spans="1:175"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row>
    <row r="61" spans="1:175"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row>
    <row r="62" spans="1:175"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row>
    <row r="63" spans="1:175"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row>
    <row r="64" spans="1:175"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row>
    <row r="65" spans="1:175"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row>
    <row r="66" spans="1:175"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row>
    <row r="67" spans="1:175"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row>
    <row r="68" spans="1:175"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row>
    <row r="69" spans="1:175"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row>
    <row r="70" spans="1:175"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row>
    <row r="71" spans="1:175"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row>
    <row r="72" spans="1:175"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row>
    <row r="73" spans="1:175"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row>
    <row r="74" spans="1:175"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row>
    <row r="75" spans="1:175"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row>
    <row r="76" spans="1:175"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row>
    <row r="77" spans="1:175"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row>
    <row r="78" spans="1:175"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row>
    <row r="79" spans="1:175"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row>
    <row r="80" spans="1:175"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row>
    <row r="81" spans="1:175"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row>
    <row r="82" spans="1:175"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row>
    <row r="83" spans="1:175"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row>
    <row r="84" spans="1:175"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row>
    <row r="85" spans="1:175"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row>
    <row r="86" spans="1:175"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row>
    <row r="87" spans="1:175"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row>
    <row r="88" spans="1:175"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row>
    <row r="89" spans="1:175"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row>
    <row r="90" spans="1:175"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row>
    <row r="91" spans="1:175"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row>
    <row r="92" spans="1:175"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row>
    <row r="93" spans="1:175"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row>
    <row r="94" spans="1:175"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row>
    <row r="95" spans="1:175"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row>
    <row r="96" spans="1:175"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row>
    <row r="97" spans="1:175"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row>
    <row r="98" spans="1:175"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row>
    <row r="99" spans="1:175"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row>
    <row r="100" spans="1:175"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row>
    <row r="101" spans="1:175"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row>
    <row r="102" spans="1:175"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row>
    <row r="103" spans="1:175"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row>
    <row r="104" spans="1:175"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row>
    <row r="105" spans="1:175"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row>
    <row r="106" spans="1:175"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row>
    <row r="107" spans="1:175"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row>
    <row r="108" spans="1:175"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row>
    <row r="109" spans="1:175"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row>
    <row r="110" spans="1:175"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row>
    <row r="111" spans="1:175"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row>
    <row r="112" spans="1:175"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row>
    <row r="113" spans="1:175"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row>
    <row r="114" spans="1:175"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row>
    <row r="115" spans="1:175"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row>
    <row r="116" spans="1:175"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row>
    <row r="117" spans="1:175"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row>
    <row r="118" spans="1:175"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row>
    <row r="119" spans="1:175"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row>
    <row r="120" spans="1:175"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row>
    <row r="121" spans="1:175"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row>
    <row r="122" spans="1:175"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row>
    <row r="123" spans="1:175"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row>
    <row r="124" spans="1:175"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row>
    <row r="125" spans="1:175"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row>
    <row r="126" spans="1:175"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row>
    <row r="127" spans="1:175"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row>
    <row r="128" spans="1:175"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row>
    <row r="129" spans="1:175"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row>
    <row r="130" spans="1:175"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row>
    <row r="131" spans="1:175"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row>
    <row r="132" spans="1:175"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row>
    <row r="133" spans="1:175"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row>
    <row r="134" spans="1:175"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row>
    <row r="135" spans="1:175"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row>
    <row r="136" spans="1:175"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row>
    <row r="137" spans="1:175"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row>
    <row r="138" spans="1:175"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row>
    <row r="139" spans="1:175"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row>
    <row r="140" spans="1:175"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row>
    <row r="141" spans="1:175"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row>
    <row r="142" spans="1:175"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row>
    <row r="143" spans="1:175"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row>
    <row r="144" spans="1:175"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row>
    <row r="145" spans="1:175"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row>
    <row r="146" spans="1:175"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row>
    <row r="147" spans="1:175"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row>
    <row r="148" spans="1:175"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row>
    <row r="149" spans="1:175"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row>
    <row r="150" spans="1:175"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row>
    <row r="151" spans="1:175"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row>
    <row r="152" spans="1:175"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row>
    <row r="153" spans="1:175"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row>
    <row r="154" spans="1:175"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row>
    <row r="155" spans="1:175"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row>
    <row r="156" spans="1:175"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row>
    <row r="157" spans="1:175"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row>
    <row r="158" spans="1:175"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row>
    <row r="159" spans="1:175"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row>
    <row r="160" spans="1:175"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row>
    <row r="161" spans="1:175"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row>
    <row r="162" spans="1:175"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row>
    <row r="163" spans="1:175"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row>
    <row r="164" spans="1:175"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row>
    <row r="165" spans="1:175"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row>
    <row r="166" spans="1:175"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row>
    <row r="167" spans="1:175"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row>
    <row r="168" spans="1:175"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row>
    <row r="169" spans="1:175"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row>
    <row r="170" spans="1:175"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row>
    <row r="171" spans="1:175"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row>
    <row r="172" spans="1:175"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row>
    <row r="173" spans="1:175"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row>
    <row r="174" spans="1:175"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row>
    <row r="175" spans="1:175"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row>
    <row r="176" spans="1:175"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row>
    <row r="177" spans="1:175"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row>
    <row r="178" spans="1:175"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row>
    <row r="179" spans="1:175"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row>
    <row r="180" spans="1:175"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row>
    <row r="181" spans="1:175"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row>
    <row r="182" spans="1:175"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row>
    <row r="183" spans="1:175"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row>
    <row r="184" spans="1:175"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row>
    <row r="185" spans="1:175"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row>
    <row r="186" spans="1:175"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row>
    <row r="187" spans="1:175"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row>
    <row r="188" spans="1:175"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row>
    <row r="189" spans="1:175"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row>
    <row r="190" spans="1:175"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row>
    <row r="191" spans="1:175"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row>
    <row r="192" spans="1:175"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row>
    <row r="193" spans="1:175"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row>
    <row r="194" spans="1:175"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row>
    <row r="195" spans="1:175"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row>
    <row r="196" spans="1:175"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row>
    <row r="197" spans="1:175"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row>
    <row r="198" spans="1:175"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row>
    <row r="199" spans="1:175"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row>
    <row r="200" spans="1:175"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row>
    <row r="201" spans="1:175"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row>
    <row r="202" spans="1:175"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row>
    <row r="203" spans="1:175"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row>
    <row r="204" spans="1:175"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row>
    <row r="205" spans="1:175"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row>
    <row r="206" spans="1:175"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row>
    <row r="207" spans="1:175"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row>
    <row r="208" spans="1:175"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row>
    <row r="209" spans="1:175"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row>
    <row r="210" spans="1:175"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row>
    <row r="211" spans="1:175"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row>
    <row r="212" spans="1:175"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row>
    <row r="213" spans="1:175"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row>
    <row r="214" spans="1:175"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row>
    <row r="215" spans="1:175"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row>
    <row r="216" spans="1:175"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row>
    <row r="217" spans="1:175"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row>
    <row r="218" spans="1:175"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row>
    <row r="219" spans="1:175"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row>
    <row r="220" spans="1:175"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row>
    <row r="221" spans="1:175"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row>
    <row r="222" spans="1:175"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row>
    <row r="223" spans="1:175"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row>
    <row r="224" spans="1:175"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row>
    <row r="225" spans="1:175"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row>
    <row r="226" spans="1:175"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row>
    <row r="227" spans="1:175"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row>
    <row r="228" spans="1:175"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row>
    <row r="229" spans="1:175"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row>
    <row r="230" spans="1:175"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row>
    <row r="231" spans="1:175"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row>
    <row r="232" spans="1:175"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row>
    <row r="233" spans="1:175"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row>
    <row r="234" spans="1:175"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row>
    <row r="235" spans="1:175"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row>
    <row r="236" spans="1:175"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row>
    <row r="237" spans="1:175"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row>
    <row r="238" spans="1:175"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row>
    <row r="239" spans="1:175"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row>
    <row r="240" spans="1:175"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row>
    <row r="241" spans="1:175"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row>
    <row r="242" spans="1:175"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row>
    <row r="243" spans="1:175"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row>
    <row r="244" spans="1:175"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row>
    <row r="245" spans="1:175"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row>
    <row r="246" spans="1:175"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row>
    <row r="247" spans="1:175"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row>
    <row r="248" spans="1:175"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row>
    <row r="249" spans="1:175"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row>
    <row r="250" spans="1:175"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row>
    <row r="251" spans="1:175"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row>
    <row r="252" spans="1:175"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row>
    <row r="253" spans="1:175"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row>
    <row r="254" spans="1:175"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row>
    <row r="255" spans="1:175"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row>
    <row r="256" spans="1:175"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row>
    <row r="257" spans="1:175"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row>
    <row r="258" spans="1:175"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row>
    <row r="259" spans="1:175"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row>
    <row r="260" spans="1:175"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row>
    <row r="261" spans="1:175"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row>
    <row r="262" spans="1:175"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row>
    <row r="263" spans="1:175"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row>
    <row r="264" spans="1:175"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row>
    <row r="265" spans="1:175"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row>
    <row r="266" spans="1:175"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row>
    <row r="267" spans="1:175"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row>
    <row r="268" spans="1:175"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row>
    <row r="269" spans="1:175"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row>
    <row r="270" spans="1:175"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row>
    <row r="271" spans="1:175"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row>
    <row r="272" spans="1:175"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row>
    <row r="273" spans="1:175"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row>
    <row r="274" spans="1:175"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row>
    <row r="275" spans="1:175"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row>
    <row r="276" spans="1:175"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row>
    <row r="277" spans="1:175"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row>
    <row r="278" spans="1:175"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row>
    <row r="279" spans="1:175"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row>
    <row r="280" spans="1:175"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row>
    <row r="281" spans="1:175"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row>
    <row r="282" spans="1:175"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row>
    <row r="283" spans="1:175"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row>
    <row r="284" spans="1:175"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row>
    <row r="285" spans="1:175"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row>
    <row r="286" spans="1:175"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row>
    <row r="287" spans="1:175"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row>
    <row r="288" spans="1:175"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row>
    <row r="289" spans="1:175"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row>
    <row r="290" spans="1:175"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row>
    <row r="291" spans="1:175"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row>
    <row r="292" spans="1:175"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row>
    <row r="293" spans="1:175"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row>
    <row r="294" spans="1:175"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row>
    <row r="295" spans="1:175"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row>
    <row r="296" spans="1:175"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row>
    <row r="297" spans="1:175"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row>
    <row r="298" spans="1:175"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row>
    <row r="299" spans="1:175"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row>
    <row r="300" spans="1:175"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row>
    <row r="301" spans="1:175"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row>
    <row r="302" spans="1:175"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row>
    <row r="303" spans="1:175"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row>
    <row r="304" spans="1:175"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row>
    <row r="305" spans="1:175"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row>
    <row r="306" spans="1:175"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row>
    <row r="307" spans="1:175"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row>
    <row r="308" spans="1:175"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row>
    <row r="309" spans="1:175"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row>
    <row r="310" spans="1:175"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row>
    <row r="311" spans="1:175"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row>
    <row r="312" spans="1:175"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row>
    <row r="313" spans="1:175"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row>
    <row r="314" spans="1:175"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row>
    <row r="315" spans="1:175"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row>
    <row r="316" spans="1:175"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row>
    <row r="317" spans="1:175"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row>
    <row r="318" spans="1:175"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row>
    <row r="319" spans="1:175"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row>
    <row r="320" spans="1:175"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row>
    <row r="321" spans="1:175"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row>
    <row r="322" spans="1:175"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row>
    <row r="323" spans="1:175"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row>
    <row r="324" spans="1:175"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row>
    <row r="325" spans="1:175"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row>
    <row r="326" spans="1:175"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row>
    <row r="327" spans="1:175"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row>
    <row r="328" spans="1:175"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row>
    <row r="329" spans="1:175"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row>
    <row r="330" spans="1:175"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row>
    <row r="331" spans="1:175"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row>
    <row r="332" spans="1:175"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row>
    <row r="333" spans="1:175"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row>
    <row r="334" spans="1:175"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row>
    <row r="335" spans="1:175"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row>
    <row r="336" spans="1:175"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row>
    <row r="337" spans="1:175"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row>
    <row r="338" spans="1:175"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row>
    <row r="339" spans="1:175"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row>
    <row r="340" spans="1:175"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row>
    <row r="341" spans="1:175"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row>
    <row r="342" spans="1:175"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row>
    <row r="343" spans="1:175"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row>
    <row r="344" spans="1:175"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row>
    <row r="345" spans="1:175"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row>
    <row r="346" spans="1:175"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row>
    <row r="347" spans="1:175"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row>
    <row r="348" spans="1:175"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row>
    <row r="349" spans="1:175"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row>
    <row r="350" spans="1:175"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row>
    <row r="351" spans="1:175"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row>
    <row r="352" spans="1:175"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row>
    <row r="353" spans="1:175"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row>
    <row r="354" spans="1:175"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row>
    <row r="355" spans="1:175"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row>
    <row r="356" spans="1:175"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row>
    <row r="357" spans="1:175"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row>
    <row r="358" spans="1:175"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row>
    <row r="359" spans="1:175"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row>
    <row r="360" spans="1:175"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row>
    <row r="361" spans="1:175"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row>
    <row r="362" spans="1:175"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row>
    <row r="363" spans="1:175"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row>
    <row r="364" spans="1:175"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row>
    <row r="365" spans="1:175"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row>
    <row r="366" spans="1:175"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row>
    <row r="367" spans="1:175"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FB367" s="8"/>
      <c r="FC367" s="8"/>
      <c r="FD367" s="8"/>
      <c r="FE367" s="8"/>
      <c r="FF367" s="8"/>
      <c r="FG367" s="8"/>
      <c r="FH367" s="8"/>
      <c r="FI367" s="8"/>
      <c r="FJ367" s="8"/>
      <c r="FK367" s="8"/>
      <c r="FL367" s="8"/>
      <c r="FM367" s="8"/>
      <c r="FN367" s="8"/>
      <c r="FO367" s="8"/>
      <c r="FP367" s="8"/>
      <c r="FQ367" s="8"/>
      <c r="FR367" s="8"/>
      <c r="FS367" s="8"/>
    </row>
    <row r="368" spans="1:175"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FB368" s="8"/>
      <c r="FC368" s="8"/>
      <c r="FD368" s="8"/>
      <c r="FE368" s="8"/>
      <c r="FF368" s="8"/>
      <c r="FG368" s="8"/>
      <c r="FH368" s="8"/>
      <c r="FI368" s="8"/>
      <c r="FJ368" s="8"/>
      <c r="FK368" s="8"/>
      <c r="FL368" s="8"/>
      <c r="FM368" s="8"/>
      <c r="FN368" s="8"/>
      <c r="FO368" s="8"/>
      <c r="FP368" s="8"/>
      <c r="FQ368" s="8"/>
      <c r="FR368" s="8"/>
      <c r="FS368" s="8"/>
    </row>
    <row r="369" spans="1:175"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8"/>
      <c r="FH369" s="8"/>
      <c r="FI369" s="8"/>
      <c r="FJ369" s="8"/>
      <c r="FK369" s="8"/>
      <c r="FL369" s="8"/>
      <c r="FM369" s="8"/>
      <c r="FN369" s="8"/>
      <c r="FO369" s="8"/>
      <c r="FP369" s="8"/>
      <c r="FQ369" s="8"/>
      <c r="FR369" s="8"/>
      <c r="FS369" s="8"/>
    </row>
    <row r="370" spans="1:175"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FB370" s="8"/>
      <c r="FC370" s="8"/>
      <c r="FD370" s="8"/>
      <c r="FE370" s="8"/>
      <c r="FF370" s="8"/>
      <c r="FG370" s="8"/>
      <c r="FH370" s="8"/>
      <c r="FI370" s="8"/>
      <c r="FJ370" s="8"/>
      <c r="FK370" s="8"/>
      <c r="FL370" s="8"/>
      <c r="FM370" s="8"/>
      <c r="FN370" s="8"/>
      <c r="FO370" s="8"/>
      <c r="FP370" s="8"/>
      <c r="FQ370" s="8"/>
      <c r="FR370" s="8"/>
      <c r="FS370" s="8"/>
    </row>
    <row r="371" spans="1:175"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FB371" s="8"/>
      <c r="FC371" s="8"/>
      <c r="FD371" s="8"/>
      <c r="FE371" s="8"/>
      <c r="FF371" s="8"/>
      <c r="FG371" s="8"/>
      <c r="FH371" s="8"/>
      <c r="FI371" s="8"/>
      <c r="FJ371" s="8"/>
      <c r="FK371" s="8"/>
      <c r="FL371" s="8"/>
      <c r="FM371" s="8"/>
      <c r="FN371" s="8"/>
      <c r="FO371" s="8"/>
      <c r="FP371" s="8"/>
      <c r="FQ371" s="8"/>
      <c r="FR371" s="8"/>
      <c r="FS371" s="8"/>
    </row>
    <row r="372" spans="1:175"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FB372" s="8"/>
      <c r="FC372" s="8"/>
      <c r="FD372" s="8"/>
      <c r="FE372" s="8"/>
      <c r="FF372" s="8"/>
      <c r="FG372" s="8"/>
      <c r="FH372" s="8"/>
      <c r="FI372" s="8"/>
      <c r="FJ372" s="8"/>
      <c r="FK372" s="8"/>
      <c r="FL372" s="8"/>
      <c r="FM372" s="8"/>
      <c r="FN372" s="8"/>
      <c r="FO372" s="8"/>
      <c r="FP372" s="8"/>
      <c r="FQ372" s="8"/>
      <c r="FR372" s="8"/>
      <c r="FS372" s="8"/>
    </row>
    <row r="373" spans="1:175"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8"/>
      <c r="FH373" s="8"/>
      <c r="FI373" s="8"/>
      <c r="FJ373" s="8"/>
      <c r="FK373" s="8"/>
      <c r="FL373" s="8"/>
      <c r="FM373" s="8"/>
      <c r="FN373" s="8"/>
      <c r="FO373" s="8"/>
      <c r="FP373" s="8"/>
      <c r="FQ373" s="8"/>
      <c r="FR373" s="8"/>
      <c r="FS373" s="8"/>
    </row>
    <row r="374" spans="1:175"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FB374" s="8"/>
      <c r="FC374" s="8"/>
      <c r="FD374" s="8"/>
      <c r="FE374" s="8"/>
      <c r="FF374" s="8"/>
      <c r="FG374" s="8"/>
      <c r="FH374" s="8"/>
      <c r="FI374" s="8"/>
      <c r="FJ374" s="8"/>
      <c r="FK374" s="8"/>
      <c r="FL374" s="8"/>
      <c r="FM374" s="8"/>
      <c r="FN374" s="8"/>
      <c r="FO374" s="8"/>
      <c r="FP374" s="8"/>
      <c r="FQ374" s="8"/>
      <c r="FR374" s="8"/>
      <c r="FS374" s="8"/>
    </row>
    <row r="375" spans="1:175"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FB375" s="8"/>
      <c r="FC375" s="8"/>
      <c r="FD375" s="8"/>
      <c r="FE375" s="8"/>
      <c r="FF375" s="8"/>
      <c r="FG375" s="8"/>
      <c r="FH375" s="8"/>
      <c r="FI375" s="8"/>
      <c r="FJ375" s="8"/>
      <c r="FK375" s="8"/>
      <c r="FL375" s="8"/>
      <c r="FM375" s="8"/>
      <c r="FN375" s="8"/>
      <c r="FO375" s="8"/>
      <c r="FP375" s="8"/>
      <c r="FQ375" s="8"/>
      <c r="FR375" s="8"/>
      <c r="FS375" s="8"/>
    </row>
    <row r="376" spans="1:175"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FB376" s="8"/>
      <c r="FC376" s="8"/>
      <c r="FD376" s="8"/>
      <c r="FE376" s="8"/>
      <c r="FF376" s="8"/>
      <c r="FG376" s="8"/>
      <c r="FH376" s="8"/>
      <c r="FI376" s="8"/>
      <c r="FJ376" s="8"/>
      <c r="FK376" s="8"/>
      <c r="FL376" s="8"/>
      <c r="FM376" s="8"/>
      <c r="FN376" s="8"/>
      <c r="FO376" s="8"/>
      <c r="FP376" s="8"/>
      <c r="FQ376" s="8"/>
      <c r="FR376" s="8"/>
      <c r="FS376" s="8"/>
    </row>
    <row r="377" spans="1:175"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8"/>
      <c r="FH377" s="8"/>
      <c r="FI377" s="8"/>
      <c r="FJ377" s="8"/>
      <c r="FK377" s="8"/>
      <c r="FL377" s="8"/>
      <c r="FM377" s="8"/>
      <c r="FN377" s="8"/>
      <c r="FO377" s="8"/>
      <c r="FP377" s="8"/>
      <c r="FQ377" s="8"/>
      <c r="FR377" s="8"/>
      <c r="FS377" s="8"/>
    </row>
    <row r="378" spans="1:175"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8"/>
      <c r="FS378" s="8"/>
    </row>
    <row r="379" spans="1:175"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row>
    <row r="380" spans="1:175"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8"/>
      <c r="FS380" s="8"/>
    </row>
    <row r="381" spans="1:175"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c r="FG381" s="8"/>
      <c r="FH381" s="8"/>
      <c r="FI381" s="8"/>
      <c r="FJ381" s="8"/>
      <c r="FK381" s="8"/>
      <c r="FL381" s="8"/>
      <c r="FM381" s="8"/>
      <c r="FN381" s="8"/>
      <c r="FO381" s="8"/>
      <c r="FP381" s="8"/>
      <c r="FQ381" s="8"/>
      <c r="FR381" s="8"/>
      <c r="FS381" s="8"/>
    </row>
    <row r="382" spans="1:175"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c r="EZ382" s="8"/>
      <c r="FA382" s="8"/>
      <c r="FB382" s="8"/>
      <c r="FC382" s="8"/>
      <c r="FD382" s="8"/>
      <c r="FE382" s="8"/>
      <c r="FF382" s="8"/>
      <c r="FG382" s="8"/>
      <c r="FH382" s="8"/>
      <c r="FI382" s="8"/>
      <c r="FJ382" s="8"/>
      <c r="FK382" s="8"/>
      <c r="FL382" s="8"/>
      <c r="FM382" s="8"/>
      <c r="FN382" s="8"/>
      <c r="FO382" s="8"/>
      <c r="FP382" s="8"/>
      <c r="FQ382" s="8"/>
      <c r="FR382" s="8"/>
      <c r="FS382" s="8"/>
    </row>
    <row r="383" spans="1:175"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c r="EZ383" s="8"/>
      <c r="FA383" s="8"/>
      <c r="FB383" s="8"/>
      <c r="FC383" s="8"/>
      <c r="FD383" s="8"/>
      <c r="FE383" s="8"/>
      <c r="FF383" s="8"/>
      <c r="FG383" s="8"/>
      <c r="FH383" s="8"/>
      <c r="FI383" s="8"/>
      <c r="FJ383" s="8"/>
      <c r="FK383" s="8"/>
      <c r="FL383" s="8"/>
      <c r="FM383" s="8"/>
      <c r="FN383" s="8"/>
      <c r="FO383" s="8"/>
      <c r="FP383" s="8"/>
      <c r="FQ383" s="8"/>
      <c r="FR383" s="8"/>
      <c r="FS383" s="8"/>
    </row>
    <row r="384" spans="1:175"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c r="EZ384" s="8"/>
      <c r="FA384" s="8"/>
      <c r="FB384" s="8"/>
      <c r="FC384" s="8"/>
      <c r="FD384" s="8"/>
      <c r="FE384" s="8"/>
      <c r="FF384" s="8"/>
      <c r="FG384" s="8"/>
      <c r="FH384" s="8"/>
      <c r="FI384" s="8"/>
      <c r="FJ384" s="8"/>
      <c r="FK384" s="8"/>
      <c r="FL384" s="8"/>
      <c r="FM384" s="8"/>
      <c r="FN384" s="8"/>
      <c r="FO384" s="8"/>
      <c r="FP384" s="8"/>
      <c r="FQ384" s="8"/>
      <c r="FR384" s="8"/>
      <c r="FS384" s="8"/>
    </row>
    <row r="385" spans="1:175"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c r="FG385" s="8"/>
      <c r="FH385" s="8"/>
      <c r="FI385" s="8"/>
      <c r="FJ385" s="8"/>
      <c r="FK385" s="8"/>
      <c r="FL385" s="8"/>
      <c r="FM385" s="8"/>
      <c r="FN385" s="8"/>
      <c r="FO385" s="8"/>
      <c r="FP385" s="8"/>
      <c r="FQ385" s="8"/>
      <c r="FR385" s="8"/>
      <c r="FS385" s="8"/>
    </row>
    <row r="386" spans="1:175"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c r="EZ386" s="8"/>
      <c r="FA386" s="8"/>
      <c r="FB386" s="8"/>
      <c r="FC386" s="8"/>
      <c r="FD386" s="8"/>
      <c r="FE386" s="8"/>
      <c r="FF386" s="8"/>
      <c r="FG386" s="8"/>
      <c r="FH386" s="8"/>
      <c r="FI386" s="8"/>
      <c r="FJ386" s="8"/>
      <c r="FK386" s="8"/>
      <c r="FL386" s="8"/>
      <c r="FM386" s="8"/>
      <c r="FN386" s="8"/>
      <c r="FO386" s="8"/>
      <c r="FP386" s="8"/>
      <c r="FQ386" s="8"/>
      <c r="FR386" s="8"/>
      <c r="FS386" s="8"/>
    </row>
    <row r="387" spans="1:175"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c r="EZ387" s="8"/>
      <c r="FA387" s="8"/>
      <c r="FB387" s="8"/>
      <c r="FC387" s="8"/>
      <c r="FD387" s="8"/>
      <c r="FE387" s="8"/>
      <c r="FF387" s="8"/>
      <c r="FG387" s="8"/>
      <c r="FH387" s="8"/>
      <c r="FI387" s="8"/>
      <c r="FJ387" s="8"/>
      <c r="FK387" s="8"/>
      <c r="FL387" s="8"/>
      <c r="FM387" s="8"/>
      <c r="FN387" s="8"/>
      <c r="FO387" s="8"/>
      <c r="FP387" s="8"/>
      <c r="FQ387" s="8"/>
      <c r="FR387" s="8"/>
      <c r="FS387" s="8"/>
    </row>
    <row r="388" spans="1:175"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c r="EZ388" s="8"/>
      <c r="FA388" s="8"/>
      <c r="FB388" s="8"/>
      <c r="FC388" s="8"/>
      <c r="FD388" s="8"/>
      <c r="FE388" s="8"/>
      <c r="FF388" s="8"/>
      <c r="FG388" s="8"/>
      <c r="FH388" s="8"/>
      <c r="FI388" s="8"/>
      <c r="FJ388" s="8"/>
      <c r="FK388" s="8"/>
      <c r="FL388" s="8"/>
      <c r="FM388" s="8"/>
      <c r="FN388" s="8"/>
      <c r="FO388" s="8"/>
      <c r="FP388" s="8"/>
      <c r="FQ388" s="8"/>
      <c r="FR388" s="8"/>
      <c r="FS388" s="8"/>
    </row>
    <row r="389" spans="1:175"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FB389" s="8"/>
      <c r="FC389" s="8"/>
      <c r="FD389" s="8"/>
      <c r="FE389" s="8"/>
      <c r="FF389" s="8"/>
      <c r="FG389" s="8"/>
      <c r="FH389" s="8"/>
      <c r="FI389" s="8"/>
      <c r="FJ389" s="8"/>
      <c r="FK389" s="8"/>
      <c r="FL389" s="8"/>
      <c r="FM389" s="8"/>
      <c r="FN389" s="8"/>
      <c r="FO389" s="8"/>
      <c r="FP389" s="8"/>
      <c r="FQ389" s="8"/>
      <c r="FR389" s="8"/>
      <c r="FS389" s="8"/>
    </row>
    <row r="390" spans="1:175"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c r="EZ390" s="8"/>
      <c r="FA390" s="8"/>
      <c r="FB390" s="8"/>
      <c r="FC390" s="8"/>
      <c r="FD390" s="8"/>
      <c r="FE390" s="8"/>
      <c r="FF390" s="8"/>
      <c r="FG390" s="8"/>
      <c r="FH390" s="8"/>
      <c r="FI390" s="8"/>
      <c r="FJ390" s="8"/>
      <c r="FK390" s="8"/>
      <c r="FL390" s="8"/>
      <c r="FM390" s="8"/>
      <c r="FN390" s="8"/>
      <c r="FO390" s="8"/>
      <c r="FP390" s="8"/>
      <c r="FQ390" s="8"/>
      <c r="FR390" s="8"/>
      <c r="FS390" s="8"/>
    </row>
    <row r="391" spans="1:175"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c r="EZ391" s="8"/>
      <c r="FA391" s="8"/>
      <c r="FB391" s="8"/>
      <c r="FC391" s="8"/>
      <c r="FD391" s="8"/>
      <c r="FE391" s="8"/>
      <c r="FF391" s="8"/>
      <c r="FG391" s="8"/>
      <c r="FH391" s="8"/>
      <c r="FI391" s="8"/>
      <c r="FJ391" s="8"/>
      <c r="FK391" s="8"/>
      <c r="FL391" s="8"/>
      <c r="FM391" s="8"/>
      <c r="FN391" s="8"/>
      <c r="FO391" s="8"/>
      <c r="FP391" s="8"/>
      <c r="FQ391" s="8"/>
      <c r="FR391" s="8"/>
      <c r="FS391" s="8"/>
    </row>
    <row r="392" spans="1:175"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c r="EZ392" s="8"/>
      <c r="FA392" s="8"/>
      <c r="FB392" s="8"/>
      <c r="FC392" s="8"/>
      <c r="FD392" s="8"/>
      <c r="FE392" s="8"/>
      <c r="FF392" s="8"/>
      <c r="FG392" s="8"/>
      <c r="FH392" s="8"/>
      <c r="FI392" s="8"/>
      <c r="FJ392" s="8"/>
      <c r="FK392" s="8"/>
      <c r="FL392" s="8"/>
      <c r="FM392" s="8"/>
      <c r="FN392" s="8"/>
      <c r="FO392" s="8"/>
      <c r="FP392" s="8"/>
      <c r="FQ392" s="8"/>
      <c r="FR392" s="8"/>
      <c r="FS392" s="8"/>
    </row>
    <row r="393" spans="1:175"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c r="FG393" s="8"/>
      <c r="FH393" s="8"/>
      <c r="FI393" s="8"/>
      <c r="FJ393" s="8"/>
      <c r="FK393" s="8"/>
      <c r="FL393" s="8"/>
      <c r="FM393" s="8"/>
      <c r="FN393" s="8"/>
      <c r="FO393" s="8"/>
      <c r="FP393" s="8"/>
      <c r="FQ393" s="8"/>
      <c r="FR393" s="8"/>
      <c r="FS393" s="8"/>
    </row>
    <row r="394" spans="1:175"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c r="EZ394" s="8"/>
      <c r="FA394" s="8"/>
      <c r="FB394" s="8"/>
      <c r="FC394" s="8"/>
      <c r="FD394" s="8"/>
      <c r="FE394" s="8"/>
      <c r="FF394" s="8"/>
      <c r="FG394" s="8"/>
      <c r="FH394" s="8"/>
      <c r="FI394" s="8"/>
      <c r="FJ394" s="8"/>
      <c r="FK394" s="8"/>
      <c r="FL394" s="8"/>
      <c r="FM394" s="8"/>
      <c r="FN394" s="8"/>
      <c r="FO394" s="8"/>
      <c r="FP394" s="8"/>
      <c r="FQ394" s="8"/>
      <c r="FR394" s="8"/>
      <c r="FS394" s="8"/>
    </row>
    <row r="395" spans="1:175"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c r="EZ395" s="8"/>
      <c r="FA395" s="8"/>
      <c r="FB395" s="8"/>
      <c r="FC395" s="8"/>
      <c r="FD395" s="8"/>
      <c r="FE395" s="8"/>
      <c r="FF395" s="8"/>
      <c r="FG395" s="8"/>
      <c r="FH395" s="8"/>
      <c r="FI395" s="8"/>
      <c r="FJ395" s="8"/>
      <c r="FK395" s="8"/>
      <c r="FL395" s="8"/>
      <c r="FM395" s="8"/>
      <c r="FN395" s="8"/>
      <c r="FO395" s="8"/>
      <c r="FP395" s="8"/>
      <c r="FQ395" s="8"/>
      <c r="FR395" s="8"/>
      <c r="FS395" s="8"/>
    </row>
    <row r="396" spans="1:175"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c r="EZ396" s="8"/>
      <c r="FA396" s="8"/>
      <c r="FB396" s="8"/>
      <c r="FC396" s="8"/>
      <c r="FD396" s="8"/>
      <c r="FE396" s="8"/>
      <c r="FF396" s="8"/>
      <c r="FG396" s="8"/>
      <c r="FH396" s="8"/>
      <c r="FI396" s="8"/>
      <c r="FJ396" s="8"/>
      <c r="FK396" s="8"/>
      <c r="FL396" s="8"/>
      <c r="FM396" s="8"/>
      <c r="FN396" s="8"/>
      <c r="FO396" s="8"/>
      <c r="FP396" s="8"/>
      <c r="FQ396" s="8"/>
      <c r="FR396" s="8"/>
      <c r="FS396" s="8"/>
    </row>
    <row r="397" spans="1:175"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c r="FG397" s="8"/>
      <c r="FH397" s="8"/>
      <c r="FI397" s="8"/>
      <c r="FJ397" s="8"/>
      <c r="FK397" s="8"/>
      <c r="FL397" s="8"/>
      <c r="FM397" s="8"/>
      <c r="FN397" s="8"/>
      <c r="FO397" s="8"/>
      <c r="FP397" s="8"/>
      <c r="FQ397" s="8"/>
      <c r="FR397" s="8"/>
      <c r="FS397" s="8"/>
    </row>
    <row r="398" spans="1:175"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c r="EZ398" s="8"/>
      <c r="FA398" s="8"/>
      <c r="FB398" s="8"/>
      <c r="FC398" s="8"/>
      <c r="FD398" s="8"/>
      <c r="FE398" s="8"/>
      <c r="FF398" s="8"/>
      <c r="FG398" s="8"/>
      <c r="FH398" s="8"/>
      <c r="FI398" s="8"/>
      <c r="FJ398" s="8"/>
      <c r="FK398" s="8"/>
      <c r="FL398" s="8"/>
      <c r="FM398" s="8"/>
      <c r="FN398" s="8"/>
      <c r="FO398" s="8"/>
      <c r="FP398" s="8"/>
      <c r="FQ398" s="8"/>
      <c r="FR398" s="8"/>
      <c r="FS398" s="8"/>
    </row>
    <row r="399" spans="1:175"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c r="EZ399" s="8"/>
      <c r="FA399" s="8"/>
      <c r="FB399" s="8"/>
      <c r="FC399" s="8"/>
      <c r="FD399" s="8"/>
      <c r="FE399" s="8"/>
      <c r="FF399" s="8"/>
      <c r="FG399" s="8"/>
      <c r="FH399" s="8"/>
      <c r="FI399" s="8"/>
      <c r="FJ399" s="8"/>
      <c r="FK399" s="8"/>
      <c r="FL399" s="8"/>
      <c r="FM399" s="8"/>
      <c r="FN399" s="8"/>
      <c r="FO399" s="8"/>
      <c r="FP399" s="8"/>
      <c r="FQ399" s="8"/>
      <c r="FR399" s="8"/>
      <c r="FS399" s="8"/>
    </row>
    <row r="400" spans="1:175"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c r="EZ400" s="8"/>
      <c r="FA400" s="8"/>
      <c r="FB400" s="8"/>
      <c r="FC400" s="8"/>
      <c r="FD400" s="8"/>
      <c r="FE400" s="8"/>
      <c r="FF400" s="8"/>
      <c r="FG400" s="8"/>
      <c r="FH400" s="8"/>
      <c r="FI400" s="8"/>
      <c r="FJ400" s="8"/>
      <c r="FK400" s="8"/>
      <c r="FL400" s="8"/>
      <c r="FM400" s="8"/>
      <c r="FN400" s="8"/>
      <c r="FO400" s="8"/>
      <c r="FP400" s="8"/>
      <c r="FQ400" s="8"/>
      <c r="FR400" s="8"/>
      <c r="FS400" s="8"/>
    </row>
    <row r="401" spans="1:175"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c r="FG401" s="8"/>
      <c r="FH401" s="8"/>
      <c r="FI401" s="8"/>
      <c r="FJ401" s="8"/>
      <c r="FK401" s="8"/>
      <c r="FL401" s="8"/>
      <c r="FM401" s="8"/>
      <c r="FN401" s="8"/>
      <c r="FO401" s="8"/>
      <c r="FP401" s="8"/>
      <c r="FQ401" s="8"/>
      <c r="FR401" s="8"/>
      <c r="FS401" s="8"/>
    </row>
    <row r="402" spans="1:175"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c r="EZ402" s="8"/>
      <c r="FA402" s="8"/>
      <c r="FB402" s="8"/>
      <c r="FC402" s="8"/>
      <c r="FD402" s="8"/>
      <c r="FE402" s="8"/>
      <c r="FF402" s="8"/>
      <c r="FG402" s="8"/>
      <c r="FH402" s="8"/>
      <c r="FI402" s="8"/>
      <c r="FJ402" s="8"/>
      <c r="FK402" s="8"/>
      <c r="FL402" s="8"/>
      <c r="FM402" s="8"/>
      <c r="FN402" s="8"/>
      <c r="FO402" s="8"/>
      <c r="FP402" s="8"/>
      <c r="FQ402" s="8"/>
      <c r="FR402" s="8"/>
      <c r="FS402" s="8"/>
    </row>
    <row r="403" spans="1:175"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c r="EZ403" s="8"/>
      <c r="FA403" s="8"/>
      <c r="FB403" s="8"/>
      <c r="FC403" s="8"/>
      <c r="FD403" s="8"/>
      <c r="FE403" s="8"/>
      <c r="FF403" s="8"/>
      <c r="FG403" s="8"/>
      <c r="FH403" s="8"/>
      <c r="FI403" s="8"/>
      <c r="FJ403" s="8"/>
      <c r="FK403" s="8"/>
      <c r="FL403" s="8"/>
      <c r="FM403" s="8"/>
      <c r="FN403" s="8"/>
      <c r="FO403" s="8"/>
      <c r="FP403" s="8"/>
      <c r="FQ403" s="8"/>
      <c r="FR403" s="8"/>
      <c r="FS403" s="8"/>
    </row>
    <row r="404" spans="1:175"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c r="EZ404" s="8"/>
      <c r="FA404" s="8"/>
      <c r="FB404" s="8"/>
      <c r="FC404" s="8"/>
      <c r="FD404" s="8"/>
      <c r="FE404" s="8"/>
      <c r="FF404" s="8"/>
      <c r="FG404" s="8"/>
      <c r="FH404" s="8"/>
      <c r="FI404" s="8"/>
      <c r="FJ404" s="8"/>
      <c r="FK404" s="8"/>
      <c r="FL404" s="8"/>
      <c r="FM404" s="8"/>
      <c r="FN404" s="8"/>
      <c r="FO404" s="8"/>
      <c r="FP404" s="8"/>
      <c r="FQ404" s="8"/>
      <c r="FR404" s="8"/>
      <c r="FS404" s="8"/>
    </row>
    <row r="405" spans="1:175"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c r="FG405" s="8"/>
      <c r="FH405" s="8"/>
      <c r="FI405" s="8"/>
      <c r="FJ405" s="8"/>
      <c r="FK405" s="8"/>
      <c r="FL405" s="8"/>
      <c r="FM405" s="8"/>
      <c r="FN405" s="8"/>
      <c r="FO405" s="8"/>
      <c r="FP405" s="8"/>
      <c r="FQ405" s="8"/>
      <c r="FR405" s="8"/>
      <c r="FS405" s="8"/>
    </row>
    <row r="406" spans="1:175"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c r="EZ406" s="8"/>
      <c r="FA406" s="8"/>
      <c r="FB406" s="8"/>
      <c r="FC406" s="8"/>
      <c r="FD406" s="8"/>
      <c r="FE406" s="8"/>
      <c r="FF406" s="8"/>
      <c r="FG406" s="8"/>
      <c r="FH406" s="8"/>
      <c r="FI406" s="8"/>
      <c r="FJ406" s="8"/>
      <c r="FK406" s="8"/>
      <c r="FL406" s="8"/>
      <c r="FM406" s="8"/>
      <c r="FN406" s="8"/>
      <c r="FO406" s="8"/>
      <c r="FP406" s="8"/>
      <c r="FQ406" s="8"/>
      <c r="FR406" s="8"/>
      <c r="FS406" s="8"/>
    </row>
    <row r="407" spans="1:175"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c r="EZ407" s="8"/>
      <c r="FA407" s="8"/>
      <c r="FB407" s="8"/>
      <c r="FC407" s="8"/>
      <c r="FD407" s="8"/>
      <c r="FE407" s="8"/>
      <c r="FF407" s="8"/>
      <c r="FG407" s="8"/>
      <c r="FH407" s="8"/>
      <c r="FI407" s="8"/>
      <c r="FJ407" s="8"/>
      <c r="FK407" s="8"/>
      <c r="FL407" s="8"/>
      <c r="FM407" s="8"/>
      <c r="FN407" s="8"/>
      <c r="FO407" s="8"/>
      <c r="FP407" s="8"/>
      <c r="FQ407" s="8"/>
      <c r="FR407" s="8"/>
      <c r="FS407" s="8"/>
    </row>
    <row r="408" spans="1:175"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row>
    <row r="409" spans="1:175"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FB409" s="8"/>
      <c r="FC409" s="8"/>
      <c r="FD409" s="8"/>
      <c r="FE409" s="8"/>
      <c r="FF409" s="8"/>
      <c r="FG409" s="8"/>
      <c r="FH409" s="8"/>
      <c r="FI409" s="8"/>
      <c r="FJ409" s="8"/>
      <c r="FK409" s="8"/>
      <c r="FL409" s="8"/>
      <c r="FM409" s="8"/>
      <c r="FN409" s="8"/>
      <c r="FO409" s="8"/>
      <c r="FP409" s="8"/>
      <c r="FQ409" s="8"/>
      <c r="FR409" s="8"/>
      <c r="FS409" s="8"/>
    </row>
    <row r="410" spans="1:175"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c r="EZ410" s="8"/>
      <c r="FA410" s="8"/>
      <c r="FB410" s="8"/>
      <c r="FC410" s="8"/>
      <c r="FD410" s="8"/>
      <c r="FE410" s="8"/>
      <c r="FF410" s="8"/>
      <c r="FG410" s="8"/>
      <c r="FH410" s="8"/>
      <c r="FI410" s="8"/>
      <c r="FJ410" s="8"/>
      <c r="FK410" s="8"/>
      <c r="FL410" s="8"/>
      <c r="FM410" s="8"/>
      <c r="FN410" s="8"/>
      <c r="FO410" s="8"/>
      <c r="FP410" s="8"/>
      <c r="FQ410" s="8"/>
      <c r="FR410" s="8"/>
      <c r="FS410" s="8"/>
    </row>
    <row r="411" spans="1:175"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row>
    <row r="412" spans="1:175"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c r="EZ412" s="8"/>
      <c r="FA412" s="8"/>
      <c r="FB412" s="8"/>
      <c r="FC412" s="8"/>
      <c r="FD412" s="8"/>
      <c r="FE412" s="8"/>
      <c r="FF412" s="8"/>
      <c r="FG412" s="8"/>
      <c r="FH412" s="8"/>
      <c r="FI412" s="8"/>
      <c r="FJ412" s="8"/>
      <c r="FK412" s="8"/>
      <c r="FL412" s="8"/>
      <c r="FM412" s="8"/>
      <c r="FN412" s="8"/>
      <c r="FO412" s="8"/>
      <c r="FP412" s="8"/>
      <c r="FQ412" s="8"/>
      <c r="FR412" s="8"/>
      <c r="FS412" s="8"/>
    </row>
    <row r="413" spans="1:175"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c r="FG413" s="8"/>
      <c r="FH413" s="8"/>
      <c r="FI413" s="8"/>
      <c r="FJ413" s="8"/>
      <c r="FK413" s="8"/>
      <c r="FL413" s="8"/>
      <c r="FM413" s="8"/>
      <c r="FN413" s="8"/>
      <c r="FO413" s="8"/>
      <c r="FP413" s="8"/>
      <c r="FQ413" s="8"/>
      <c r="FR413" s="8"/>
      <c r="FS413" s="8"/>
    </row>
    <row r="414" spans="1:175"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c r="EZ414" s="8"/>
      <c r="FA414" s="8"/>
      <c r="FB414" s="8"/>
      <c r="FC414" s="8"/>
      <c r="FD414" s="8"/>
      <c r="FE414" s="8"/>
      <c r="FF414" s="8"/>
      <c r="FG414" s="8"/>
      <c r="FH414" s="8"/>
      <c r="FI414" s="8"/>
      <c r="FJ414" s="8"/>
      <c r="FK414" s="8"/>
      <c r="FL414" s="8"/>
      <c r="FM414" s="8"/>
      <c r="FN414" s="8"/>
      <c r="FO414" s="8"/>
      <c r="FP414" s="8"/>
      <c r="FQ414" s="8"/>
      <c r="FR414" s="8"/>
      <c r="FS414" s="8"/>
    </row>
    <row r="415" spans="1:175"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c r="EZ415" s="8"/>
      <c r="FA415" s="8"/>
      <c r="FB415" s="8"/>
      <c r="FC415" s="8"/>
      <c r="FD415" s="8"/>
      <c r="FE415" s="8"/>
      <c r="FF415" s="8"/>
      <c r="FG415" s="8"/>
      <c r="FH415" s="8"/>
      <c r="FI415" s="8"/>
      <c r="FJ415" s="8"/>
      <c r="FK415" s="8"/>
      <c r="FL415" s="8"/>
      <c r="FM415" s="8"/>
      <c r="FN415" s="8"/>
      <c r="FO415" s="8"/>
      <c r="FP415" s="8"/>
      <c r="FQ415" s="8"/>
      <c r="FR415" s="8"/>
      <c r="FS415" s="8"/>
    </row>
    <row r="416" spans="1:175"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c r="EZ416" s="8"/>
      <c r="FA416" s="8"/>
      <c r="FB416" s="8"/>
      <c r="FC416" s="8"/>
      <c r="FD416" s="8"/>
      <c r="FE416" s="8"/>
      <c r="FF416" s="8"/>
      <c r="FG416" s="8"/>
      <c r="FH416" s="8"/>
      <c r="FI416" s="8"/>
      <c r="FJ416" s="8"/>
      <c r="FK416" s="8"/>
      <c r="FL416" s="8"/>
      <c r="FM416" s="8"/>
      <c r="FN416" s="8"/>
      <c r="FO416" s="8"/>
      <c r="FP416" s="8"/>
      <c r="FQ416" s="8"/>
      <c r="FR416" s="8"/>
      <c r="FS416" s="8"/>
    </row>
    <row r="417" spans="1:175"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c r="FG417" s="8"/>
      <c r="FH417" s="8"/>
      <c r="FI417" s="8"/>
      <c r="FJ417" s="8"/>
      <c r="FK417" s="8"/>
      <c r="FL417" s="8"/>
      <c r="FM417" s="8"/>
      <c r="FN417" s="8"/>
      <c r="FO417" s="8"/>
      <c r="FP417" s="8"/>
      <c r="FQ417" s="8"/>
      <c r="FR417" s="8"/>
      <c r="FS417" s="8"/>
    </row>
    <row r="418" spans="1:175"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c r="EZ418" s="8"/>
      <c r="FA418" s="8"/>
      <c r="FB418" s="8"/>
      <c r="FC418" s="8"/>
      <c r="FD418" s="8"/>
      <c r="FE418" s="8"/>
      <c r="FF418" s="8"/>
      <c r="FG418" s="8"/>
      <c r="FH418" s="8"/>
      <c r="FI418" s="8"/>
      <c r="FJ418" s="8"/>
      <c r="FK418" s="8"/>
      <c r="FL418" s="8"/>
      <c r="FM418" s="8"/>
      <c r="FN418" s="8"/>
      <c r="FO418" s="8"/>
      <c r="FP418" s="8"/>
      <c r="FQ418" s="8"/>
      <c r="FR418" s="8"/>
      <c r="FS418" s="8"/>
    </row>
    <row r="419" spans="1:175"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c r="EZ419" s="8"/>
      <c r="FA419" s="8"/>
      <c r="FB419" s="8"/>
      <c r="FC419" s="8"/>
      <c r="FD419" s="8"/>
      <c r="FE419" s="8"/>
      <c r="FF419" s="8"/>
      <c r="FG419" s="8"/>
      <c r="FH419" s="8"/>
      <c r="FI419" s="8"/>
      <c r="FJ419" s="8"/>
      <c r="FK419" s="8"/>
      <c r="FL419" s="8"/>
      <c r="FM419" s="8"/>
      <c r="FN419" s="8"/>
      <c r="FO419" s="8"/>
      <c r="FP419" s="8"/>
      <c r="FQ419" s="8"/>
      <c r="FR419" s="8"/>
      <c r="FS419" s="8"/>
    </row>
    <row r="420" spans="1:175"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c r="EZ420" s="8"/>
      <c r="FA420" s="8"/>
      <c r="FB420" s="8"/>
      <c r="FC420" s="8"/>
      <c r="FD420" s="8"/>
      <c r="FE420" s="8"/>
      <c r="FF420" s="8"/>
      <c r="FG420" s="8"/>
      <c r="FH420" s="8"/>
      <c r="FI420" s="8"/>
      <c r="FJ420" s="8"/>
      <c r="FK420" s="8"/>
      <c r="FL420" s="8"/>
      <c r="FM420" s="8"/>
      <c r="FN420" s="8"/>
      <c r="FO420" s="8"/>
      <c r="FP420" s="8"/>
      <c r="FQ420" s="8"/>
      <c r="FR420" s="8"/>
      <c r="FS420" s="8"/>
    </row>
    <row r="421" spans="1:175"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c r="FG421" s="8"/>
      <c r="FH421" s="8"/>
      <c r="FI421" s="8"/>
      <c r="FJ421" s="8"/>
      <c r="FK421" s="8"/>
      <c r="FL421" s="8"/>
      <c r="FM421" s="8"/>
      <c r="FN421" s="8"/>
      <c r="FO421" s="8"/>
      <c r="FP421" s="8"/>
      <c r="FQ421" s="8"/>
      <c r="FR421" s="8"/>
      <c r="FS421" s="8"/>
    </row>
    <row r="422" spans="1:175"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c r="EZ422" s="8"/>
      <c r="FA422" s="8"/>
      <c r="FB422" s="8"/>
      <c r="FC422" s="8"/>
      <c r="FD422" s="8"/>
      <c r="FE422" s="8"/>
      <c r="FF422" s="8"/>
      <c r="FG422" s="8"/>
      <c r="FH422" s="8"/>
      <c r="FI422" s="8"/>
      <c r="FJ422" s="8"/>
      <c r="FK422" s="8"/>
      <c r="FL422" s="8"/>
      <c r="FM422" s="8"/>
      <c r="FN422" s="8"/>
      <c r="FO422" s="8"/>
      <c r="FP422" s="8"/>
      <c r="FQ422" s="8"/>
      <c r="FR422" s="8"/>
      <c r="FS422" s="8"/>
    </row>
    <row r="423" spans="1:175"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c r="EZ423" s="8"/>
      <c r="FA423" s="8"/>
      <c r="FB423" s="8"/>
      <c r="FC423" s="8"/>
      <c r="FD423" s="8"/>
      <c r="FE423" s="8"/>
      <c r="FF423" s="8"/>
      <c r="FG423" s="8"/>
      <c r="FH423" s="8"/>
      <c r="FI423" s="8"/>
      <c r="FJ423" s="8"/>
      <c r="FK423" s="8"/>
      <c r="FL423" s="8"/>
      <c r="FM423" s="8"/>
      <c r="FN423" s="8"/>
      <c r="FO423" s="8"/>
      <c r="FP423" s="8"/>
      <c r="FQ423" s="8"/>
      <c r="FR423" s="8"/>
      <c r="FS423" s="8"/>
    </row>
    <row r="424" spans="1:175"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c r="EZ424" s="8"/>
      <c r="FA424" s="8"/>
      <c r="FB424" s="8"/>
      <c r="FC424" s="8"/>
      <c r="FD424" s="8"/>
      <c r="FE424" s="8"/>
      <c r="FF424" s="8"/>
      <c r="FG424" s="8"/>
      <c r="FH424" s="8"/>
      <c r="FI424" s="8"/>
      <c r="FJ424" s="8"/>
      <c r="FK424" s="8"/>
      <c r="FL424" s="8"/>
      <c r="FM424" s="8"/>
      <c r="FN424" s="8"/>
      <c r="FO424" s="8"/>
      <c r="FP424" s="8"/>
      <c r="FQ424" s="8"/>
      <c r="FR424" s="8"/>
      <c r="FS424" s="8"/>
    </row>
    <row r="425" spans="1:175"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c r="FG425" s="8"/>
      <c r="FH425" s="8"/>
      <c r="FI425" s="8"/>
      <c r="FJ425" s="8"/>
      <c r="FK425" s="8"/>
      <c r="FL425" s="8"/>
      <c r="FM425" s="8"/>
      <c r="FN425" s="8"/>
      <c r="FO425" s="8"/>
      <c r="FP425" s="8"/>
      <c r="FQ425" s="8"/>
      <c r="FR425" s="8"/>
      <c r="FS425" s="8"/>
    </row>
    <row r="426" spans="1:175"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c r="EZ426" s="8"/>
      <c r="FA426" s="8"/>
      <c r="FB426" s="8"/>
      <c r="FC426" s="8"/>
      <c r="FD426" s="8"/>
      <c r="FE426" s="8"/>
      <c r="FF426" s="8"/>
      <c r="FG426" s="8"/>
      <c r="FH426" s="8"/>
      <c r="FI426" s="8"/>
      <c r="FJ426" s="8"/>
      <c r="FK426" s="8"/>
      <c r="FL426" s="8"/>
      <c r="FM426" s="8"/>
      <c r="FN426" s="8"/>
      <c r="FO426" s="8"/>
      <c r="FP426" s="8"/>
      <c r="FQ426" s="8"/>
      <c r="FR426" s="8"/>
      <c r="FS426" s="8"/>
    </row>
    <row r="427" spans="1:175"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c r="EZ427" s="8"/>
      <c r="FA427" s="8"/>
      <c r="FB427" s="8"/>
      <c r="FC427" s="8"/>
      <c r="FD427" s="8"/>
      <c r="FE427" s="8"/>
      <c r="FF427" s="8"/>
      <c r="FG427" s="8"/>
      <c r="FH427" s="8"/>
      <c r="FI427" s="8"/>
      <c r="FJ427" s="8"/>
      <c r="FK427" s="8"/>
      <c r="FL427" s="8"/>
      <c r="FM427" s="8"/>
      <c r="FN427" s="8"/>
      <c r="FO427" s="8"/>
      <c r="FP427" s="8"/>
      <c r="FQ427" s="8"/>
      <c r="FR427" s="8"/>
      <c r="FS427" s="8"/>
    </row>
    <row r="428" spans="1:175"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c r="EZ428" s="8"/>
      <c r="FA428" s="8"/>
      <c r="FB428" s="8"/>
      <c r="FC428" s="8"/>
      <c r="FD428" s="8"/>
      <c r="FE428" s="8"/>
      <c r="FF428" s="8"/>
      <c r="FG428" s="8"/>
      <c r="FH428" s="8"/>
      <c r="FI428" s="8"/>
      <c r="FJ428" s="8"/>
      <c r="FK428" s="8"/>
      <c r="FL428" s="8"/>
      <c r="FM428" s="8"/>
      <c r="FN428" s="8"/>
      <c r="FO428" s="8"/>
      <c r="FP428" s="8"/>
      <c r="FQ428" s="8"/>
      <c r="FR428" s="8"/>
      <c r="FS428" s="8"/>
    </row>
    <row r="429" spans="1:175"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c r="FG429" s="8"/>
      <c r="FH429" s="8"/>
      <c r="FI429" s="8"/>
      <c r="FJ429" s="8"/>
      <c r="FK429" s="8"/>
      <c r="FL429" s="8"/>
      <c r="FM429" s="8"/>
      <c r="FN429" s="8"/>
      <c r="FO429" s="8"/>
      <c r="FP429" s="8"/>
      <c r="FQ429" s="8"/>
      <c r="FR429" s="8"/>
      <c r="FS429" s="8"/>
    </row>
    <row r="430" spans="1:175"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c r="EZ430" s="8"/>
      <c r="FA430" s="8"/>
      <c r="FB430" s="8"/>
      <c r="FC430" s="8"/>
      <c r="FD430" s="8"/>
      <c r="FE430" s="8"/>
      <c r="FF430" s="8"/>
      <c r="FG430" s="8"/>
      <c r="FH430" s="8"/>
      <c r="FI430" s="8"/>
      <c r="FJ430" s="8"/>
      <c r="FK430" s="8"/>
      <c r="FL430" s="8"/>
      <c r="FM430" s="8"/>
      <c r="FN430" s="8"/>
      <c r="FO430" s="8"/>
      <c r="FP430" s="8"/>
      <c r="FQ430" s="8"/>
      <c r="FR430" s="8"/>
      <c r="FS430" s="8"/>
    </row>
    <row r="431" spans="1:175"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c r="EZ431" s="8"/>
      <c r="FA431" s="8"/>
      <c r="FB431" s="8"/>
      <c r="FC431" s="8"/>
      <c r="FD431" s="8"/>
      <c r="FE431" s="8"/>
      <c r="FF431" s="8"/>
      <c r="FG431" s="8"/>
      <c r="FH431" s="8"/>
      <c r="FI431" s="8"/>
      <c r="FJ431" s="8"/>
      <c r="FK431" s="8"/>
      <c r="FL431" s="8"/>
      <c r="FM431" s="8"/>
      <c r="FN431" s="8"/>
      <c r="FO431" s="8"/>
      <c r="FP431" s="8"/>
      <c r="FQ431" s="8"/>
      <c r="FR431" s="8"/>
      <c r="FS431" s="8"/>
    </row>
    <row r="432" spans="1:175"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c r="EZ432" s="8"/>
      <c r="FA432" s="8"/>
      <c r="FB432" s="8"/>
      <c r="FC432" s="8"/>
      <c r="FD432" s="8"/>
      <c r="FE432" s="8"/>
      <c r="FF432" s="8"/>
      <c r="FG432" s="8"/>
      <c r="FH432" s="8"/>
      <c r="FI432" s="8"/>
      <c r="FJ432" s="8"/>
      <c r="FK432" s="8"/>
      <c r="FL432" s="8"/>
      <c r="FM432" s="8"/>
      <c r="FN432" s="8"/>
      <c r="FO432" s="8"/>
      <c r="FP432" s="8"/>
      <c r="FQ432" s="8"/>
      <c r="FR432" s="8"/>
      <c r="FS432" s="8"/>
    </row>
    <row r="433" spans="1:175"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FB433" s="8"/>
      <c r="FC433" s="8"/>
      <c r="FD433" s="8"/>
      <c r="FE433" s="8"/>
      <c r="FF433" s="8"/>
      <c r="FG433" s="8"/>
      <c r="FH433" s="8"/>
      <c r="FI433" s="8"/>
      <c r="FJ433" s="8"/>
      <c r="FK433" s="8"/>
      <c r="FL433" s="8"/>
      <c r="FM433" s="8"/>
      <c r="FN433" s="8"/>
      <c r="FO433" s="8"/>
      <c r="FP433" s="8"/>
      <c r="FQ433" s="8"/>
      <c r="FR433" s="8"/>
      <c r="FS433" s="8"/>
    </row>
    <row r="434" spans="1:175"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c r="EZ434" s="8"/>
      <c r="FA434" s="8"/>
      <c r="FB434" s="8"/>
      <c r="FC434" s="8"/>
      <c r="FD434" s="8"/>
      <c r="FE434" s="8"/>
      <c r="FF434" s="8"/>
      <c r="FG434" s="8"/>
      <c r="FH434" s="8"/>
      <c r="FI434" s="8"/>
      <c r="FJ434" s="8"/>
      <c r="FK434" s="8"/>
      <c r="FL434" s="8"/>
      <c r="FM434" s="8"/>
      <c r="FN434" s="8"/>
      <c r="FO434" s="8"/>
      <c r="FP434" s="8"/>
      <c r="FQ434" s="8"/>
      <c r="FR434" s="8"/>
      <c r="FS434" s="8"/>
    </row>
    <row r="435" spans="1:175"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c r="EZ435" s="8"/>
      <c r="FA435" s="8"/>
      <c r="FB435" s="8"/>
      <c r="FC435" s="8"/>
      <c r="FD435" s="8"/>
      <c r="FE435" s="8"/>
      <c r="FF435" s="8"/>
      <c r="FG435" s="8"/>
      <c r="FH435" s="8"/>
      <c r="FI435" s="8"/>
      <c r="FJ435" s="8"/>
      <c r="FK435" s="8"/>
      <c r="FL435" s="8"/>
      <c r="FM435" s="8"/>
      <c r="FN435" s="8"/>
      <c r="FO435" s="8"/>
      <c r="FP435" s="8"/>
      <c r="FQ435" s="8"/>
      <c r="FR435" s="8"/>
      <c r="FS435" s="8"/>
    </row>
    <row r="436" spans="1:175"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row>
    <row r="437" spans="1:175"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row>
    <row r="438" spans="1:175"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row>
    <row r="439" spans="1:175"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row>
    <row r="440" spans="1:175"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row>
    <row r="441" spans="1:175"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row>
    <row r="442" spans="1:175"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row>
    <row r="443" spans="1:175"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row>
    <row r="444" spans="1:175"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row>
    <row r="445" spans="1:175"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row>
    <row r="446" spans="1:175"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row>
    <row r="447" spans="1:175"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row>
    <row r="448" spans="1:175"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row>
    <row r="449" spans="1:175"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row>
    <row r="450" spans="1:175"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row>
    <row r="451" spans="1:175"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row>
    <row r="452" spans="1:175"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row>
    <row r="453" spans="1:175"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row>
    <row r="454" spans="1:175"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row>
    <row r="455" spans="1:175"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row>
    <row r="456" spans="1:175"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row>
    <row r="457" spans="1:175"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row>
    <row r="458" spans="1:175"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row>
    <row r="459" spans="1:175"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row>
    <row r="460" spans="1:175"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row>
    <row r="461" spans="1:175"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row>
    <row r="462" spans="1:175"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row>
    <row r="463" spans="1:175"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row>
    <row r="464" spans="1:175"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row>
    <row r="465" spans="1:175"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row>
    <row r="466" spans="1:175"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row>
    <row r="467" spans="1:175"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row>
    <row r="468" spans="1:175"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row>
    <row r="469" spans="1:175"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row>
    <row r="470" spans="1:175"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row>
    <row r="471" spans="1:175"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row>
    <row r="472" spans="1:175"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row>
    <row r="473" spans="1:175"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row>
    <row r="474" spans="1:175"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row>
    <row r="475" spans="1:175"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row>
    <row r="476" spans="1:175"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row>
    <row r="477" spans="1:175"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row>
    <row r="478" spans="1:175"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row>
    <row r="479" spans="1:175"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row>
    <row r="480" spans="1:175"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row>
    <row r="481" spans="1:175"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row>
    <row r="482" spans="1:175"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row>
    <row r="483" spans="1:175"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row>
    <row r="484" spans="1:175"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row>
    <row r="485" spans="1:175"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row>
    <row r="486" spans="1:175"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row>
    <row r="487" spans="1:175"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row>
    <row r="488" spans="1:175"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row>
    <row r="489" spans="1:175"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row>
    <row r="490" spans="1:175"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row>
    <row r="491" spans="1:175"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row>
    <row r="492" spans="1:175"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row>
    <row r="493" spans="1:175"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row>
    <row r="494" spans="1:175"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row>
    <row r="495" spans="1:175"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row>
    <row r="496" spans="1:175"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row>
    <row r="497" spans="1:175"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3D3D7-8A38-4097-8060-3CD888FE08C8}">
  <dimension ref="A1:BI91"/>
  <sheetViews>
    <sheetView zoomScale="85" workbookViewId="0">
      <selection activeCell="A36" sqref="A36"/>
    </sheetView>
  </sheetViews>
  <sheetFormatPr defaultRowHeight="14.4" x14ac:dyDescent="0.3"/>
  <cols>
    <col min="1" max="1" width="14.21875" bestFit="1" customWidth="1"/>
    <col min="2" max="2" width="18.33203125" bestFit="1" customWidth="1"/>
    <col min="3" max="3" width="25.21875" bestFit="1" customWidth="1"/>
    <col min="4" max="4" width="21.44140625" bestFit="1" customWidth="1"/>
    <col min="5" max="5" width="21.44140625" style="5" bestFit="1" customWidth="1"/>
    <col min="6" max="6" width="30.21875" style="5" bestFit="1" customWidth="1"/>
    <col min="7" max="7" width="19.6640625" style="5" bestFit="1" customWidth="1"/>
    <col min="8" max="8" width="23.6640625" style="5" bestFit="1" customWidth="1"/>
    <col min="9" max="9" width="25" bestFit="1" customWidth="1"/>
    <col min="10" max="10" width="25.44140625" bestFit="1" customWidth="1"/>
    <col min="11" max="11" width="11.44140625" bestFit="1" customWidth="1"/>
    <col min="12" max="12" width="23.77734375" bestFit="1" customWidth="1"/>
    <col min="13" max="13" width="17.33203125" bestFit="1" customWidth="1"/>
    <col min="14" max="14" width="20.21875" bestFit="1" customWidth="1"/>
    <col min="15" max="15" width="20.109375" bestFit="1" customWidth="1"/>
    <col min="16" max="16" width="28.33203125" bestFit="1" customWidth="1"/>
    <col min="17" max="17" width="23.77734375" bestFit="1" customWidth="1"/>
    <col min="18" max="18" width="22.109375" bestFit="1" customWidth="1"/>
    <col min="19" max="19" width="25" bestFit="1" customWidth="1"/>
    <col min="20" max="20" width="24.88671875" bestFit="1" customWidth="1"/>
    <col min="21" max="21" width="33.109375" bestFit="1" customWidth="1"/>
    <col min="22" max="22" width="28.5546875" bestFit="1" customWidth="1"/>
    <col min="23" max="38" width="10.33203125" bestFit="1" customWidth="1"/>
    <col min="39" max="39" width="10.77734375" bestFit="1" customWidth="1"/>
    <col min="51" max="51" width="30.6640625" customWidth="1"/>
    <col min="52" max="58" width="8.88671875" customWidth="1"/>
    <col min="59" max="59" width="8.109375" customWidth="1"/>
    <col min="60" max="61" width="8.88671875" hidden="1" customWidth="1"/>
  </cols>
  <sheetData>
    <row r="1" spans="1:61" x14ac:dyDescent="0.3">
      <c r="A1" s="2" t="s">
        <v>19</v>
      </c>
      <c r="B1" t="s">
        <v>1033</v>
      </c>
      <c r="C1" t="s">
        <v>1034</v>
      </c>
      <c r="D1" t="s">
        <v>1035</v>
      </c>
      <c r="E1" t="s">
        <v>1036</v>
      </c>
      <c r="F1" t="s">
        <v>1056</v>
      </c>
      <c r="G1" s="7" t="s">
        <v>1057</v>
      </c>
      <c r="H1" s="7" t="s">
        <v>1058</v>
      </c>
      <c r="I1" s="7" t="s">
        <v>1059</v>
      </c>
      <c r="J1" s="7" t="s">
        <v>1060</v>
      </c>
    </row>
    <row r="2" spans="1:61" x14ac:dyDescent="0.3">
      <c r="A2" s="3" t="s">
        <v>16</v>
      </c>
      <c r="B2">
        <v>80</v>
      </c>
      <c r="C2">
        <v>80</v>
      </c>
      <c r="D2">
        <v>80</v>
      </c>
      <c r="E2">
        <v>80</v>
      </c>
      <c r="F2">
        <v>74</v>
      </c>
      <c r="G2" s="4">
        <f>GETPIVOTDATA("[Measures].[Count of Pre-Booking Date]",$A$1,"[EPe_BA_intern_assesment_Raw_data___Sheet1].[Store Name]","[EPe_BA_intern_assesment_Raw_data___Sheet1].[Store Name].&amp;[Bangalore MBC]")/GETPIVOTDATA("[Measures].[Count of Lead Date]",$A$1,"[EPe_BA_intern_assesment_Raw_data___Sheet1].[Store Name]","[EPe_BA_intern_assesment_Raw_data___Sheet1].[Store Name].&amp;[Bangalore MBC]")</f>
        <v>1</v>
      </c>
      <c r="H2"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I2"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J2" s="4">
        <f>GETPIVOTDATA("[Measures].[Count of Service Follow-up Date]",$A$1,"[EPe_BA_intern_assesment_Raw_data___Sheet1].[Store Name]","[EPe_BA_intern_assesment_Raw_data___Sheet1].[Store Name].&amp;[Bangalore MBC]")/GETPIVOTDATA("[Measures].[Count of Delivery Date]",$A$1,"[EPe_BA_intern_assesment_Raw_data___Sheet1].[Store Name]","[EPe_BA_intern_assesment_Raw_data___Sheet1].[Store Name].&amp;[Bangalore MBC]")</f>
        <v>0.92500000000000004</v>
      </c>
    </row>
    <row r="3" spans="1:61" x14ac:dyDescent="0.3">
      <c r="A3" s="3" t="s">
        <v>34</v>
      </c>
      <c r="B3">
        <v>70</v>
      </c>
      <c r="C3">
        <v>70</v>
      </c>
      <c r="D3">
        <v>70</v>
      </c>
      <c r="E3">
        <v>70</v>
      </c>
      <c r="F3">
        <v>66</v>
      </c>
      <c r="G3" s="4">
        <f>GETPIVOTDATA("[Measures].[Count of Pre-Booking Date]",$A$1,"[EPe_BA_intern_assesment_Raw_data___Sheet1].[Store Name]","[EPe_BA_intern_assesment_Raw_data___Sheet1].[Store Name].&amp;[Chennai MBC]")/GETPIVOTDATA("[Measures].[Count of Lead Date]",$A$1,"[EPe_BA_intern_assesment_Raw_data___Sheet1].[Store Name]","[EPe_BA_intern_assesment_Raw_data___Sheet1].[Store Name].&amp;[Chennai MBC]")</f>
        <v>1</v>
      </c>
      <c r="H3"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I3"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J3"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4" spans="1:61" x14ac:dyDescent="0.3">
      <c r="A4" s="3" t="s">
        <v>21</v>
      </c>
      <c r="B4">
        <v>70</v>
      </c>
      <c r="C4">
        <v>70</v>
      </c>
      <c r="D4">
        <v>70</v>
      </c>
      <c r="E4">
        <v>70</v>
      </c>
      <c r="F4">
        <v>59</v>
      </c>
      <c r="G4" s="4">
        <f>GETPIVOTDATA("[Measures].[Count of Pre-Booking Date]",$A$1,"[EPe_BA_intern_assesment_Raw_data___Sheet1].[Store Name]","[EPe_BA_intern_assesment_Raw_data___Sheet1].[Store Name].&amp;[Delhi MBC]")/GETPIVOTDATA("[Measures].[Count of Lead Date]",$A$1,"[EPe_BA_intern_assesment_Raw_data___Sheet1].[Store Name]","[EPe_BA_intern_assesment_Raw_data___Sheet1].[Store Name].&amp;[Delhi MBC]")</f>
        <v>1</v>
      </c>
      <c r="H4"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I4"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J4"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5" spans="1:61" x14ac:dyDescent="0.3">
      <c r="A5" s="3" t="s">
        <v>23</v>
      </c>
      <c r="B5">
        <v>83</v>
      </c>
      <c r="C5">
        <v>83</v>
      </c>
      <c r="D5">
        <v>83</v>
      </c>
      <c r="E5">
        <v>83</v>
      </c>
      <c r="F5">
        <v>78</v>
      </c>
      <c r="G5" s="4">
        <f>GETPIVOTDATA("[Measures].[Count of Pre-Booking Date]",$A$1,"[EPe_BA_intern_assesment_Raw_data___Sheet1].[Store Name]","[EPe_BA_intern_assesment_Raw_data___Sheet1].[Store Name].&amp;[Mumbai MBC]")/GETPIVOTDATA("[Measures].[Count of Lead Date]",$A$1,"[EPe_BA_intern_assesment_Raw_data___Sheet1].[Store Name]","[EPe_BA_intern_assesment_Raw_data___Sheet1].[Store Name].&amp;[Mumbai MBC]")</f>
        <v>1</v>
      </c>
      <c r="H5"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I5"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J5"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6" spans="1:61" x14ac:dyDescent="0.3">
      <c r="A6" s="3" t="s">
        <v>1031</v>
      </c>
      <c r="B6">
        <v>303</v>
      </c>
      <c r="C6">
        <v>303</v>
      </c>
      <c r="D6">
        <v>303</v>
      </c>
      <c r="E6">
        <v>303</v>
      </c>
      <c r="F6">
        <v>277</v>
      </c>
      <c r="G6" s="4">
        <f>GETPIVOTDATA("[Measures].[Count of Pre-Booking Date]",$A$1)/GETPIVOTDATA("[Measures].[Count of Lead Date]",$A$1)</f>
        <v>1</v>
      </c>
      <c r="H6"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I6"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J6"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10" spans="1:61" x14ac:dyDescent="0.3">
      <c r="AZ10" s="3" t="s">
        <v>16</v>
      </c>
      <c r="BA10">
        <v>263</v>
      </c>
      <c r="BB10">
        <v>212</v>
      </c>
      <c r="BC10">
        <v>212</v>
      </c>
      <c r="BD10">
        <v>212</v>
      </c>
      <c r="BE10">
        <v>191</v>
      </c>
      <c r="BF10" s="4">
        <f>GETPIVOTDATA("[Measures].[Count of Pre-Booking Date]",$A$1,"[EPe_BA_intern_assesment_Raw_data___Sheet1].[Store Name]","[EPe_BA_intern_assesment_Raw_data___Sheet1].[Store Name].&amp;[Bangalore MBC]")/GETPIVOTDATA("[Measures].[Count of Lead Date]",$A$1,"[EPe_BA_intern_assesment_Raw_data___Sheet1].[Store Name]","[EPe_BA_intern_assesment_Raw_data___Sheet1].[Store Name].&amp;[Bangalore MBC]")</f>
        <v>1</v>
      </c>
      <c r="BG10"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BH10"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BI10" s="4">
        <f>GETPIVOTDATA("[Measures].[Count of Service Follow-up Date]",$A$1,"[EPe_BA_intern_assesment_Raw_data___Sheet1].[Store Name]","[EPe_BA_intern_assesment_Raw_data___Sheet1].[Store Name].&amp;[Bangalore MBC]")/GETPIVOTDATA("[Measures].[Count of Delivery Date]",$A$1,"[EPe_BA_intern_assesment_Raw_data___Sheet1].[Store Name]","[EPe_BA_intern_assesment_Raw_data___Sheet1].[Store Name].&amp;[Bangalore MBC]")</f>
        <v>0.92500000000000004</v>
      </c>
    </row>
    <row r="11" spans="1:61" x14ac:dyDescent="0.3">
      <c r="AZ11" s="3" t="s">
        <v>34</v>
      </c>
      <c r="BA11">
        <v>212</v>
      </c>
      <c r="BB11">
        <v>173</v>
      </c>
      <c r="BC11">
        <v>173</v>
      </c>
      <c r="BD11">
        <v>173</v>
      </c>
      <c r="BE11">
        <v>153</v>
      </c>
      <c r="BF11" s="4">
        <f>GETPIVOTDATA("[Measures].[Count of Pre-Booking Date]",$A$1,"[EPe_BA_intern_assesment_Raw_data___Sheet1].[Store Name]","[EPe_BA_intern_assesment_Raw_data___Sheet1].[Store Name].&amp;[Chennai MBC]")/GETPIVOTDATA("[Measures].[Count of Lead Date]",$A$1,"[EPe_BA_intern_assesment_Raw_data___Sheet1].[Store Name]","[EPe_BA_intern_assesment_Raw_data___Sheet1].[Store Name].&amp;[Chennai MBC]")</f>
        <v>1</v>
      </c>
      <c r="BG11"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BH11"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BI11"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12" spans="1:61" x14ac:dyDescent="0.3">
      <c r="AZ12" s="3" t="s">
        <v>21</v>
      </c>
      <c r="BA12">
        <v>263</v>
      </c>
      <c r="BB12">
        <v>212</v>
      </c>
      <c r="BC12">
        <v>212</v>
      </c>
      <c r="BD12">
        <v>212</v>
      </c>
      <c r="BE12">
        <v>186</v>
      </c>
      <c r="BF12" s="4">
        <f>GETPIVOTDATA("[Measures].[Count of Pre-Booking Date]",$A$1,"[EPe_BA_intern_assesment_Raw_data___Sheet1].[Store Name]","[EPe_BA_intern_assesment_Raw_data___Sheet1].[Store Name].&amp;[Delhi MBC]")/GETPIVOTDATA("[Measures].[Count of Lead Date]",$A$1,"[EPe_BA_intern_assesment_Raw_data___Sheet1].[Store Name]","[EPe_BA_intern_assesment_Raw_data___Sheet1].[Store Name].&amp;[Delhi MBC]")</f>
        <v>1</v>
      </c>
      <c r="BG12"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BH12"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BI12"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13" spans="1:61" x14ac:dyDescent="0.3">
      <c r="AZ13" s="3" t="s">
        <v>23</v>
      </c>
      <c r="BA13">
        <v>262</v>
      </c>
      <c r="BB13">
        <v>215</v>
      </c>
      <c r="BC13">
        <v>215</v>
      </c>
      <c r="BD13">
        <v>215</v>
      </c>
      <c r="BE13">
        <v>199</v>
      </c>
      <c r="BF13" s="4">
        <f>GETPIVOTDATA("[Measures].[Count of Pre-Booking Date]",$A$1,"[EPe_BA_intern_assesment_Raw_data___Sheet1].[Store Name]","[EPe_BA_intern_assesment_Raw_data___Sheet1].[Store Name].&amp;[Mumbai MBC]")/GETPIVOTDATA("[Measures].[Count of Lead Date]",$A$1,"[EPe_BA_intern_assesment_Raw_data___Sheet1].[Store Name]","[EPe_BA_intern_assesment_Raw_data___Sheet1].[Store Name].&amp;[Mumbai MBC]")</f>
        <v>1</v>
      </c>
      <c r="BG13"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BH13"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BI13"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14" spans="1:61" x14ac:dyDescent="0.3">
      <c r="I14" t="s">
        <v>1055</v>
      </c>
      <c r="AZ14" s="3" t="s">
        <v>1031</v>
      </c>
      <c r="BA14">
        <v>1000</v>
      </c>
      <c r="BB14">
        <v>812</v>
      </c>
      <c r="BC14">
        <v>812</v>
      </c>
      <c r="BD14">
        <v>812</v>
      </c>
      <c r="BE14">
        <v>729</v>
      </c>
      <c r="BF14" s="4">
        <f>GETPIVOTDATA("[Measures].[Count of Pre-Booking Date]",$A$1)/GETPIVOTDATA("[Measures].[Count of Lead Date]",$A$1)</f>
        <v>1</v>
      </c>
      <c r="BG14" s="4">
        <f>GETPIVOTDATA("[Measures].[Count of Booking Date]",$A$1,"[EPe_BA_intern_assesment_Raw_data___Sheet1].[Store Name]","[EPe_BA_intern_assesment_Raw_data___Sheet1].[Store Name].&amp;[Bangalore MBC]")/GETPIVOTDATA("[Measures].[Count of Pre-Booking Date]",$A$1,"[EPe_BA_intern_assesment_Raw_data___Sheet1].[Store Name]","[EPe_BA_intern_assesment_Raw_data___Sheet1].[Store Name].&amp;[Bangalore MBC]")</f>
        <v>1</v>
      </c>
      <c r="BH14" s="4">
        <f>GETPIVOTDATA("[Measures].[Count of Delivery Date]",$A$1,"[EPe_BA_intern_assesment_Raw_data___Sheet1].[Store Name]","[EPe_BA_intern_assesment_Raw_data___Sheet1].[Store Name].&amp;[Bangalore MBC]")/GETPIVOTDATA("[Measures].[Count of Booking Date]",$A$1,"[EPe_BA_intern_assesment_Raw_data___Sheet1].[Store Name]","[EPe_BA_intern_assesment_Raw_data___Sheet1].[Store Name].&amp;[Bangalore MBC]")</f>
        <v>1</v>
      </c>
      <c r="BI14" s="4">
        <f>GETPIVOTDATA("[Measures].[Count of Service Follow-up Date]",$A$1,"[EPe_BA_intern_assesment_Raw_data___Sheet1].[Store Name]","[EPe_BA_intern_assesment_Raw_data___Sheet1].[Store Name].&amp;[Chennai MBC]")/GETPIVOTDATA("[Measures].[Count of Delivery Date]",$A$1,"[EPe_BA_intern_assesment_Raw_data___Sheet1].[Store Name]","[EPe_BA_intern_assesment_Raw_data___Sheet1].[Store Name].&amp;[Chennai MBC]")</f>
        <v>0.94285714285714284</v>
      </c>
    </row>
    <row r="34" spans="1:6" customFormat="1" x14ac:dyDescent="0.3"/>
    <row r="35" spans="1:6" customFormat="1" x14ac:dyDescent="0.3"/>
    <row r="36" spans="1:6" customFormat="1" x14ac:dyDescent="0.3">
      <c r="A36" s="9"/>
      <c r="B36" s="9"/>
      <c r="C36" s="9"/>
      <c r="D36" s="9"/>
      <c r="E36" s="9"/>
      <c r="F36" s="9"/>
    </row>
    <row r="37" spans="1:6" customFormat="1" x14ac:dyDescent="0.3">
      <c r="A37" s="9"/>
      <c r="B37" s="9"/>
      <c r="C37" s="9"/>
      <c r="D37" s="9"/>
      <c r="E37" s="9"/>
      <c r="F37" s="9"/>
    </row>
    <row r="38" spans="1:6" customFormat="1" x14ac:dyDescent="0.3">
      <c r="A38" s="9"/>
      <c r="B38" s="9"/>
      <c r="C38" s="9"/>
      <c r="D38" s="9"/>
      <c r="E38" s="9"/>
      <c r="F38" s="9"/>
    </row>
    <row r="39" spans="1:6" x14ac:dyDescent="0.3">
      <c r="A39" s="9"/>
      <c r="B39" s="9"/>
      <c r="C39" s="9"/>
      <c r="D39" s="9"/>
      <c r="E39" s="10"/>
      <c r="F39" s="10"/>
    </row>
    <row r="40" spans="1:6" x14ac:dyDescent="0.3">
      <c r="A40" s="9"/>
      <c r="B40" s="9"/>
      <c r="C40" s="9"/>
      <c r="D40" s="9"/>
      <c r="E40" s="10"/>
      <c r="F40" s="10"/>
    </row>
    <row r="41" spans="1:6" x14ac:dyDescent="0.3">
      <c r="A41" s="9"/>
      <c r="B41" s="9"/>
      <c r="C41" s="9"/>
      <c r="D41" s="9"/>
      <c r="E41" s="10"/>
      <c r="F41" s="10"/>
    </row>
    <row r="42" spans="1:6" x14ac:dyDescent="0.3">
      <c r="A42" s="9"/>
      <c r="B42" s="9"/>
      <c r="C42" s="9"/>
      <c r="D42" s="9"/>
      <c r="E42" s="10"/>
      <c r="F42" s="10"/>
    </row>
    <row r="43" spans="1:6" x14ac:dyDescent="0.3">
      <c r="A43" s="9"/>
      <c r="B43" s="9"/>
      <c r="C43" s="9"/>
      <c r="D43" s="9"/>
      <c r="E43" s="10"/>
      <c r="F43" s="10"/>
    </row>
    <row r="44" spans="1:6" x14ac:dyDescent="0.3">
      <c r="A44" s="9"/>
      <c r="B44" s="9"/>
      <c r="C44" s="9"/>
      <c r="D44" s="9"/>
      <c r="E44" s="10"/>
      <c r="F44" s="10"/>
    </row>
    <row r="69" spans="5:8" x14ac:dyDescent="0.3">
      <c r="E69"/>
      <c r="F69"/>
      <c r="G69"/>
      <c r="H69"/>
    </row>
    <row r="70" spans="5:8" x14ac:dyDescent="0.3">
      <c r="E70"/>
      <c r="F70"/>
      <c r="G70"/>
      <c r="H70"/>
    </row>
    <row r="71" spans="5:8" x14ac:dyDescent="0.3">
      <c r="E71"/>
      <c r="F71"/>
      <c r="G71"/>
      <c r="H71"/>
    </row>
    <row r="72" spans="5:8" x14ac:dyDescent="0.3">
      <c r="E72"/>
      <c r="F72"/>
      <c r="G72"/>
      <c r="H72"/>
    </row>
    <row r="73" spans="5:8" x14ac:dyDescent="0.3">
      <c r="E73"/>
      <c r="F73"/>
      <c r="G73"/>
      <c r="H73"/>
    </row>
    <row r="74" spans="5:8" x14ac:dyDescent="0.3">
      <c r="E74"/>
      <c r="F74"/>
      <c r="G74"/>
      <c r="H74"/>
    </row>
    <row r="75" spans="5:8" x14ac:dyDescent="0.3">
      <c r="E75"/>
      <c r="F75"/>
      <c r="G75"/>
      <c r="H75"/>
    </row>
    <row r="76" spans="5:8" x14ac:dyDescent="0.3">
      <c r="E76"/>
      <c r="F76"/>
      <c r="G76"/>
      <c r="H76"/>
    </row>
    <row r="77" spans="5:8" x14ac:dyDescent="0.3">
      <c r="E77"/>
    </row>
    <row r="78" spans="5:8" x14ac:dyDescent="0.3">
      <c r="E78"/>
    </row>
    <row r="79" spans="5:8" x14ac:dyDescent="0.3">
      <c r="E79"/>
    </row>
    <row r="80" spans="5:8" x14ac:dyDescent="0.3">
      <c r="E80"/>
    </row>
    <row r="81" spans="5:5" x14ac:dyDescent="0.3">
      <c r="E81"/>
    </row>
    <row r="82" spans="5:5" x14ac:dyDescent="0.3">
      <c r="E82"/>
    </row>
    <row r="83" spans="5:5" x14ac:dyDescent="0.3">
      <c r="E83"/>
    </row>
    <row r="84" spans="5:5" x14ac:dyDescent="0.3">
      <c r="E84"/>
    </row>
    <row r="85" spans="5:5" x14ac:dyDescent="0.3">
      <c r="E85"/>
    </row>
    <row r="86" spans="5:5" x14ac:dyDescent="0.3">
      <c r="E86"/>
    </row>
    <row r="87" spans="5:5" x14ac:dyDescent="0.3">
      <c r="E87"/>
    </row>
    <row r="88" spans="5:5" x14ac:dyDescent="0.3">
      <c r="E88"/>
    </row>
    <row r="89" spans="5:5" x14ac:dyDescent="0.3">
      <c r="E89"/>
    </row>
    <row r="90" spans="5:5" x14ac:dyDescent="0.3">
      <c r="E90"/>
    </row>
    <row r="91" spans="5:5" x14ac:dyDescent="0.3">
      <c r="E91"/>
    </row>
  </sheetData>
  <conditionalFormatting sqref="A1:J1 A2:A6 G2:J6">
    <cfRule type="dataBar" priority="1">
      <dataBar>
        <cfvo type="min"/>
        <cfvo type="max"/>
        <color rgb="FFD6007B"/>
      </dataBar>
      <extLst>
        <ext xmlns:x14="http://schemas.microsoft.com/office/spreadsheetml/2009/9/main" uri="{B025F937-C7B1-47D3-B67F-A62EFF666E3E}">
          <x14:id>{78C8E502-CFD5-4195-B772-A8BBB9608AC6}</x14:id>
        </ext>
      </extLst>
    </cfRule>
    <cfRule type="dataBar" priority="2">
      <dataBar>
        <cfvo type="min"/>
        <cfvo type="max"/>
        <color rgb="FF63C384"/>
      </dataBar>
      <extLst>
        <ext xmlns:x14="http://schemas.microsoft.com/office/spreadsheetml/2009/9/main" uri="{B025F937-C7B1-47D3-B67F-A62EFF666E3E}">
          <x14:id>{8DDDE302-164F-4944-97FB-44231E064169}</x14:id>
        </ext>
      </extLst>
    </cfRule>
    <cfRule type="colorScale" priority="3">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78C8E502-CFD5-4195-B772-A8BBB9608AC6}">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8DDDE302-164F-4944-97FB-44231E064169}">
            <x14:dataBar minLength="0" maxLength="100" border="1" negativeBarBorderColorSameAsPositive="0">
              <x14:cfvo type="autoMin"/>
              <x14:cfvo type="autoMax"/>
              <x14:borderColor rgb="FF63C384"/>
              <x14:negativeFillColor rgb="FFFF0000"/>
              <x14:negativeBorderColor rgb="FFFF0000"/>
              <x14:axisColor rgb="FF000000"/>
            </x14:dataBar>
          </x14:cfRule>
          <xm:sqref>A1:J1 A2:A6 G2:J6</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142FD-D931-4A47-AB7B-9C234CC86E12}">
  <dimension ref="A1:G36"/>
  <sheetViews>
    <sheetView workbookViewId="0">
      <selection activeCell="I24" sqref="I24"/>
    </sheetView>
  </sheetViews>
  <sheetFormatPr defaultRowHeight="14.4" x14ac:dyDescent="0.3"/>
  <cols>
    <col min="1" max="1" width="13.6640625" bestFit="1" customWidth="1"/>
    <col min="2" max="2" width="30.88671875" bestFit="1" customWidth="1"/>
    <col min="3" max="3" width="27.33203125" bestFit="1" customWidth="1"/>
    <col min="4" max="4" width="27.21875" bestFit="1" customWidth="1"/>
  </cols>
  <sheetData>
    <row r="1" spans="1:4" x14ac:dyDescent="0.3">
      <c r="A1" s="2" t="s">
        <v>1030</v>
      </c>
      <c r="B1" s="5" t="s">
        <v>1037</v>
      </c>
      <c r="C1" s="5" t="s">
        <v>1046</v>
      </c>
      <c r="D1" s="5" t="s">
        <v>1047</v>
      </c>
    </row>
    <row r="2" spans="1:4" x14ac:dyDescent="0.3">
      <c r="A2" s="3" t="s">
        <v>16</v>
      </c>
      <c r="B2" s="5">
        <v>3.1179245283018866</v>
      </c>
      <c r="C2" s="5">
        <v>3.0330188679245285</v>
      </c>
      <c r="D2" s="5">
        <v>4.5141509433962268</v>
      </c>
    </row>
    <row r="3" spans="1:4" x14ac:dyDescent="0.3">
      <c r="A3" s="3" t="s">
        <v>34</v>
      </c>
      <c r="B3" s="5">
        <v>3.1213872832369942</v>
      </c>
      <c r="C3" s="5">
        <v>3.2023121387283235</v>
      </c>
      <c r="D3" s="5">
        <v>4.3872832369942198</v>
      </c>
    </row>
    <row r="4" spans="1:4" x14ac:dyDescent="0.3">
      <c r="A4" s="3" t="s">
        <v>21</v>
      </c>
      <c r="B4" s="5">
        <v>3.0283018867924527</v>
      </c>
      <c r="C4" s="5">
        <v>3.0188679245283021</v>
      </c>
      <c r="D4" s="5">
        <v>4.283018867924528</v>
      </c>
    </row>
    <row r="5" spans="1:4" x14ac:dyDescent="0.3">
      <c r="A5" s="3" t="s">
        <v>23</v>
      </c>
      <c r="B5" s="5">
        <v>2.9767441860465116</v>
      </c>
      <c r="C5" s="5">
        <v>3.0465116279069768</v>
      </c>
      <c r="D5" s="5">
        <v>4.6279069767441863</v>
      </c>
    </row>
    <row r="6" spans="1:4" x14ac:dyDescent="0.3">
      <c r="A6" s="3" t="s">
        <v>1031</v>
      </c>
      <c r="B6" s="5">
        <v>3.0578817733990147</v>
      </c>
      <c r="C6" s="5">
        <v>3.0689655172413794</v>
      </c>
      <c r="D6" s="5">
        <v>4.4568965517241379</v>
      </c>
    </row>
    <row r="25" spans="1:7" x14ac:dyDescent="0.3">
      <c r="A25" s="9"/>
      <c r="B25" s="9"/>
      <c r="C25" s="9"/>
      <c r="D25" s="9"/>
      <c r="E25" s="9"/>
      <c r="F25" s="9"/>
      <c r="G25" s="9"/>
    </row>
    <row r="26" spans="1:7" x14ac:dyDescent="0.3">
      <c r="A26" s="9"/>
      <c r="B26" s="9"/>
      <c r="C26" s="9"/>
      <c r="D26" s="9"/>
      <c r="E26" s="9"/>
      <c r="F26" s="9"/>
      <c r="G26" s="9"/>
    </row>
    <row r="27" spans="1:7" x14ac:dyDescent="0.3">
      <c r="A27" s="9"/>
      <c r="B27" s="9"/>
      <c r="C27" s="9"/>
      <c r="D27" s="9"/>
      <c r="E27" s="9"/>
      <c r="F27" s="9"/>
      <c r="G27" s="9"/>
    </row>
    <row r="28" spans="1:7" x14ac:dyDescent="0.3">
      <c r="A28" s="9"/>
      <c r="B28" s="9"/>
      <c r="C28" s="9"/>
      <c r="D28" s="9"/>
      <c r="E28" s="9"/>
      <c r="F28" s="9"/>
      <c r="G28" s="9"/>
    </row>
    <row r="29" spans="1:7" x14ac:dyDescent="0.3">
      <c r="A29" s="9"/>
      <c r="B29" s="9"/>
      <c r="C29" s="9"/>
      <c r="D29" s="9"/>
      <c r="E29" s="9"/>
      <c r="F29" s="9"/>
      <c r="G29" s="9"/>
    </row>
    <row r="30" spans="1:7" x14ac:dyDescent="0.3">
      <c r="A30" s="9"/>
      <c r="B30" s="9"/>
      <c r="C30" s="9"/>
      <c r="D30" s="9"/>
      <c r="E30" s="9"/>
      <c r="F30" s="9"/>
      <c r="G30" s="9"/>
    </row>
    <row r="31" spans="1:7" x14ac:dyDescent="0.3">
      <c r="A31" s="9"/>
      <c r="B31" s="9"/>
      <c r="C31" s="9"/>
      <c r="D31" s="9"/>
      <c r="E31" s="9"/>
      <c r="F31" s="9"/>
      <c r="G31" s="9"/>
    </row>
    <row r="32" spans="1:7" x14ac:dyDescent="0.3">
      <c r="A32" s="9"/>
      <c r="B32" s="9"/>
      <c r="C32" s="9"/>
      <c r="D32" s="9"/>
      <c r="E32" s="9"/>
      <c r="F32" s="9"/>
      <c r="G32" s="9"/>
    </row>
    <row r="33" spans="1:7" x14ac:dyDescent="0.3">
      <c r="A33" s="9"/>
      <c r="B33" s="9"/>
      <c r="C33" s="9"/>
      <c r="D33" s="9"/>
      <c r="E33" s="9"/>
      <c r="F33" s="9"/>
      <c r="G33" s="9"/>
    </row>
    <row r="34" spans="1:7" x14ac:dyDescent="0.3">
      <c r="A34" s="9"/>
      <c r="B34" s="9"/>
      <c r="C34" s="9"/>
      <c r="D34" s="9"/>
      <c r="E34" s="9"/>
      <c r="F34" s="9"/>
      <c r="G34" s="9"/>
    </row>
    <row r="35" spans="1:7" x14ac:dyDescent="0.3">
      <c r="A35" s="9"/>
      <c r="B35" s="9"/>
      <c r="C35" s="9"/>
      <c r="D35" s="9"/>
      <c r="E35" s="9"/>
      <c r="F35" s="9"/>
      <c r="G35" s="9"/>
    </row>
    <row r="36" spans="1:7" x14ac:dyDescent="0.3">
      <c r="A36" s="9"/>
      <c r="B36" s="9"/>
      <c r="C36" s="9"/>
      <c r="D36" s="9"/>
      <c r="E36" s="9"/>
      <c r="F36" s="9"/>
      <c r="G36" s="9"/>
    </row>
  </sheetData>
  <conditionalFormatting sqref="A1:D1 A2:A6">
    <cfRule type="dataBar" priority="2">
      <dataBar>
        <cfvo type="min"/>
        <cfvo type="max"/>
        <color rgb="FFD6007B"/>
      </dataBar>
      <extLst>
        <ext xmlns:x14="http://schemas.microsoft.com/office/spreadsheetml/2009/9/main" uri="{B025F937-C7B1-47D3-B67F-A62EFF666E3E}">
          <x14:id>{4ED98685-B0F2-478F-9196-1486BD9937F7}</x14:id>
        </ext>
      </extLst>
    </cfRule>
    <cfRule type="dataBar" priority="3">
      <dataBar>
        <cfvo type="min"/>
        <cfvo type="max"/>
        <color rgb="FFD6007B"/>
      </dataBar>
      <extLst>
        <ext xmlns:x14="http://schemas.microsoft.com/office/spreadsheetml/2009/9/main" uri="{B025F937-C7B1-47D3-B67F-A62EFF666E3E}">
          <x14:id>{42F34FDF-1341-4095-96AE-B72E7E263B16}</x14:id>
        </ext>
      </extLst>
    </cfRule>
  </conditionalFormatting>
  <conditionalFormatting sqref="A1:D6">
    <cfRule type="dataBar" priority="1">
      <dataBar>
        <cfvo type="min"/>
        <cfvo type="max"/>
        <color rgb="FFD6007B"/>
      </dataBar>
      <extLst>
        <ext xmlns:x14="http://schemas.microsoft.com/office/spreadsheetml/2009/9/main" uri="{B025F937-C7B1-47D3-B67F-A62EFF666E3E}">
          <x14:id>{BB0286ED-70F5-43E4-AB6E-3855C83589FA}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ED98685-B0F2-478F-9196-1486BD9937F7}">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42F34FDF-1341-4095-96AE-B72E7E263B16}">
            <x14:dataBar minLength="0" maxLength="100" border="1" negativeBarBorderColorSameAsPositive="0">
              <x14:cfvo type="autoMin"/>
              <x14:cfvo type="autoMax"/>
              <x14:borderColor rgb="FFD6007B"/>
              <x14:negativeFillColor rgb="FFFF0000"/>
              <x14:negativeBorderColor rgb="FFFF0000"/>
              <x14:axisColor rgb="FF000000"/>
            </x14:dataBar>
          </x14:cfRule>
          <xm:sqref>A1:D1 A2:A6</xm:sqref>
        </x14:conditionalFormatting>
        <x14:conditionalFormatting xmlns:xm="http://schemas.microsoft.com/office/excel/2006/main">
          <x14:cfRule type="dataBar" id="{BB0286ED-70F5-43E4-AB6E-3855C83589FA}">
            <x14:dataBar minLength="0" maxLength="100" border="1" negativeBarBorderColorSameAsPositive="0">
              <x14:cfvo type="autoMin"/>
              <x14:cfvo type="autoMax"/>
              <x14:borderColor rgb="FFD6007B"/>
              <x14:negativeFillColor rgb="FFFF0000"/>
              <x14:negativeBorderColor rgb="FFFF0000"/>
              <x14:axisColor rgb="FF000000"/>
            </x14:dataBar>
          </x14:cfRule>
          <xm:sqref>A1:D6</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8A55-D391-4099-AFD9-902A1DCCF8AB}">
  <dimension ref="A1:I40"/>
  <sheetViews>
    <sheetView workbookViewId="0">
      <selection activeCell="A29" sqref="A29:I40"/>
    </sheetView>
  </sheetViews>
  <sheetFormatPr defaultRowHeight="14.4" x14ac:dyDescent="0.3"/>
  <cols>
    <col min="1" max="1" width="26.109375" bestFit="1" customWidth="1"/>
    <col min="2" max="2" width="13.44140625" bestFit="1" customWidth="1"/>
    <col min="3" max="3" width="13.77734375" bestFit="1" customWidth="1"/>
    <col min="4" max="4" width="16.88671875" bestFit="1" customWidth="1"/>
    <col min="5" max="5" width="5.77734375" bestFit="1" customWidth="1"/>
    <col min="6" max="6" width="5.109375" bestFit="1" customWidth="1"/>
    <col min="7" max="8" width="10.77734375" bestFit="1" customWidth="1"/>
  </cols>
  <sheetData>
    <row r="1" spans="1:7" x14ac:dyDescent="0.3">
      <c r="A1" s="2" t="s">
        <v>1032</v>
      </c>
      <c r="B1" s="2" t="s">
        <v>19</v>
      </c>
    </row>
    <row r="2" spans="1:7" x14ac:dyDescent="0.3">
      <c r="A2" s="2" t="s">
        <v>1030</v>
      </c>
      <c r="B2" t="s">
        <v>35</v>
      </c>
      <c r="C2" t="s">
        <v>65</v>
      </c>
      <c r="D2" t="s">
        <v>28</v>
      </c>
      <c r="E2" t="s">
        <v>26</v>
      </c>
      <c r="F2" t="s">
        <v>103</v>
      </c>
      <c r="G2" t="s">
        <v>1031</v>
      </c>
    </row>
    <row r="3" spans="1:7" x14ac:dyDescent="0.3">
      <c r="A3" s="3" t="s">
        <v>16</v>
      </c>
      <c r="B3">
        <v>13</v>
      </c>
      <c r="C3">
        <v>14</v>
      </c>
      <c r="D3">
        <v>13</v>
      </c>
      <c r="E3">
        <v>22</v>
      </c>
      <c r="F3">
        <v>10</v>
      </c>
      <c r="G3">
        <v>72</v>
      </c>
    </row>
    <row r="4" spans="1:7" x14ac:dyDescent="0.3">
      <c r="A4" s="3" t="s">
        <v>34</v>
      </c>
      <c r="B4">
        <v>15</v>
      </c>
      <c r="C4">
        <v>10</v>
      </c>
      <c r="D4">
        <v>8</v>
      </c>
      <c r="E4">
        <v>8</v>
      </c>
      <c r="F4">
        <v>18</v>
      </c>
      <c r="G4">
        <v>59</v>
      </c>
    </row>
    <row r="5" spans="1:7" x14ac:dyDescent="0.3">
      <c r="A5" s="3" t="s">
        <v>21</v>
      </c>
      <c r="B5">
        <v>14</v>
      </c>
      <c r="C5">
        <v>21</v>
      </c>
      <c r="D5">
        <v>13</v>
      </c>
      <c r="E5">
        <v>13</v>
      </c>
      <c r="F5">
        <v>16</v>
      </c>
      <c r="G5">
        <v>77</v>
      </c>
    </row>
    <row r="6" spans="1:7" x14ac:dyDescent="0.3">
      <c r="A6" s="3" t="s">
        <v>23</v>
      </c>
      <c r="B6">
        <v>9</v>
      </c>
      <c r="C6">
        <v>14</v>
      </c>
      <c r="D6">
        <v>9</v>
      </c>
      <c r="E6">
        <v>14</v>
      </c>
      <c r="F6">
        <v>17</v>
      </c>
      <c r="G6">
        <v>63</v>
      </c>
    </row>
    <row r="7" spans="1:7" x14ac:dyDescent="0.3">
      <c r="A7" s="3" t="s">
        <v>1031</v>
      </c>
      <c r="B7">
        <v>51</v>
      </c>
      <c r="C7">
        <v>59</v>
      </c>
      <c r="D7">
        <v>43</v>
      </c>
      <c r="E7">
        <v>57</v>
      </c>
      <c r="F7">
        <v>61</v>
      </c>
      <c r="G7">
        <v>271</v>
      </c>
    </row>
    <row r="29" spans="1:9" x14ac:dyDescent="0.3">
      <c r="A29" s="9"/>
      <c r="B29" s="9"/>
      <c r="C29" s="9"/>
      <c r="D29" s="9"/>
      <c r="E29" s="9"/>
      <c r="F29" s="9"/>
      <c r="G29" s="9"/>
      <c r="H29" s="9"/>
      <c r="I29" s="9"/>
    </row>
    <row r="30" spans="1:9" x14ac:dyDescent="0.3">
      <c r="A30" s="9"/>
      <c r="B30" s="9"/>
      <c r="C30" s="9"/>
      <c r="D30" s="9"/>
      <c r="E30" s="9"/>
      <c r="F30" s="9"/>
      <c r="G30" s="9"/>
      <c r="H30" s="9"/>
      <c r="I30" s="9"/>
    </row>
    <row r="31" spans="1:9" x14ac:dyDescent="0.3">
      <c r="A31" s="9"/>
      <c r="B31" s="9"/>
      <c r="C31" s="9"/>
      <c r="D31" s="9"/>
      <c r="E31" s="9"/>
      <c r="F31" s="9"/>
      <c r="G31" s="9"/>
      <c r="H31" s="9"/>
      <c r="I31" s="9"/>
    </row>
    <row r="32" spans="1:9" x14ac:dyDescent="0.3">
      <c r="A32" s="9"/>
      <c r="B32" s="9"/>
      <c r="C32" s="9"/>
      <c r="D32" s="9"/>
      <c r="E32" s="9"/>
      <c r="F32" s="9"/>
      <c r="G32" s="9"/>
      <c r="H32" s="9"/>
      <c r="I32" s="9"/>
    </row>
    <row r="33" spans="1:9" x14ac:dyDescent="0.3">
      <c r="A33" s="9"/>
      <c r="B33" s="9"/>
      <c r="C33" s="9"/>
      <c r="D33" s="9"/>
      <c r="E33" s="9"/>
      <c r="F33" s="9"/>
      <c r="G33" s="9"/>
      <c r="H33" s="9"/>
      <c r="I33" s="9"/>
    </row>
    <row r="34" spans="1:9" x14ac:dyDescent="0.3">
      <c r="A34" s="9"/>
      <c r="B34" s="9"/>
      <c r="C34" s="9"/>
      <c r="D34" s="9"/>
      <c r="E34" s="9"/>
      <c r="F34" s="9"/>
      <c r="G34" s="9"/>
      <c r="H34" s="9"/>
      <c r="I34" s="9"/>
    </row>
    <row r="35" spans="1:9" x14ac:dyDescent="0.3">
      <c r="A35" s="9"/>
      <c r="B35" s="9"/>
      <c r="C35" s="9"/>
      <c r="D35" s="9"/>
      <c r="E35" s="9"/>
      <c r="F35" s="9"/>
      <c r="G35" s="9"/>
      <c r="H35" s="9"/>
      <c r="I35" s="9"/>
    </row>
    <row r="36" spans="1:9" x14ac:dyDescent="0.3">
      <c r="A36" s="9"/>
      <c r="B36" s="9"/>
      <c r="C36" s="9"/>
      <c r="D36" s="9"/>
      <c r="E36" s="9"/>
      <c r="F36" s="9"/>
      <c r="G36" s="9"/>
      <c r="H36" s="9"/>
      <c r="I36" s="9"/>
    </row>
    <row r="37" spans="1:9" x14ac:dyDescent="0.3">
      <c r="A37" s="9"/>
      <c r="B37" s="9"/>
      <c r="C37" s="9"/>
      <c r="D37" s="9"/>
      <c r="E37" s="9"/>
      <c r="F37" s="9"/>
      <c r="G37" s="9"/>
      <c r="H37" s="9"/>
      <c r="I37" s="9"/>
    </row>
    <row r="38" spans="1:9" x14ac:dyDescent="0.3">
      <c r="A38" s="9"/>
      <c r="B38" s="9"/>
      <c r="C38" s="9"/>
      <c r="D38" s="9"/>
      <c r="E38" s="9"/>
      <c r="F38" s="9"/>
      <c r="G38" s="9"/>
      <c r="H38" s="9"/>
      <c r="I38" s="9"/>
    </row>
    <row r="39" spans="1:9" x14ac:dyDescent="0.3">
      <c r="A39" s="9"/>
      <c r="B39" s="9"/>
      <c r="C39" s="9"/>
      <c r="D39" s="9"/>
      <c r="E39" s="9"/>
      <c r="F39" s="9"/>
      <c r="G39" s="9"/>
      <c r="H39" s="9"/>
      <c r="I39" s="9"/>
    </row>
    <row r="40" spans="1:9" x14ac:dyDescent="0.3">
      <c r="A40" s="9"/>
      <c r="B40" s="9"/>
      <c r="C40" s="9"/>
      <c r="D40" s="9"/>
      <c r="E40" s="9"/>
      <c r="F40" s="9"/>
      <c r="G40" s="9"/>
      <c r="H40" s="9"/>
      <c r="I40" s="9"/>
    </row>
  </sheetData>
  <conditionalFormatting sqref="A2:H7">
    <cfRule type="colorScale" priority="2">
      <colorScale>
        <cfvo type="min"/>
        <cfvo type="percentile" val="50"/>
        <cfvo type="max"/>
        <color rgb="FFF8696B"/>
        <color rgb="FFFFEB84"/>
        <color rgb="FF63BE7B"/>
      </colorScale>
    </cfRule>
  </conditionalFormatting>
  <conditionalFormatting sqref="G2:G7">
    <cfRule type="dataBar" priority="1">
      <dataBar>
        <cfvo type="min"/>
        <cfvo type="max"/>
        <color rgb="FF008AEF"/>
      </dataBar>
      <extLst>
        <ext xmlns:x14="http://schemas.microsoft.com/office/spreadsheetml/2009/9/main" uri="{B025F937-C7B1-47D3-B67F-A62EFF666E3E}">
          <x14:id>{5E560BEF-1B14-469D-A8A4-B7C78B4C7B4A}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5E560BEF-1B14-469D-A8A4-B7C78B4C7B4A}">
            <x14:dataBar minLength="0" maxLength="100" border="1" negativeBarBorderColorSameAsPositive="0">
              <x14:cfvo type="autoMin"/>
              <x14:cfvo type="autoMax"/>
              <x14:borderColor rgb="FF008AEF"/>
              <x14:negativeFillColor rgb="FFFF0000"/>
              <x14:negativeBorderColor rgb="FFFF0000"/>
              <x14:axisColor rgb="FF000000"/>
            </x14:dataBar>
          </x14:cfRule>
          <xm:sqref>G2:G7</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4713-0A4F-4CC8-8935-0453C81FF10C}">
  <dimension ref="A1:IW68"/>
  <sheetViews>
    <sheetView zoomScale="94" zoomScaleNormal="244" workbookViewId="0">
      <selection activeCell="IS51" sqref="IS51:IW68"/>
    </sheetView>
  </sheetViews>
  <sheetFormatPr defaultRowHeight="14.4" x14ac:dyDescent="0.3"/>
  <cols>
    <col min="1" max="1" width="16" bestFit="1" customWidth="1"/>
    <col min="2" max="2" width="23.77734375" bestFit="1" customWidth="1"/>
    <col min="3" max="3" width="20.21875" bestFit="1" customWidth="1"/>
    <col min="4" max="4" width="20.33203125" bestFit="1" customWidth="1"/>
    <col min="5" max="5" width="25.109375" bestFit="1" customWidth="1"/>
    <col min="6" max="7" width="20.6640625" bestFit="1" customWidth="1"/>
    <col min="8" max="22" width="11.21875" bestFit="1" customWidth="1"/>
    <col min="23" max="23" width="7" bestFit="1" customWidth="1"/>
    <col min="24" max="24" width="11.109375" bestFit="1" customWidth="1"/>
    <col min="25" max="49" width="10.33203125" bestFit="1" customWidth="1"/>
    <col min="50" max="50" width="27.33203125" bestFit="1" customWidth="1"/>
    <col min="51" max="51" width="26.44140625" bestFit="1" customWidth="1"/>
  </cols>
  <sheetData>
    <row r="1" spans="1:5" x14ac:dyDescent="0.3">
      <c r="A1" s="2" t="s">
        <v>1038</v>
      </c>
      <c r="B1" s="2" t="s">
        <v>19</v>
      </c>
    </row>
    <row r="2" spans="1:5" x14ac:dyDescent="0.3">
      <c r="A2" s="2" t="s">
        <v>1030</v>
      </c>
      <c r="B2" t="s">
        <v>24</v>
      </c>
      <c r="C2" t="s">
        <v>32</v>
      </c>
      <c r="D2" t="s">
        <v>17</v>
      </c>
      <c r="E2" t="s">
        <v>1031</v>
      </c>
    </row>
    <row r="3" spans="1:5" x14ac:dyDescent="0.3">
      <c r="A3" s="3" t="s">
        <v>16</v>
      </c>
      <c r="B3">
        <v>51</v>
      </c>
      <c r="C3">
        <v>80</v>
      </c>
      <c r="D3">
        <v>132</v>
      </c>
      <c r="E3">
        <v>263</v>
      </c>
    </row>
    <row r="4" spans="1:5" x14ac:dyDescent="0.3">
      <c r="A4" s="3" t="s">
        <v>34</v>
      </c>
      <c r="B4">
        <v>39</v>
      </c>
      <c r="C4">
        <v>70</v>
      </c>
      <c r="D4">
        <v>103</v>
      </c>
      <c r="E4">
        <v>212</v>
      </c>
    </row>
    <row r="5" spans="1:5" x14ac:dyDescent="0.3">
      <c r="A5" s="3" t="s">
        <v>21</v>
      </c>
      <c r="B5">
        <v>51</v>
      </c>
      <c r="C5">
        <v>70</v>
      </c>
      <c r="D5">
        <v>142</v>
      </c>
      <c r="E5">
        <v>263</v>
      </c>
    </row>
    <row r="6" spans="1:5" x14ac:dyDescent="0.3">
      <c r="A6" s="3" t="s">
        <v>23</v>
      </c>
      <c r="B6">
        <v>47</v>
      </c>
      <c r="C6">
        <v>83</v>
      </c>
      <c r="D6">
        <v>132</v>
      </c>
      <c r="E6">
        <v>262</v>
      </c>
    </row>
    <row r="7" spans="1:5" x14ac:dyDescent="0.3">
      <c r="A7" s="3" t="s">
        <v>1031</v>
      </c>
      <c r="B7">
        <v>188</v>
      </c>
      <c r="C7">
        <v>303</v>
      </c>
      <c r="D7">
        <v>509</v>
      </c>
      <c r="E7">
        <v>1000</v>
      </c>
    </row>
    <row r="24" spans="1:7" x14ac:dyDescent="0.3">
      <c r="F24" s="4"/>
    </row>
    <row r="25" spans="1:7" x14ac:dyDescent="0.3">
      <c r="A25" s="3"/>
      <c r="F25" s="4"/>
      <c r="G25" s="4"/>
    </row>
    <row r="26" spans="1:7" x14ac:dyDescent="0.3">
      <c r="A26" s="3"/>
      <c r="F26" s="4"/>
      <c r="G26" s="4"/>
    </row>
    <row r="27" spans="1:7" x14ac:dyDescent="0.3">
      <c r="A27" s="3"/>
      <c r="F27" s="4"/>
      <c r="G27" s="4"/>
    </row>
    <row r="28" spans="1:7" x14ac:dyDescent="0.3">
      <c r="A28" s="3"/>
      <c r="F28" s="4"/>
      <c r="G28" s="4"/>
    </row>
    <row r="29" spans="1:7" x14ac:dyDescent="0.3">
      <c r="A29" s="3"/>
      <c r="F29" s="4"/>
      <c r="G29" s="4"/>
    </row>
    <row r="51" spans="253:257" x14ac:dyDescent="0.3">
      <c r="IS51" s="2" t="s">
        <v>1030</v>
      </c>
      <c r="IT51" t="s">
        <v>1034</v>
      </c>
      <c r="IU51" t="s">
        <v>1035</v>
      </c>
      <c r="IV51" t="s">
        <v>1036</v>
      </c>
      <c r="IW51" t="s">
        <v>1054</v>
      </c>
    </row>
    <row r="52" spans="253:257" x14ac:dyDescent="0.3">
      <c r="IS52" s="3" t="s">
        <v>16</v>
      </c>
      <c r="IT52">
        <v>212</v>
      </c>
      <c r="IU52">
        <v>212</v>
      </c>
      <c r="IV52">
        <v>212</v>
      </c>
      <c r="IW52">
        <v>263</v>
      </c>
    </row>
    <row r="53" spans="253:257" x14ac:dyDescent="0.3">
      <c r="IS53" s="6" t="s">
        <v>1053</v>
      </c>
      <c r="IW53">
        <v>51</v>
      </c>
    </row>
    <row r="54" spans="253:257" x14ac:dyDescent="0.3">
      <c r="IS54" s="6" t="s">
        <v>1051</v>
      </c>
      <c r="IT54">
        <v>193</v>
      </c>
      <c r="IU54">
        <v>193</v>
      </c>
      <c r="IV54">
        <v>193</v>
      </c>
      <c r="IW54">
        <v>193</v>
      </c>
    </row>
    <row r="55" spans="253:257" x14ac:dyDescent="0.3">
      <c r="IS55" s="6" t="s">
        <v>1052</v>
      </c>
      <c r="IT55">
        <v>19</v>
      </c>
      <c r="IU55">
        <v>19</v>
      </c>
      <c r="IV55">
        <v>19</v>
      </c>
      <c r="IW55">
        <v>19</v>
      </c>
    </row>
    <row r="56" spans="253:257" x14ac:dyDescent="0.3">
      <c r="IS56" s="3" t="s">
        <v>34</v>
      </c>
      <c r="IT56">
        <v>173</v>
      </c>
      <c r="IU56">
        <v>173</v>
      </c>
      <c r="IV56">
        <v>173</v>
      </c>
      <c r="IW56">
        <v>212</v>
      </c>
    </row>
    <row r="57" spans="253:257" x14ac:dyDescent="0.3">
      <c r="IS57" s="6" t="s">
        <v>1053</v>
      </c>
      <c r="IW57">
        <v>39</v>
      </c>
    </row>
    <row r="58" spans="253:257" x14ac:dyDescent="0.3">
      <c r="IS58" s="6" t="s">
        <v>1051</v>
      </c>
      <c r="IT58">
        <v>164</v>
      </c>
      <c r="IU58">
        <v>164</v>
      </c>
      <c r="IV58">
        <v>164</v>
      </c>
      <c r="IW58">
        <v>164</v>
      </c>
    </row>
    <row r="59" spans="253:257" x14ac:dyDescent="0.3">
      <c r="IS59" s="6" t="s">
        <v>1052</v>
      </c>
      <c r="IT59">
        <v>9</v>
      </c>
      <c r="IU59">
        <v>9</v>
      </c>
      <c r="IV59">
        <v>9</v>
      </c>
      <c r="IW59">
        <v>9</v>
      </c>
    </row>
    <row r="60" spans="253:257" x14ac:dyDescent="0.3">
      <c r="IS60" s="3" t="s">
        <v>21</v>
      </c>
      <c r="IT60">
        <v>212</v>
      </c>
      <c r="IU60">
        <v>212</v>
      </c>
      <c r="IV60">
        <v>212</v>
      </c>
      <c r="IW60">
        <v>263</v>
      </c>
    </row>
    <row r="61" spans="253:257" x14ac:dyDescent="0.3">
      <c r="IS61" s="6" t="s">
        <v>1053</v>
      </c>
      <c r="IW61">
        <v>51</v>
      </c>
    </row>
    <row r="62" spans="253:257" x14ac:dyDescent="0.3">
      <c r="IS62" s="6" t="s">
        <v>1051</v>
      </c>
      <c r="IT62">
        <v>187</v>
      </c>
      <c r="IU62">
        <v>187</v>
      </c>
      <c r="IV62">
        <v>187</v>
      </c>
      <c r="IW62">
        <v>187</v>
      </c>
    </row>
    <row r="63" spans="253:257" x14ac:dyDescent="0.3">
      <c r="IS63" s="6" t="s">
        <v>1052</v>
      </c>
      <c r="IT63">
        <v>25</v>
      </c>
      <c r="IU63">
        <v>25</v>
      </c>
      <c r="IV63">
        <v>25</v>
      </c>
      <c r="IW63">
        <v>25</v>
      </c>
    </row>
    <row r="64" spans="253:257" x14ac:dyDescent="0.3">
      <c r="IS64" s="3" t="s">
        <v>23</v>
      </c>
      <c r="IT64">
        <v>215</v>
      </c>
      <c r="IU64">
        <v>215</v>
      </c>
      <c r="IV64">
        <v>215</v>
      </c>
      <c r="IW64">
        <v>262</v>
      </c>
    </row>
    <row r="65" spans="253:257" x14ac:dyDescent="0.3">
      <c r="IS65" s="6" t="s">
        <v>1053</v>
      </c>
      <c r="IW65">
        <v>47</v>
      </c>
    </row>
    <row r="66" spans="253:257" x14ac:dyDescent="0.3">
      <c r="IS66" s="6" t="s">
        <v>1051</v>
      </c>
      <c r="IT66">
        <v>193</v>
      </c>
      <c r="IU66">
        <v>193</v>
      </c>
      <c r="IV66">
        <v>193</v>
      </c>
      <c r="IW66">
        <v>193</v>
      </c>
    </row>
    <row r="67" spans="253:257" x14ac:dyDescent="0.3">
      <c r="IS67" s="6" t="s">
        <v>1052</v>
      </c>
      <c r="IT67">
        <v>22</v>
      </c>
      <c r="IU67">
        <v>22</v>
      </c>
      <c r="IV67">
        <v>22</v>
      </c>
      <c r="IW67">
        <v>22</v>
      </c>
    </row>
    <row r="68" spans="253:257" x14ac:dyDescent="0.3">
      <c r="IS68" s="3" t="s">
        <v>1031</v>
      </c>
      <c r="IT68">
        <v>812</v>
      </c>
      <c r="IU68">
        <v>812</v>
      </c>
      <c r="IV68">
        <v>812</v>
      </c>
      <c r="IW68">
        <v>1000</v>
      </c>
    </row>
  </sheetData>
  <conditionalFormatting sqref="A2:E2 A3:A7">
    <cfRule type="dataBar" priority="1">
      <dataBar>
        <cfvo type="min"/>
        <cfvo type="max"/>
        <color rgb="FFD6007B"/>
      </dataBar>
      <extLst>
        <ext xmlns:x14="http://schemas.microsoft.com/office/spreadsheetml/2009/9/main" uri="{B025F937-C7B1-47D3-B67F-A62EFF666E3E}">
          <x14:id>{7D310B4C-7603-492F-9B42-480590568277}</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dataBar" id="{7D310B4C-7603-492F-9B42-480590568277}">
            <x14:dataBar minLength="0" maxLength="100" border="1" negativeBarBorderColorSameAsPositive="0">
              <x14:cfvo type="autoMin"/>
              <x14:cfvo type="autoMax"/>
              <x14:borderColor rgb="FFD6007B"/>
              <x14:negativeFillColor rgb="FFFF0000"/>
              <x14:negativeBorderColor rgb="FFFF0000"/>
              <x14:axisColor rgb="FF000000"/>
            </x14:dataBar>
          </x14:cfRule>
          <xm:sqref>A2:E2 A3:A7</xm:sqref>
        </x14:conditionalFormatting>
      </x14:conditionalFormattings>
    </ex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179B-EB1D-44FB-91A5-C97421FF5A38}">
  <dimension ref="A1:F7"/>
  <sheetViews>
    <sheetView zoomScale="80" zoomScaleNormal="80" workbookViewId="0">
      <selection activeCell="E4" sqref="E4"/>
    </sheetView>
  </sheetViews>
  <sheetFormatPr defaultRowHeight="14.4" x14ac:dyDescent="0.3"/>
  <cols>
    <col min="1" max="1" width="18.77734375" bestFit="1" customWidth="1"/>
    <col min="2" max="2" width="16.33203125" bestFit="1" customWidth="1"/>
    <col min="3" max="3" width="8.21875" bestFit="1" customWidth="1"/>
    <col min="4" max="4" width="10" bestFit="1" customWidth="1"/>
    <col min="5" max="5" width="11" bestFit="1" customWidth="1"/>
    <col min="6" max="6" width="18.77734375" bestFit="1" customWidth="1"/>
    <col min="7" max="7" width="22.88671875" bestFit="1" customWidth="1"/>
    <col min="8" max="8" width="18.77734375" bestFit="1" customWidth="1"/>
    <col min="9" max="9" width="22.88671875" bestFit="1" customWidth="1"/>
    <col min="10" max="10" width="23.5546875" bestFit="1" customWidth="1"/>
    <col min="11" max="11" width="27.77734375" bestFit="1" customWidth="1"/>
  </cols>
  <sheetData>
    <row r="1" spans="1:6" x14ac:dyDescent="0.3">
      <c r="A1" s="2" t="s">
        <v>1062</v>
      </c>
      <c r="B1" s="2" t="s">
        <v>1061</v>
      </c>
    </row>
    <row r="2" spans="1:6" x14ac:dyDescent="0.3">
      <c r="A2" s="2" t="s">
        <v>1030</v>
      </c>
      <c r="B2" t="s">
        <v>1049</v>
      </c>
      <c r="C2" t="s">
        <v>1041</v>
      </c>
      <c r="D2" t="s">
        <v>1050</v>
      </c>
      <c r="E2" t="s">
        <v>1031</v>
      </c>
      <c r="F2" s="7" t="s">
        <v>1063</v>
      </c>
    </row>
    <row r="3" spans="1:6" x14ac:dyDescent="0.3">
      <c r="A3" s="3" t="s">
        <v>16</v>
      </c>
      <c r="B3">
        <v>134</v>
      </c>
      <c r="C3">
        <v>34</v>
      </c>
      <c r="D3">
        <v>23</v>
      </c>
      <c r="E3">
        <v>191</v>
      </c>
      <c r="F3" s="4">
        <f>(GETPIVOTDATA("[Measures].[Count of Rating type]",$A$1,"[EPe_BA_intern_assesment_Raw_data___Sheet1].[Store Name]","[EPe_BA_intern_assesment_Raw_data___Sheet1].[Store Name].&amp;[Bangalore MBC]","[EPe_BA_intern_assesment_Raw_data___Sheet1].[Rating type]","[EPe_BA_intern_assesment_Raw_data___Sheet1].[Rating type].&amp;[Promoters]")-GETPIVOTDATA("[Measures].[Count of Rating type]",$A$1,"[EPe_BA_intern_assesment_Raw_data___Sheet1].[Store Name]","[EPe_BA_intern_assesment_Raw_data___Sheet1].[Store Name].&amp;[Bangalore MBC]","[EPe_BA_intern_assesment_Raw_data___Sheet1].[Rating type]","[EPe_BA_intern_assesment_Raw_data___Sheet1].[Rating type].&amp;[Detractors]"))/GETPIVOTDATA("[Measures].[Count of Rating type]",$A$1,"[EPe_BA_intern_assesment_Raw_data___Sheet1].[Store Name]","[EPe_BA_intern_assesment_Raw_data___Sheet1].[Store Name].&amp;[Bangalore MBC]")</f>
        <v>-0.58115183246073299</v>
      </c>
    </row>
    <row r="4" spans="1:6" x14ac:dyDescent="0.3">
      <c r="A4" s="3" t="s">
        <v>34</v>
      </c>
      <c r="B4">
        <v>99</v>
      </c>
      <c r="C4">
        <v>26</v>
      </c>
      <c r="D4">
        <v>28</v>
      </c>
      <c r="E4">
        <v>153</v>
      </c>
      <c r="F4" s="4">
        <f>(GETPIVOTDATA("[Measures].[Count of Rating type]",$A$1,"[EPe_BA_intern_assesment_Raw_data___Sheet1].[Store Name]","[EPe_BA_intern_assesment_Raw_data___Sheet1].[Store Name].&amp;[Chennai MBC]","[EPe_BA_intern_assesment_Raw_data___Sheet1].[Rating type]","[EPe_BA_intern_assesment_Raw_data___Sheet1].[Rating type].&amp;[Promoters]")-GETPIVOTDATA("[Measures].[Count of Rating type]",$A$1,"[EPe_BA_intern_assesment_Raw_data___Sheet1].[Store Name]","[EPe_BA_intern_assesment_Raw_data___Sheet1].[Store Name].&amp;[Chennai MBC]","[EPe_BA_intern_assesment_Raw_data___Sheet1].[Rating type]","[EPe_BA_intern_assesment_Raw_data___Sheet1].[Rating type].&amp;[Detractors]"))/GETPIVOTDATA("[Measures].[Count of Rating type]",$A$1,"[EPe_BA_intern_assesment_Raw_data___Sheet1].[Store Name]","[EPe_BA_intern_assesment_Raw_data___Sheet1].[Store Name].&amp;[Chennai MBC]")</f>
        <v>-0.46405228758169936</v>
      </c>
    </row>
    <row r="5" spans="1:6" x14ac:dyDescent="0.3">
      <c r="A5" s="3" t="s">
        <v>21</v>
      </c>
      <c r="B5">
        <v>123</v>
      </c>
      <c r="C5">
        <v>33</v>
      </c>
      <c r="D5">
        <v>30</v>
      </c>
      <c r="E5">
        <v>186</v>
      </c>
      <c r="F5" s="4">
        <f>(GETPIVOTDATA("[Measures].[Count of Rating type]",$A$1,"[EPe_BA_intern_assesment_Raw_data___Sheet1].[Store Name]","[EPe_BA_intern_assesment_Raw_data___Sheet1].[Store Name].&amp;[Delhi MBC]","[EPe_BA_intern_assesment_Raw_data___Sheet1].[Rating type]","[EPe_BA_intern_assesment_Raw_data___Sheet1].[Rating type].&amp;[Promoters]")-GETPIVOTDATA("[Measures].[Count of Rating type]",$A$1,"[EPe_BA_intern_assesment_Raw_data___Sheet1].[Store Name]","[EPe_BA_intern_assesment_Raw_data___Sheet1].[Store Name].&amp;[Delhi MBC]","[EPe_BA_intern_assesment_Raw_data___Sheet1].[Rating type]","[EPe_BA_intern_assesment_Raw_data___Sheet1].[Rating type].&amp;[Detractors]"))/GETPIVOTDATA("[Measures].[Count of Rating type]",$A$1,"[EPe_BA_intern_assesment_Raw_data___Sheet1].[Store Name]","[EPe_BA_intern_assesment_Raw_data___Sheet1].[Store Name].&amp;[Delhi MBC]")</f>
        <v>-0.5</v>
      </c>
    </row>
    <row r="6" spans="1:6" x14ac:dyDescent="0.3">
      <c r="A6" s="3" t="s">
        <v>23</v>
      </c>
      <c r="B6">
        <v>138</v>
      </c>
      <c r="C6">
        <v>38</v>
      </c>
      <c r="D6">
        <v>23</v>
      </c>
      <c r="E6">
        <v>199</v>
      </c>
      <c r="F6" s="4">
        <f>(GETPIVOTDATA("[Measures].[Count of Rating type]",$A$1,"[EPe_BA_intern_assesment_Raw_data___Sheet1].[Store Name]","[EPe_BA_intern_assesment_Raw_data___Sheet1].[Store Name].&amp;[Mumbai MBC]","[EPe_BA_intern_assesment_Raw_data___Sheet1].[Rating type]","[EPe_BA_intern_assesment_Raw_data___Sheet1].[Rating type].&amp;[Promoters]")-GETPIVOTDATA("[Measures].[Count of Rating type]",$A$1,"[EPe_BA_intern_assesment_Raw_data___Sheet1].[Store Name]","[EPe_BA_intern_assesment_Raw_data___Sheet1].[Store Name].&amp;[Mumbai MBC]","[EPe_BA_intern_assesment_Raw_data___Sheet1].[Rating type]","[EPe_BA_intern_assesment_Raw_data___Sheet1].[Rating type].&amp;[Detractors]"))/GETPIVOTDATA("[Measures].[Count of Rating type]",$A$1,"[EPe_BA_intern_assesment_Raw_data___Sheet1].[Store Name]","[EPe_BA_intern_assesment_Raw_data___Sheet1].[Store Name].&amp;[Mumbai MBC]")</f>
        <v>-0.57788944723618085</v>
      </c>
    </row>
    <row r="7" spans="1:6" x14ac:dyDescent="0.3">
      <c r="A7" s="3" t="s">
        <v>1031</v>
      </c>
      <c r="B7">
        <v>494</v>
      </c>
      <c r="C7">
        <v>131</v>
      </c>
      <c r="D7">
        <v>104</v>
      </c>
      <c r="E7">
        <v>729</v>
      </c>
      <c r="F7" s="4">
        <f>(GETPIVOTDATA("[Measures].[Count of Rating type]",$A$1,"[EPe_BA_intern_assesment_Raw_data___Sheet1].[Rating type]","[EPe_BA_intern_assesment_Raw_data___Sheet1].[Rating type].&amp;[Promoters]")-GETPIVOTDATA("[Measures].[Count of Rating type]",$A$1,"[EPe_BA_intern_assesment_Raw_data___Sheet1].[Rating type]","[EPe_BA_intern_assesment_Raw_data___Sheet1].[Rating type].&amp;[Detractors]"))/GETPIVOTDATA("[Measures].[Count of Rating type]",$A$1)</f>
        <v>-0.53497942386831276</v>
      </c>
    </row>
  </sheetData>
  <conditionalFormatting sqref="A2:F2 A3:A7 F3:F7">
    <cfRule type="dataBar" priority="1">
      <dataBar>
        <cfvo type="min"/>
        <cfvo type="max"/>
        <color rgb="FFD6007B"/>
      </dataBar>
      <extLst>
        <ext xmlns:x14="http://schemas.microsoft.com/office/spreadsheetml/2009/9/main" uri="{B025F937-C7B1-47D3-B67F-A62EFF666E3E}">
          <x14:id>{A3D23A1F-386B-45F0-A4FE-695F7E6BE84D}</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A3D23A1F-386B-45F0-A4FE-695F7E6BE84D}">
            <x14:dataBar minLength="0" maxLength="100" border="1" negativeBarBorderColorSameAsPositive="0">
              <x14:cfvo type="autoMin"/>
              <x14:cfvo type="autoMax"/>
              <x14:borderColor rgb="FFD6007B"/>
              <x14:negativeFillColor rgb="FFFF0000"/>
              <x14:negativeBorderColor rgb="FFFF0000"/>
              <x14:axisColor rgb="FF000000"/>
            </x14:dataBar>
          </x14:cfRule>
          <xm:sqref>A2:F2 A3:A7 F3:F7</xm:sqref>
        </x14:conditionalFormatting>
      </x14:conditionalFormattings>
    </ex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5610-96B2-45F7-9304-3F26F14B324C}">
  <dimension ref="A1:E18"/>
  <sheetViews>
    <sheetView topLeftCell="A13" workbookViewId="0">
      <selection activeCell="D28" sqref="D28"/>
    </sheetView>
  </sheetViews>
  <sheetFormatPr defaultRowHeight="14.4" x14ac:dyDescent="0.3"/>
  <cols>
    <col min="1" max="1" width="16" bestFit="1" customWidth="1"/>
    <col min="2" max="2" width="23.77734375" bestFit="1" customWidth="1"/>
    <col min="3" max="3" width="20.21875" bestFit="1" customWidth="1"/>
    <col min="4" max="4" width="20.109375" bestFit="1" customWidth="1"/>
    <col min="5" max="5" width="25.109375" bestFit="1" customWidth="1"/>
  </cols>
  <sheetData>
    <row r="1" spans="1:5" x14ac:dyDescent="0.3">
      <c r="A1" s="2" t="s">
        <v>1030</v>
      </c>
      <c r="B1" s="2" t="s">
        <v>1034</v>
      </c>
      <c r="C1" t="s">
        <v>1035</v>
      </c>
      <c r="D1" t="s">
        <v>1036</v>
      </c>
      <c r="E1" t="s">
        <v>1054</v>
      </c>
    </row>
    <row r="2" spans="1:5" x14ac:dyDescent="0.3">
      <c r="A2" s="3" t="s">
        <v>16</v>
      </c>
      <c r="B2">
        <v>212</v>
      </c>
      <c r="C2">
        <v>212</v>
      </c>
      <c r="D2">
        <v>212</v>
      </c>
      <c r="E2">
        <v>263</v>
      </c>
    </row>
    <row r="3" spans="1:5" x14ac:dyDescent="0.3">
      <c r="A3" s="6" t="s">
        <v>1053</v>
      </c>
      <c r="E3">
        <v>51</v>
      </c>
    </row>
    <row r="4" spans="1:5" x14ac:dyDescent="0.3">
      <c r="A4" s="6" t="s">
        <v>1051</v>
      </c>
      <c r="B4">
        <v>193</v>
      </c>
      <c r="C4">
        <v>193</v>
      </c>
      <c r="D4">
        <v>193</v>
      </c>
      <c r="E4">
        <v>193</v>
      </c>
    </row>
    <row r="5" spans="1:5" x14ac:dyDescent="0.3">
      <c r="A5" s="6" t="s">
        <v>1052</v>
      </c>
      <c r="B5">
        <v>19</v>
      </c>
      <c r="C5">
        <v>19</v>
      </c>
      <c r="D5">
        <v>19</v>
      </c>
      <c r="E5">
        <v>19</v>
      </c>
    </row>
    <row r="6" spans="1:5" x14ac:dyDescent="0.3">
      <c r="A6" s="3" t="s">
        <v>34</v>
      </c>
      <c r="B6">
        <v>173</v>
      </c>
      <c r="C6">
        <v>173</v>
      </c>
      <c r="D6">
        <v>173</v>
      </c>
      <c r="E6">
        <v>212</v>
      </c>
    </row>
    <row r="7" spans="1:5" x14ac:dyDescent="0.3">
      <c r="A7" s="6" t="s">
        <v>1053</v>
      </c>
      <c r="E7">
        <v>39</v>
      </c>
    </row>
    <row r="8" spans="1:5" x14ac:dyDescent="0.3">
      <c r="A8" s="6" t="s">
        <v>1051</v>
      </c>
      <c r="B8">
        <v>164</v>
      </c>
      <c r="C8">
        <v>164</v>
      </c>
      <c r="D8">
        <v>164</v>
      </c>
      <c r="E8">
        <v>164</v>
      </c>
    </row>
    <row r="9" spans="1:5" x14ac:dyDescent="0.3">
      <c r="A9" s="6" t="s">
        <v>1052</v>
      </c>
      <c r="B9">
        <v>9</v>
      </c>
      <c r="C9">
        <v>9</v>
      </c>
      <c r="D9">
        <v>9</v>
      </c>
      <c r="E9">
        <v>9</v>
      </c>
    </row>
    <row r="10" spans="1:5" x14ac:dyDescent="0.3">
      <c r="A10" s="3" t="s">
        <v>21</v>
      </c>
      <c r="B10">
        <v>212</v>
      </c>
      <c r="C10">
        <v>212</v>
      </c>
      <c r="D10">
        <v>212</v>
      </c>
      <c r="E10">
        <v>263</v>
      </c>
    </row>
    <row r="11" spans="1:5" x14ac:dyDescent="0.3">
      <c r="A11" s="6" t="s">
        <v>1053</v>
      </c>
      <c r="E11">
        <v>51</v>
      </c>
    </row>
    <row r="12" spans="1:5" x14ac:dyDescent="0.3">
      <c r="A12" s="6" t="s">
        <v>1051</v>
      </c>
      <c r="B12">
        <v>187</v>
      </c>
      <c r="C12">
        <v>187</v>
      </c>
      <c r="D12">
        <v>187</v>
      </c>
      <c r="E12">
        <v>187</v>
      </c>
    </row>
    <row r="13" spans="1:5" x14ac:dyDescent="0.3">
      <c r="A13" s="6" t="s">
        <v>1052</v>
      </c>
      <c r="B13">
        <v>25</v>
      </c>
      <c r="C13">
        <v>25</v>
      </c>
      <c r="D13">
        <v>25</v>
      </c>
      <c r="E13">
        <v>25</v>
      </c>
    </row>
    <row r="14" spans="1:5" x14ac:dyDescent="0.3">
      <c r="A14" s="3" t="s">
        <v>23</v>
      </c>
      <c r="B14">
        <v>215</v>
      </c>
      <c r="C14">
        <v>215</v>
      </c>
      <c r="D14">
        <v>215</v>
      </c>
      <c r="E14">
        <v>262</v>
      </c>
    </row>
    <row r="15" spans="1:5" x14ac:dyDescent="0.3">
      <c r="A15" s="6" t="s">
        <v>1053</v>
      </c>
      <c r="E15">
        <v>47</v>
      </c>
    </row>
    <row r="16" spans="1:5" x14ac:dyDescent="0.3">
      <c r="A16" s="6" t="s">
        <v>1051</v>
      </c>
      <c r="B16">
        <v>193</v>
      </c>
      <c r="C16">
        <v>193</v>
      </c>
      <c r="D16">
        <v>193</v>
      </c>
      <c r="E16">
        <v>193</v>
      </c>
    </row>
    <row r="17" spans="1:5" x14ac:dyDescent="0.3">
      <c r="A17" s="6" t="s">
        <v>1052</v>
      </c>
      <c r="B17">
        <v>22</v>
      </c>
      <c r="C17">
        <v>22</v>
      </c>
      <c r="D17">
        <v>22</v>
      </c>
      <c r="E17">
        <v>22</v>
      </c>
    </row>
    <row r="18" spans="1:5" x14ac:dyDescent="0.3">
      <c r="A18" s="3" t="s">
        <v>1031</v>
      </c>
      <c r="B18">
        <v>812</v>
      </c>
      <c r="C18">
        <v>812</v>
      </c>
      <c r="D18">
        <v>812</v>
      </c>
      <c r="E18">
        <v>1000</v>
      </c>
    </row>
  </sheetData>
  <conditionalFormatting sqref="A1:E18">
    <cfRule type="colorScale" priority="1">
      <colorScale>
        <cfvo type="min"/>
        <cfvo type="percentile" val="50"/>
        <cfvo type="max"/>
        <color rgb="FF63BE7B"/>
        <color rgb="FFFFEB84"/>
        <color rgb="FFF8696B"/>
      </colorScale>
    </cfRule>
    <cfRule type="dataBar" priority="2">
      <dataBar>
        <cfvo type="min"/>
        <cfvo type="max"/>
        <color rgb="FFD6007B"/>
      </dataBar>
      <extLst>
        <ext xmlns:x14="http://schemas.microsoft.com/office/spreadsheetml/2009/9/main" uri="{B025F937-C7B1-47D3-B67F-A62EFF666E3E}">
          <x14:id>{6DF72173-E7D2-4811-B79B-2DB3F1CC92F9}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6DF72173-E7D2-4811-B79B-2DB3F1CC92F9}">
            <x14:dataBar minLength="0" maxLength="100" border="1" negativeBarBorderColorSameAsPositive="0">
              <x14:cfvo type="autoMin"/>
              <x14:cfvo type="autoMax"/>
              <x14:borderColor rgb="FFD6007B"/>
              <x14:negativeFillColor rgb="FFFF0000"/>
              <x14:negativeBorderColor rgb="FFFF0000"/>
              <x14:axisColor rgb="FF000000"/>
            </x14:dataBar>
          </x14:cfRule>
          <xm:sqref>A1:E18</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26C9-52A1-4820-954E-F48DDCA00570}">
  <dimension ref="A1:X1002"/>
  <sheetViews>
    <sheetView topLeftCell="K1" zoomScale="92" workbookViewId="0">
      <selection activeCell="I24" sqref="I24"/>
    </sheetView>
  </sheetViews>
  <sheetFormatPr defaultRowHeight="14.4" x14ac:dyDescent="0.3"/>
  <cols>
    <col min="1" max="1" width="9.44140625" bestFit="1" customWidth="1"/>
    <col min="2" max="2" width="13.6640625" bestFit="1" customWidth="1"/>
    <col min="3" max="3" width="11.77734375" bestFit="1" customWidth="1"/>
    <col min="4" max="4" width="11.5546875" bestFit="1" customWidth="1"/>
    <col min="5" max="5" width="18" bestFit="1" customWidth="1"/>
    <col min="6" max="6" width="14.44140625" bestFit="1" customWidth="1"/>
    <col min="7" max="7" width="14.33203125" bestFit="1" customWidth="1"/>
    <col min="8" max="8" width="19.44140625" bestFit="1" customWidth="1"/>
    <col min="9" max="9" width="20.33203125" bestFit="1" customWidth="1"/>
    <col min="10" max="10" width="22.5546875" bestFit="1" customWidth="1"/>
    <col min="11" max="11" width="23.21875" bestFit="1" customWidth="1"/>
    <col min="12" max="12" width="19.77734375" bestFit="1" customWidth="1"/>
    <col min="13" max="13" width="19.6640625" bestFit="1" customWidth="1"/>
    <col min="14" max="14" width="17.21875" bestFit="1" customWidth="1"/>
    <col min="15" max="15" width="18.109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1040</v>
      </c>
      <c r="Q1" t="s">
        <v>1041</v>
      </c>
      <c r="R1" t="s">
        <v>1042</v>
      </c>
      <c r="U1" t="s">
        <v>1045</v>
      </c>
      <c r="V1" t="s">
        <v>1043</v>
      </c>
      <c r="X1" t="s">
        <v>1044</v>
      </c>
    </row>
    <row r="2" spans="1:24" x14ac:dyDescent="0.3">
      <c r="A2" t="s">
        <v>15</v>
      </c>
      <c r="B2" t="s">
        <v>16</v>
      </c>
      <c r="C2" t="s">
        <v>17</v>
      </c>
      <c r="D2" s="1">
        <v>45951</v>
      </c>
      <c r="E2" s="1">
        <v>45955</v>
      </c>
      <c r="F2" s="1">
        <v>45959</v>
      </c>
      <c r="G2" s="1">
        <v>45964</v>
      </c>
      <c r="H2" t="s">
        <v>18</v>
      </c>
      <c r="I2" t="s">
        <v>19</v>
      </c>
      <c r="J2" s="1">
        <v>45989</v>
      </c>
      <c r="K2">
        <v>4</v>
      </c>
      <c r="L2">
        <v>4</v>
      </c>
      <c r="M2">
        <v>5</v>
      </c>
      <c r="N2">
        <v>2</v>
      </c>
      <c r="O2">
        <v>13</v>
      </c>
      <c r="P2" t="b">
        <f>IF(EPe_BA_intern_assesment_Raw_data___Sheet13[[#This Row],[Customer Rating]]&gt;8,EPe_BA_intern_assesment_Raw_data___Sheet13[[#This Row],[Customer Rating]])</f>
        <v>0</v>
      </c>
      <c r="Q2" t="str">
        <f>IF(AND(EPe_BA_intern_assesment_Raw_data___Sheet13[[#This Row],[Customer Rating]]&gt;6,EPe_BA_intern_assesment_Raw_data___Sheet13[[#This Row],[Customer Rating]]&lt;9), EPe_BA_intern_assesment_Raw_data___Sheet13[[#This Row],[Customer Rating]], "")</f>
        <v/>
      </c>
      <c r="R2">
        <f>IF(EPe_BA_intern_assesment_Raw_data___Sheet13[[#This Row],[Customer Rating]]&lt;7,EPe_BA_intern_assesment_Raw_data___Sheet13[[#This Row],[Customer Rating]])</f>
        <v>2</v>
      </c>
      <c r="V2" s="4">
        <f>23/263</f>
        <v>8.7452471482889732E-2</v>
      </c>
      <c r="X2" s="4">
        <f>206/263</f>
        <v>0.78326996197718635</v>
      </c>
    </row>
    <row r="3" spans="1:24" x14ac:dyDescent="0.3">
      <c r="A3" t="s">
        <v>20</v>
      </c>
      <c r="B3" t="s">
        <v>21</v>
      </c>
      <c r="C3" t="s">
        <v>17</v>
      </c>
      <c r="D3" s="1">
        <v>45941</v>
      </c>
      <c r="E3" s="1">
        <v>45944</v>
      </c>
      <c r="F3" s="1">
        <v>45949</v>
      </c>
      <c r="G3" s="1">
        <v>45956</v>
      </c>
      <c r="H3" t="s">
        <v>18</v>
      </c>
      <c r="I3" t="s">
        <v>19</v>
      </c>
      <c r="J3" s="1">
        <v>45983</v>
      </c>
      <c r="K3">
        <v>3</v>
      </c>
      <c r="L3">
        <v>5</v>
      </c>
      <c r="M3">
        <v>7</v>
      </c>
      <c r="N3">
        <v>8</v>
      </c>
      <c r="O3">
        <v>15</v>
      </c>
      <c r="P3" t="b">
        <f>IF(EPe_BA_intern_assesment_Raw_data___Sheet13[[#This Row],[Customer Rating]]&gt;8,EPe_BA_intern_assesment_Raw_data___Sheet13[[#This Row],[Customer Rating]])</f>
        <v>0</v>
      </c>
      <c r="Q3">
        <f>IF(AND(EPe_BA_intern_assesment_Raw_data___Sheet13[[#This Row],[Customer Rating]]&gt;6,EPe_BA_intern_assesment_Raw_data___Sheet13[[#This Row],[Customer Rating]]&lt;9), EPe_BA_intern_assesment_Raw_data___Sheet13[[#This Row],[Customer Rating]], "")</f>
        <v>8</v>
      </c>
      <c r="R3" t="b">
        <f>IF(EPe_BA_intern_assesment_Raw_data___Sheet13[[#This Row],[Customer Rating]]&lt;7,EPe_BA_intern_assesment_Raw_data___Sheet13[[#This Row],[Customer Rating]])</f>
        <v>0</v>
      </c>
      <c r="S3" s="4"/>
    </row>
    <row r="4" spans="1:24" x14ac:dyDescent="0.3">
      <c r="A4" t="s">
        <v>22</v>
      </c>
      <c r="B4" t="s">
        <v>23</v>
      </c>
      <c r="C4" t="s">
        <v>24</v>
      </c>
      <c r="D4" s="1">
        <v>45931</v>
      </c>
      <c r="E4" s="1"/>
      <c r="F4" s="1"/>
      <c r="G4" s="1"/>
      <c r="H4" t="s">
        <v>25</v>
      </c>
      <c r="I4" t="s">
        <v>26</v>
      </c>
      <c r="J4" s="1"/>
      <c r="P4" t="b">
        <f>IF(EPe_BA_intern_assesment_Raw_data___Sheet13[[#This Row],[Customer Rating]]&gt;8,EPe_BA_intern_assesment_Raw_data___Sheet13[[#This Row],[Customer Rating]])</f>
        <v>0</v>
      </c>
      <c r="Q4" t="str">
        <f>IF(AND(EPe_BA_intern_assesment_Raw_data___Sheet13[[#This Row],[Customer Rating]]&gt;6,EPe_BA_intern_assesment_Raw_data___Sheet13[[#This Row],[Customer Rating]]&lt;9), EPe_BA_intern_assesment_Raw_data___Sheet13[[#This Row],[Customer Rating]], "")</f>
        <v/>
      </c>
      <c r="R4">
        <f>IF(EPe_BA_intern_assesment_Raw_data___Sheet13[[#This Row],[Customer Rating]]&lt;7,EPe_BA_intern_assesment_Raw_data___Sheet13[[#This Row],[Customer Rating]])</f>
        <v>0</v>
      </c>
    </row>
    <row r="5" spans="1:24" x14ac:dyDescent="0.3">
      <c r="A5" t="s">
        <v>27</v>
      </c>
      <c r="B5" t="s">
        <v>16</v>
      </c>
      <c r="C5" t="s">
        <v>24</v>
      </c>
      <c r="D5" s="1">
        <v>45958</v>
      </c>
      <c r="E5" s="1"/>
      <c r="F5" s="1"/>
      <c r="G5" s="1"/>
      <c r="H5" t="s">
        <v>25</v>
      </c>
      <c r="I5" t="s">
        <v>28</v>
      </c>
      <c r="J5" s="1"/>
      <c r="P5" t="b">
        <f>IF(EPe_BA_intern_assesment_Raw_data___Sheet13[[#This Row],[Customer Rating]]&gt;8,EPe_BA_intern_assesment_Raw_data___Sheet13[[#This Row],[Customer Rating]])</f>
        <v>0</v>
      </c>
      <c r="Q5" t="str">
        <f>IF(AND(EPe_BA_intern_assesment_Raw_data___Sheet13[[#This Row],[Customer Rating]]&gt;6,EPe_BA_intern_assesment_Raw_data___Sheet13[[#This Row],[Customer Rating]]&lt;9), EPe_BA_intern_assesment_Raw_data___Sheet13[[#This Row],[Customer Rating]], "")</f>
        <v/>
      </c>
      <c r="R5">
        <f>IF(EPe_BA_intern_assesment_Raw_data___Sheet13[[#This Row],[Customer Rating]]&lt;7,EPe_BA_intern_assesment_Raw_data___Sheet13[[#This Row],[Customer Rating]])</f>
        <v>0</v>
      </c>
      <c r="V5" s="4"/>
    </row>
    <row r="6" spans="1:24" x14ac:dyDescent="0.3">
      <c r="A6" t="s">
        <v>29</v>
      </c>
      <c r="B6" t="s">
        <v>21</v>
      </c>
      <c r="C6" t="s">
        <v>17</v>
      </c>
      <c r="D6" s="1">
        <v>45944</v>
      </c>
      <c r="E6" s="1">
        <v>45948</v>
      </c>
      <c r="F6" s="1">
        <v>45951</v>
      </c>
      <c r="G6" s="1">
        <v>45954</v>
      </c>
      <c r="H6" t="s">
        <v>18</v>
      </c>
      <c r="I6" t="s">
        <v>19</v>
      </c>
      <c r="J6" s="1">
        <v>45973</v>
      </c>
      <c r="K6">
        <v>4</v>
      </c>
      <c r="L6">
        <v>3</v>
      </c>
      <c r="M6">
        <v>3</v>
      </c>
      <c r="N6">
        <v>8</v>
      </c>
      <c r="O6">
        <v>10</v>
      </c>
      <c r="P6" t="b">
        <f>IF(EPe_BA_intern_assesment_Raw_data___Sheet13[[#This Row],[Customer Rating]]&gt;8,EPe_BA_intern_assesment_Raw_data___Sheet13[[#This Row],[Customer Rating]])</f>
        <v>0</v>
      </c>
      <c r="Q6">
        <f>IF(AND(EPe_BA_intern_assesment_Raw_data___Sheet13[[#This Row],[Customer Rating]]&gt;6,EPe_BA_intern_assesment_Raw_data___Sheet13[[#This Row],[Customer Rating]]&lt;9), EPe_BA_intern_assesment_Raw_data___Sheet13[[#This Row],[Customer Rating]], "")</f>
        <v>8</v>
      </c>
      <c r="R6" t="b">
        <f>IF(EPe_BA_intern_assesment_Raw_data___Sheet13[[#This Row],[Customer Rating]]&lt;7,EPe_BA_intern_assesment_Raw_data___Sheet13[[#This Row],[Customer Rating]])</f>
        <v>0</v>
      </c>
    </row>
    <row r="7" spans="1:24" x14ac:dyDescent="0.3">
      <c r="A7" t="s">
        <v>30</v>
      </c>
      <c r="B7" t="s">
        <v>21</v>
      </c>
      <c r="C7" t="s">
        <v>17</v>
      </c>
      <c r="D7" s="1">
        <v>45957</v>
      </c>
      <c r="E7" s="1">
        <v>45961</v>
      </c>
      <c r="F7" s="1">
        <v>45965</v>
      </c>
      <c r="G7" s="1">
        <v>45968</v>
      </c>
      <c r="H7" t="s">
        <v>18</v>
      </c>
      <c r="I7" t="s">
        <v>19</v>
      </c>
      <c r="J7" s="1">
        <v>45983</v>
      </c>
      <c r="K7">
        <v>4</v>
      </c>
      <c r="L7">
        <v>4</v>
      </c>
      <c r="M7">
        <v>3</v>
      </c>
      <c r="N7">
        <v>9</v>
      </c>
      <c r="O7">
        <v>11</v>
      </c>
      <c r="P7">
        <f>IF(EPe_BA_intern_assesment_Raw_data___Sheet13[[#This Row],[Customer Rating]]&gt;8,EPe_BA_intern_assesment_Raw_data___Sheet13[[#This Row],[Customer Rating]])</f>
        <v>9</v>
      </c>
      <c r="Q7" t="str">
        <f>IF(AND(EPe_BA_intern_assesment_Raw_data___Sheet13[[#This Row],[Customer Rating]]&gt;6,EPe_BA_intern_assesment_Raw_data___Sheet13[[#This Row],[Customer Rating]]&lt;9), EPe_BA_intern_assesment_Raw_data___Sheet13[[#This Row],[Customer Rating]], "")</f>
        <v/>
      </c>
      <c r="R7" t="b">
        <f>IF(EPe_BA_intern_assesment_Raw_data___Sheet13[[#This Row],[Customer Rating]]&lt;7,EPe_BA_intern_assesment_Raw_data___Sheet13[[#This Row],[Customer Rating]])</f>
        <v>0</v>
      </c>
    </row>
    <row r="8" spans="1:24" x14ac:dyDescent="0.3">
      <c r="A8" t="s">
        <v>31</v>
      </c>
      <c r="B8" t="s">
        <v>23</v>
      </c>
      <c r="C8" t="s">
        <v>32</v>
      </c>
      <c r="D8" s="1">
        <v>45946</v>
      </c>
      <c r="E8" s="1">
        <v>45950</v>
      </c>
      <c r="F8" s="1">
        <v>45951</v>
      </c>
      <c r="G8" s="1">
        <v>45958</v>
      </c>
      <c r="H8" t="s">
        <v>18</v>
      </c>
      <c r="I8" t="s">
        <v>19</v>
      </c>
      <c r="J8" s="1">
        <v>45983</v>
      </c>
      <c r="K8">
        <v>4</v>
      </c>
      <c r="L8">
        <v>1</v>
      </c>
      <c r="M8">
        <v>7</v>
      </c>
      <c r="N8">
        <v>10</v>
      </c>
      <c r="O8">
        <v>12</v>
      </c>
      <c r="P8">
        <f>IF(EPe_BA_intern_assesment_Raw_data___Sheet13[[#This Row],[Customer Rating]]&gt;8,EPe_BA_intern_assesment_Raw_data___Sheet13[[#This Row],[Customer Rating]])</f>
        <v>10</v>
      </c>
      <c r="Q8" t="str">
        <f>IF(AND(EPe_BA_intern_assesment_Raw_data___Sheet13[[#This Row],[Customer Rating]]&gt;6,EPe_BA_intern_assesment_Raw_data___Sheet13[[#This Row],[Customer Rating]]&lt;9), EPe_BA_intern_assesment_Raw_data___Sheet13[[#This Row],[Customer Rating]], "")</f>
        <v/>
      </c>
      <c r="R8" t="b">
        <f>IF(EPe_BA_intern_assesment_Raw_data___Sheet13[[#This Row],[Customer Rating]]&lt;7,EPe_BA_intern_assesment_Raw_data___Sheet13[[#This Row],[Customer Rating]])</f>
        <v>0</v>
      </c>
    </row>
    <row r="9" spans="1:24" x14ac:dyDescent="0.3">
      <c r="A9" t="s">
        <v>33</v>
      </c>
      <c r="B9" t="s">
        <v>34</v>
      </c>
      <c r="C9" t="s">
        <v>17</v>
      </c>
      <c r="D9" s="1">
        <v>45934</v>
      </c>
      <c r="E9" s="1">
        <v>45935</v>
      </c>
      <c r="F9" s="1">
        <v>45938</v>
      </c>
      <c r="G9" s="1">
        <v>45945</v>
      </c>
      <c r="H9" t="s">
        <v>25</v>
      </c>
      <c r="I9" t="s">
        <v>35</v>
      </c>
      <c r="J9" s="1"/>
      <c r="K9">
        <v>1</v>
      </c>
      <c r="L9">
        <v>3</v>
      </c>
      <c r="M9">
        <v>7</v>
      </c>
      <c r="O9">
        <v>11</v>
      </c>
      <c r="P9" t="b">
        <f>IF(EPe_BA_intern_assesment_Raw_data___Sheet13[[#This Row],[Customer Rating]]&gt;8,EPe_BA_intern_assesment_Raw_data___Sheet13[[#This Row],[Customer Rating]])</f>
        <v>0</v>
      </c>
      <c r="Q9" t="str">
        <f>IF(AND(EPe_BA_intern_assesment_Raw_data___Sheet13[[#This Row],[Customer Rating]]&gt;6,EPe_BA_intern_assesment_Raw_data___Sheet13[[#This Row],[Customer Rating]]&lt;9), EPe_BA_intern_assesment_Raw_data___Sheet13[[#This Row],[Customer Rating]], "")</f>
        <v/>
      </c>
      <c r="R9">
        <f>IF(EPe_BA_intern_assesment_Raw_data___Sheet13[[#This Row],[Customer Rating]]&lt;7,EPe_BA_intern_assesment_Raw_data___Sheet13[[#This Row],[Customer Rating]])</f>
        <v>0</v>
      </c>
    </row>
    <row r="10" spans="1:24" x14ac:dyDescent="0.3">
      <c r="A10" t="s">
        <v>36</v>
      </c>
      <c r="B10" t="s">
        <v>16</v>
      </c>
      <c r="C10" t="s">
        <v>32</v>
      </c>
      <c r="D10" s="1">
        <v>45944</v>
      </c>
      <c r="E10" s="1">
        <v>45947</v>
      </c>
      <c r="F10" s="1">
        <v>45950</v>
      </c>
      <c r="G10" s="1">
        <v>45955</v>
      </c>
      <c r="H10" t="s">
        <v>18</v>
      </c>
      <c r="I10" t="s">
        <v>19</v>
      </c>
      <c r="J10" s="1">
        <v>45966</v>
      </c>
      <c r="K10">
        <v>3</v>
      </c>
      <c r="L10">
        <v>3</v>
      </c>
      <c r="M10">
        <v>5</v>
      </c>
      <c r="N10">
        <v>8</v>
      </c>
      <c r="O10">
        <v>11</v>
      </c>
      <c r="P10" t="b">
        <f>IF(EPe_BA_intern_assesment_Raw_data___Sheet13[[#This Row],[Customer Rating]]&gt;8,EPe_BA_intern_assesment_Raw_data___Sheet13[[#This Row],[Customer Rating]])</f>
        <v>0</v>
      </c>
      <c r="Q10">
        <f>IF(AND(EPe_BA_intern_assesment_Raw_data___Sheet13[[#This Row],[Customer Rating]]&gt;6,EPe_BA_intern_assesment_Raw_data___Sheet13[[#This Row],[Customer Rating]]&lt;9), EPe_BA_intern_assesment_Raw_data___Sheet13[[#This Row],[Customer Rating]], "")</f>
        <v>8</v>
      </c>
      <c r="R10" t="b">
        <f>IF(EPe_BA_intern_assesment_Raw_data___Sheet13[[#This Row],[Customer Rating]]&lt;7,EPe_BA_intern_assesment_Raw_data___Sheet13[[#This Row],[Customer Rating]])</f>
        <v>0</v>
      </c>
    </row>
    <row r="11" spans="1:24" x14ac:dyDescent="0.3">
      <c r="A11" t="s">
        <v>37</v>
      </c>
      <c r="B11" t="s">
        <v>23</v>
      </c>
      <c r="C11" t="s">
        <v>17</v>
      </c>
      <c r="D11" s="1">
        <v>45961</v>
      </c>
      <c r="E11" s="1">
        <v>45965</v>
      </c>
      <c r="F11" s="1">
        <v>45966</v>
      </c>
      <c r="G11" s="1">
        <v>45971</v>
      </c>
      <c r="H11" t="s">
        <v>18</v>
      </c>
      <c r="I11" t="s">
        <v>19</v>
      </c>
      <c r="J11" s="1">
        <v>45983</v>
      </c>
      <c r="K11">
        <v>4</v>
      </c>
      <c r="L11">
        <v>1</v>
      </c>
      <c r="M11">
        <v>5</v>
      </c>
      <c r="N11">
        <v>6</v>
      </c>
      <c r="O11">
        <v>10</v>
      </c>
      <c r="P11" t="b">
        <f>IF(EPe_BA_intern_assesment_Raw_data___Sheet13[[#This Row],[Customer Rating]]&gt;8,EPe_BA_intern_assesment_Raw_data___Sheet13[[#This Row],[Customer Rating]])</f>
        <v>0</v>
      </c>
      <c r="Q11" t="str">
        <f>IF(AND(EPe_BA_intern_assesment_Raw_data___Sheet13[[#This Row],[Customer Rating]]&gt;6,EPe_BA_intern_assesment_Raw_data___Sheet13[[#This Row],[Customer Rating]]&lt;9), EPe_BA_intern_assesment_Raw_data___Sheet13[[#This Row],[Customer Rating]], "")</f>
        <v/>
      </c>
      <c r="R11">
        <f>IF(EPe_BA_intern_assesment_Raw_data___Sheet13[[#This Row],[Customer Rating]]&lt;7,EPe_BA_intern_assesment_Raw_data___Sheet13[[#This Row],[Customer Rating]])</f>
        <v>6</v>
      </c>
    </row>
    <row r="12" spans="1:24" x14ac:dyDescent="0.3">
      <c r="A12" t="s">
        <v>38</v>
      </c>
      <c r="B12" t="s">
        <v>16</v>
      </c>
      <c r="C12" t="s">
        <v>24</v>
      </c>
      <c r="D12" s="1">
        <v>45942</v>
      </c>
      <c r="E12" s="1"/>
      <c r="F12" s="1"/>
      <c r="G12" s="1"/>
      <c r="H12" t="s">
        <v>25</v>
      </c>
      <c r="I12" t="s">
        <v>26</v>
      </c>
      <c r="J12" s="1"/>
      <c r="P12" t="b">
        <f>IF(EPe_BA_intern_assesment_Raw_data___Sheet13[[#This Row],[Customer Rating]]&gt;8,EPe_BA_intern_assesment_Raw_data___Sheet13[[#This Row],[Customer Rating]])</f>
        <v>0</v>
      </c>
      <c r="Q12" t="str">
        <f>IF(AND(EPe_BA_intern_assesment_Raw_data___Sheet13[[#This Row],[Customer Rating]]&gt;6,EPe_BA_intern_assesment_Raw_data___Sheet13[[#This Row],[Customer Rating]]&lt;9), EPe_BA_intern_assesment_Raw_data___Sheet13[[#This Row],[Customer Rating]], "")</f>
        <v/>
      </c>
      <c r="R12">
        <f>IF(EPe_BA_intern_assesment_Raw_data___Sheet13[[#This Row],[Customer Rating]]&lt;7,EPe_BA_intern_assesment_Raw_data___Sheet13[[#This Row],[Customer Rating]])</f>
        <v>0</v>
      </c>
    </row>
    <row r="13" spans="1:24" x14ac:dyDescent="0.3">
      <c r="A13" t="s">
        <v>39</v>
      </c>
      <c r="B13" t="s">
        <v>21</v>
      </c>
      <c r="C13" t="s">
        <v>17</v>
      </c>
      <c r="D13" s="1">
        <v>45951</v>
      </c>
      <c r="E13" s="1">
        <v>45954</v>
      </c>
      <c r="F13" s="1">
        <v>45958</v>
      </c>
      <c r="G13" s="1">
        <v>45960</v>
      </c>
      <c r="H13" t="s">
        <v>18</v>
      </c>
      <c r="I13" t="s">
        <v>19</v>
      </c>
      <c r="J13" s="1">
        <v>45971</v>
      </c>
      <c r="K13">
        <v>3</v>
      </c>
      <c r="L13">
        <v>4</v>
      </c>
      <c r="M13">
        <v>2</v>
      </c>
      <c r="N13">
        <v>0</v>
      </c>
      <c r="O13">
        <v>9</v>
      </c>
      <c r="P13" t="b">
        <f>IF(EPe_BA_intern_assesment_Raw_data___Sheet13[[#This Row],[Customer Rating]]&gt;8,EPe_BA_intern_assesment_Raw_data___Sheet13[[#This Row],[Customer Rating]])</f>
        <v>0</v>
      </c>
      <c r="Q13" t="str">
        <f>IF(AND(EPe_BA_intern_assesment_Raw_data___Sheet13[[#This Row],[Customer Rating]]&gt;6,EPe_BA_intern_assesment_Raw_data___Sheet13[[#This Row],[Customer Rating]]&lt;9), EPe_BA_intern_assesment_Raw_data___Sheet13[[#This Row],[Customer Rating]], "")</f>
        <v/>
      </c>
      <c r="R13">
        <f>IF(EPe_BA_intern_assesment_Raw_data___Sheet13[[#This Row],[Customer Rating]]&lt;7,EPe_BA_intern_assesment_Raw_data___Sheet13[[#This Row],[Customer Rating]])</f>
        <v>0</v>
      </c>
    </row>
    <row r="14" spans="1:24" x14ac:dyDescent="0.3">
      <c r="A14" t="s">
        <v>40</v>
      </c>
      <c r="B14" t="s">
        <v>21</v>
      </c>
      <c r="C14" t="s">
        <v>17</v>
      </c>
      <c r="D14" s="1">
        <v>45959</v>
      </c>
      <c r="E14" s="1">
        <v>45962</v>
      </c>
      <c r="F14" s="1">
        <v>45967</v>
      </c>
      <c r="G14" s="1">
        <v>45974</v>
      </c>
      <c r="H14" t="s">
        <v>18</v>
      </c>
      <c r="I14" t="s">
        <v>19</v>
      </c>
      <c r="J14" s="1">
        <v>45991</v>
      </c>
      <c r="K14">
        <v>3</v>
      </c>
      <c r="L14">
        <v>5</v>
      </c>
      <c r="M14">
        <v>7</v>
      </c>
      <c r="N14">
        <v>10</v>
      </c>
      <c r="O14">
        <v>15</v>
      </c>
      <c r="P14">
        <f>IF(EPe_BA_intern_assesment_Raw_data___Sheet13[[#This Row],[Customer Rating]]&gt;8,EPe_BA_intern_assesment_Raw_data___Sheet13[[#This Row],[Customer Rating]])</f>
        <v>10</v>
      </c>
      <c r="Q14" t="str">
        <f>IF(AND(EPe_BA_intern_assesment_Raw_data___Sheet13[[#This Row],[Customer Rating]]&gt;6,EPe_BA_intern_assesment_Raw_data___Sheet13[[#This Row],[Customer Rating]]&lt;9), EPe_BA_intern_assesment_Raw_data___Sheet13[[#This Row],[Customer Rating]], "")</f>
        <v/>
      </c>
      <c r="R14" t="b">
        <f>IF(EPe_BA_intern_assesment_Raw_data___Sheet13[[#This Row],[Customer Rating]]&lt;7,EPe_BA_intern_assesment_Raw_data___Sheet13[[#This Row],[Customer Rating]])</f>
        <v>0</v>
      </c>
    </row>
    <row r="15" spans="1:24" x14ac:dyDescent="0.3">
      <c r="A15" t="s">
        <v>41</v>
      </c>
      <c r="B15" t="s">
        <v>34</v>
      </c>
      <c r="C15" t="s">
        <v>17</v>
      </c>
      <c r="D15" s="1">
        <v>45957</v>
      </c>
      <c r="E15" s="1">
        <v>45960</v>
      </c>
      <c r="F15" s="1">
        <v>45963</v>
      </c>
      <c r="G15" s="1">
        <v>45969</v>
      </c>
      <c r="H15" t="s">
        <v>18</v>
      </c>
      <c r="I15" t="s">
        <v>19</v>
      </c>
      <c r="J15" s="1">
        <v>45998</v>
      </c>
      <c r="K15">
        <v>3</v>
      </c>
      <c r="L15">
        <v>3</v>
      </c>
      <c r="M15">
        <v>6</v>
      </c>
      <c r="N15">
        <v>2</v>
      </c>
      <c r="O15">
        <v>12</v>
      </c>
      <c r="P15" t="b">
        <f>IF(EPe_BA_intern_assesment_Raw_data___Sheet13[[#This Row],[Customer Rating]]&gt;8,EPe_BA_intern_assesment_Raw_data___Sheet13[[#This Row],[Customer Rating]])</f>
        <v>0</v>
      </c>
      <c r="Q15" t="str">
        <f>IF(AND(EPe_BA_intern_assesment_Raw_data___Sheet13[[#This Row],[Customer Rating]]&gt;6,EPe_BA_intern_assesment_Raw_data___Sheet13[[#This Row],[Customer Rating]]&lt;9), EPe_BA_intern_assesment_Raw_data___Sheet13[[#This Row],[Customer Rating]], "")</f>
        <v/>
      </c>
      <c r="R15">
        <f>IF(EPe_BA_intern_assesment_Raw_data___Sheet13[[#This Row],[Customer Rating]]&lt;7,EPe_BA_intern_assesment_Raw_data___Sheet13[[#This Row],[Customer Rating]])</f>
        <v>2</v>
      </c>
    </row>
    <row r="16" spans="1:24" x14ac:dyDescent="0.3">
      <c r="A16" t="s">
        <v>42</v>
      </c>
      <c r="B16" t="s">
        <v>21</v>
      </c>
      <c r="C16" t="s">
        <v>32</v>
      </c>
      <c r="D16" s="1">
        <v>45945</v>
      </c>
      <c r="E16" s="1">
        <v>45947</v>
      </c>
      <c r="F16" s="1">
        <v>45948</v>
      </c>
      <c r="G16" s="1">
        <v>45951</v>
      </c>
      <c r="H16" t="s">
        <v>25</v>
      </c>
      <c r="I16" t="s">
        <v>35</v>
      </c>
      <c r="J16" s="1"/>
      <c r="K16">
        <v>2</v>
      </c>
      <c r="L16">
        <v>1</v>
      </c>
      <c r="M16">
        <v>3</v>
      </c>
      <c r="O16">
        <v>6</v>
      </c>
      <c r="P16" t="b">
        <f>IF(EPe_BA_intern_assesment_Raw_data___Sheet13[[#This Row],[Customer Rating]]&gt;8,EPe_BA_intern_assesment_Raw_data___Sheet13[[#This Row],[Customer Rating]])</f>
        <v>0</v>
      </c>
      <c r="Q16" t="str">
        <f>IF(AND(EPe_BA_intern_assesment_Raw_data___Sheet13[[#This Row],[Customer Rating]]&gt;6,EPe_BA_intern_assesment_Raw_data___Sheet13[[#This Row],[Customer Rating]]&lt;9), EPe_BA_intern_assesment_Raw_data___Sheet13[[#This Row],[Customer Rating]], "")</f>
        <v/>
      </c>
      <c r="R16">
        <f>IF(EPe_BA_intern_assesment_Raw_data___Sheet13[[#This Row],[Customer Rating]]&lt;7,EPe_BA_intern_assesment_Raw_data___Sheet13[[#This Row],[Customer Rating]])</f>
        <v>0</v>
      </c>
    </row>
    <row r="17" spans="1:18" x14ac:dyDescent="0.3">
      <c r="A17" t="s">
        <v>43</v>
      </c>
      <c r="B17" t="s">
        <v>21</v>
      </c>
      <c r="C17" t="s">
        <v>17</v>
      </c>
      <c r="D17" s="1">
        <v>45953</v>
      </c>
      <c r="E17" s="1">
        <v>45957</v>
      </c>
      <c r="F17" s="1">
        <v>45962</v>
      </c>
      <c r="G17" s="1">
        <v>45967</v>
      </c>
      <c r="H17" t="s">
        <v>18</v>
      </c>
      <c r="I17" t="s">
        <v>19</v>
      </c>
      <c r="J17" s="1">
        <v>45984</v>
      </c>
      <c r="K17">
        <v>4</v>
      </c>
      <c r="L17">
        <v>5</v>
      </c>
      <c r="M17">
        <v>5</v>
      </c>
      <c r="N17">
        <v>8</v>
      </c>
      <c r="O17">
        <v>14</v>
      </c>
      <c r="P17" t="b">
        <f>IF(EPe_BA_intern_assesment_Raw_data___Sheet13[[#This Row],[Customer Rating]]&gt;8,EPe_BA_intern_assesment_Raw_data___Sheet13[[#This Row],[Customer Rating]])</f>
        <v>0</v>
      </c>
      <c r="Q17">
        <f>IF(AND(EPe_BA_intern_assesment_Raw_data___Sheet13[[#This Row],[Customer Rating]]&gt;6,EPe_BA_intern_assesment_Raw_data___Sheet13[[#This Row],[Customer Rating]]&lt;9), EPe_BA_intern_assesment_Raw_data___Sheet13[[#This Row],[Customer Rating]], "")</f>
        <v>8</v>
      </c>
      <c r="R17" t="b">
        <f>IF(EPe_BA_intern_assesment_Raw_data___Sheet13[[#This Row],[Customer Rating]]&lt;7,EPe_BA_intern_assesment_Raw_data___Sheet13[[#This Row],[Customer Rating]])</f>
        <v>0</v>
      </c>
    </row>
    <row r="18" spans="1:18" x14ac:dyDescent="0.3">
      <c r="A18" t="s">
        <v>44</v>
      </c>
      <c r="B18" t="s">
        <v>23</v>
      </c>
      <c r="C18" t="s">
        <v>32</v>
      </c>
      <c r="D18" s="1">
        <v>45935</v>
      </c>
      <c r="E18" s="1">
        <v>45936</v>
      </c>
      <c r="F18" s="1">
        <v>45940</v>
      </c>
      <c r="G18" s="1">
        <v>45946</v>
      </c>
      <c r="H18" t="s">
        <v>18</v>
      </c>
      <c r="I18" t="s">
        <v>19</v>
      </c>
      <c r="J18" s="1">
        <v>45956</v>
      </c>
      <c r="K18">
        <v>1</v>
      </c>
      <c r="L18">
        <v>4</v>
      </c>
      <c r="M18">
        <v>6</v>
      </c>
      <c r="N18">
        <v>2</v>
      </c>
      <c r="O18">
        <v>11</v>
      </c>
      <c r="P18" t="b">
        <f>IF(EPe_BA_intern_assesment_Raw_data___Sheet13[[#This Row],[Customer Rating]]&gt;8,EPe_BA_intern_assesment_Raw_data___Sheet13[[#This Row],[Customer Rating]])</f>
        <v>0</v>
      </c>
      <c r="Q18" t="str">
        <f>IF(AND(EPe_BA_intern_assesment_Raw_data___Sheet13[[#This Row],[Customer Rating]]&gt;6,EPe_BA_intern_assesment_Raw_data___Sheet13[[#This Row],[Customer Rating]]&lt;9), EPe_BA_intern_assesment_Raw_data___Sheet13[[#This Row],[Customer Rating]], "")</f>
        <v/>
      </c>
      <c r="R18">
        <f>IF(EPe_BA_intern_assesment_Raw_data___Sheet13[[#This Row],[Customer Rating]]&lt;7,EPe_BA_intern_assesment_Raw_data___Sheet13[[#This Row],[Customer Rating]])</f>
        <v>2</v>
      </c>
    </row>
    <row r="19" spans="1:18" x14ac:dyDescent="0.3">
      <c r="A19" t="s">
        <v>45</v>
      </c>
      <c r="B19" t="s">
        <v>16</v>
      </c>
      <c r="C19" t="s">
        <v>32</v>
      </c>
      <c r="D19" s="1">
        <v>45944</v>
      </c>
      <c r="E19" s="1">
        <v>45945</v>
      </c>
      <c r="F19" s="1">
        <v>45948</v>
      </c>
      <c r="G19" s="1">
        <v>45953</v>
      </c>
      <c r="H19" t="s">
        <v>18</v>
      </c>
      <c r="I19" t="s">
        <v>19</v>
      </c>
      <c r="J19" s="1">
        <v>45979</v>
      </c>
      <c r="K19">
        <v>1</v>
      </c>
      <c r="L19">
        <v>3</v>
      </c>
      <c r="M19">
        <v>5</v>
      </c>
      <c r="N19">
        <v>0</v>
      </c>
      <c r="O19">
        <v>9</v>
      </c>
      <c r="P19" t="b">
        <f>IF(EPe_BA_intern_assesment_Raw_data___Sheet13[[#This Row],[Customer Rating]]&gt;8,EPe_BA_intern_assesment_Raw_data___Sheet13[[#This Row],[Customer Rating]])</f>
        <v>0</v>
      </c>
      <c r="Q19" t="str">
        <f>IF(AND(EPe_BA_intern_assesment_Raw_data___Sheet13[[#This Row],[Customer Rating]]&gt;6,EPe_BA_intern_assesment_Raw_data___Sheet13[[#This Row],[Customer Rating]]&lt;9), EPe_BA_intern_assesment_Raw_data___Sheet13[[#This Row],[Customer Rating]], "")</f>
        <v/>
      </c>
      <c r="R19">
        <f>IF(EPe_BA_intern_assesment_Raw_data___Sheet13[[#This Row],[Customer Rating]]&lt;7,EPe_BA_intern_assesment_Raw_data___Sheet13[[#This Row],[Customer Rating]])</f>
        <v>0</v>
      </c>
    </row>
    <row r="20" spans="1:18" x14ac:dyDescent="0.3">
      <c r="A20" t="s">
        <v>46</v>
      </c>
      <c r="B20" t="s">
        <v>16</v>
      </c>
      <c r="C20" t="s">
        <v>17</v>
      </c>
      <c r="D20" s="1">
        <v>45936</v>
      </c>
      <c r="E20" s="1">
        <v>45937</v>
      </c>
      <c r="F20" s="1">
        <v>45942</v>
      </c>
      <c r="G20" s="1">
        <v>45947</v>
      </c>
      <c r="H20" t="s">
        <v>18</v>
      </c>
      <c r="I20" t="s">
        <v>19</v>
      </c>
      <c r="J20" s="1">
        <v>45972</v>
      </c>
      <c r="K20">
        <v>1</v>
      </c>
      <c r="L20">
        <v>5</v>
      </c>
      <c r="M20">
        <v>5</v>
      </c>
      <c r="N20">
        <v>5</v>
      </c>
      <c r="O20">
        <v>11</v>
      </c>
      <c r="P20" t="b">
        <f>IF(EPe_BA_intern_assesment_Raw_data___Sheet13[[#This Row],[Customer Rating]]&gt;8,EPe_BA_intern_assesment_Raw_data___Sheet13[[#This Row],[Customer Rating]])</f>
        <v>0</v>
      </c>
      <c r="Q20" t="str">
        <f>IF(AND(EPe_BA_intern_assesment_Raw_data___Sheet13[[#This Row],[Customer Rating]]&gt;6,EPe_BA_intern_assesment_Raw_data___Sheet13[[#This Row],[Customer Rating]]&lt;9), EPe_BA_intern_assesment_Raw_data___Sheet13[[#This Row],[Customer Rating]], "")</f>
        <v/>
      </c>
      <c r="R20">
        <f>IF(EPe_BA_intern_assesment_Raw_data___Sheet13[[#This Row],[Customer Rating]]&lt;7,EPe_BA_intern_assesment_Raw_data___Sheet13[[#This Row],[Customer Rating]])</f>
        <v>5</v>
      </c>
    </row>
    <row r="21" spans="1:18" x14ac:dyDescent="0.3">
      <c r="A21" t="s">
        <v>47</v>
      </c>
      <c r="B21" t="s">
        <v>23</v>
      </c>
      <c r="C21" t="s">
        <v>17</v>
      </c>
      <c r="D21" s="1">
        <v>45954</v>
      </c>
      <c r="E21" s="1">
        <v>45955</v>
      </c>
      <c r="F21" s="1">
        <v>45960</v>
      </c>
      <c r="G21" s="1">
        <v>45962</v>
      </c>
      <c r="H21" t="s">
        <v>18</v>
      </c>
      <c r="I21" t="s">
        <v>19</v>
      </c>
      <c r="J21" s="1">
        <v>45972</v>
      </c>
      <c r="K21">
        <v>1</v>
      </c>
      <c r="L21">
        <v>5</v>
      </c>
      <c r="M21">
        <v>2</v>
      </c>
      <c r="N21">
        <v>4</v>
      </c>
      <c r="O21">
        <v>8</v>
      </c>
      <c r="P21" t="b">
        <f>IF(EPe_BA_intern_assesment_Raw_data___Sheet13[[#This Row],[Customer Rating]]&gt;8,EPe_BA_intern_assesment_Raw_data___Sheet13[[#This Row],[Customer Rating]])</f>
        <v>0</v>
      </c>
      <c r="Q21" t="str">
        <f>IF(AND(EPe_BA_intern_assesment_Raw_data___Sheet13[[#This Row],[Customer Rating]]&gt;6,EPe_BA_intern_assesment_Raw_data___Sheet13[[#This Row],[Customer Rating]]&lt;9), EPe_BA_intern_assesment_Raw_data___Sheet13[[#This Row],[Customer Rating]], "")</f>
        <v/>
      </c>
      <c r="R21">
        <f>IF(EPe_BA_intern_assesment_Raw_data___Sheet13[[#This Row],[Customer Rating]]&lt;7,EPe_BA_intern_assesment_Raw_data___Sheet13[[#This Row],[Customer Rating]])</f>
        <v>4</v>
      </c>
    </row>
    <row r="22" spans="1:18" x14ac:dyDescent="0.3">
      <c r="A22" t="s">
        <v>48</v>
      </c>
      <c r="B22" t="s">
        <v>34</v>
      </c>
      <c r="C22" t="s">
        <v>17</v>
      </c>
      <c r="D22" s="1">
        <v>45947</v>
      </c>
      <c r="E22" s="1">
        <v>45951</v>
      </c>
      <c r="F22" s="1">
        <v>45953</v>
      </c>
      <c r="G22" s="1">
        <v>45960</v>
      </c>
      <c r="H22" t="s">
        <v>18</v>
      </c>
      <c r="I22" t="s">
        <v>19</v>
      </c>
      <c r="J22" s="1">
        <v>45980</v>
      </c>
      <c r="K22">
        <v>4</v>
      </c>
      <c r="L22">
        <v>2</v>
      </c>
      <c r="M22">
        <v>7</v>
      </c>
      <c r="N22">
        <v>6</v>
      </c>
      <c r="O22">
        <v>13</v>
      </c>
      <c r="P22" t="b">
        <f>IF(EPe_BA_intern_assesment_Raw_data___Sheet13[[#This Row],[Customer Rating]]&gt;8,EPe_BA_intern_assesment_Raw_data___Sheet13[[#This Row],[Customer Rating]])</f>
        <v>0</v>
      </c>
      <c r="Q22" t="str">
        <f>IF(AND(EPe_BA_intern_assesment_Raw_data___Sheet13[[#This Row],[Customer Rating]]&gt;6,EPe_BA_intern_assesment_Raw_data___Sheet13[[#This Row],[Customer Rating]]&lt;9), EPe_BA_intern_assesment_Raw_data___Sheet13[[#This Row],[Customer Rating]], "")</f>
        <v/>
      </c>
      <c r="R22">
        <f>IF(EPe_BA_intern_assesment_Raw_data___Sheet13[[#This Row],[Customer Rating]]&lt;7,EPe_BA_intern_assesment_Raw_data___Sheet13[[#This Row],[Customer Rating]])</f>
        <v>6</v>
      </c>
    </row>
    <row r="23" spans="1:18" x14ac:dyDescent="0.3">
      <c r="A23" t="s">
        <v>49</v>
      </c>
      <c r="B23" t="s">
        <v>16</v>
      </c>
      <c r="C23" t="s">
        <v>32</v>
      </c>
      <c r="D23" s="1">
        <v>45961</v>
      </c>
      <c r="E23" s="1">
        <v>45962</v>
      </c>
      <c r="F23" s="1">
        <v>45963</v>
      </c>
      <c r="G23" s="1">
        <v>45966</v>
      </c>
      <c r="H23" t="s">
        <v>18</v>
      </c>
      <c r="I23" t="s">
        <v>19</v>
      </c>
      <c r="J23" s="1">
        <v>45995</v>
      </c>
      <c r="K23">
        <v>1</v>
      </c>
      <c r="L23">
        <v>1</v>
      </c>
      <c r="M23">
        <v>3</v>
      </c>
      <c r="N23">
        <v>3</v>
      </c>
      <c r="O23">
        <v>5</v>
      </c>
      <c r="P23" t="b">
        <f>IF(EPe_BA_intern_assesment_Raw_data___Sheet13[[#This Row],[Customer Rating]]&gt;8,EPe_BA_intern_assesment_Raw_data___Sheet13[[#This Row],[Customer Rating]])</f>
        <v>0</v>
      </c>
      <c r="Q23" t="str">
        <f>IF(AND(EPe_BA_intern_assesment_Raw_data___Sheet13[[#This Row],[Customer Rating]]&gt;6,EPe_BA_intern_assesment_Raw_data___Sheet13[[#This Row],[Customer Rating]]&lt;9), EPe_BA_intern_assesment_Raw_data___Sheet13[[#This Row],[Customer Rating]], "")</f>
        <v/>
      </c>
      <c r="R23">
        <f>IF(EPe_BA_intern_assesment_Raw_data___Sheet13[[#This Row],[Customer Rating]]&lt;7,EPe_BA_intern_assesment_Raw_data___Sheet13[[#This Row],[Customer Rating]])</f>
        <v>3</v>
      </c>
    </row>
    <row r="24" spans="1:18" x14ac:dyDescent="0.3">
      <c r="A24" t="s">
        <v>50</v>
      </c>
      <c r="B24" t="s">
        <v>21</v>
      </c>
      <c r="C24" t="s">
        <v>17</v>
      </c>
      <c r="D24" s="1">
        <v>45951</v>
      </c>
      <c r="E24" s="1">
        <v>45954</v>
      </c>
      <c r="F24" s="1">
        <v>45959</v>
      </c>
      <c r="G24" s="1">
        <v>45962</v>
      </c>
      <c r="H24" t="s">
        <v>18</v>
      </c>
      <c r="I24" t="s">
        <v>19</v>
      </c>
      <c r="J24" s="1">
        <v>45978</v>
      </c>
      <c r="K24">
        <v>3</v>
      </c>
      <c r="L24">
        <v>5</v>
      </c>
      <c r="M24">
        <v>3</v>
      </c>
      <c r="N24">
        <v>8</v>
      </c>
      <c r="O24">
        <v>11</v>
      </c>
      <c r="P24" t="b">
        <f>IF(EPe_BA_intern_assesment_Raw_data___Sheet13[[#This Row],[Customer Rating]]&gt;8,EPe_BA_intern_assesment_Raw_data___Sheet13[[#This Row],[Customer Rating]])</f>
        <v>0</v>
      </c>
      <c r="Q24">
        <f>IF(AND(EPe_BA_intern_assesment_Raw_data___Sheet13[[#This Row],[Customer Rating]]&gt;6,EPe_BA_intern_assesment_Raw_data___Sheet13[[#This Row],[Customer Rating]]&lt;9), EPe_BA_intern_assesment_Raw_data___Sheet13[[#This Row],[Customer Rating]], "")</f>
        <v>8</v>
      </c>
      <c r="R24" t="b">
        <f>IF(EPe_BA_intern_assesment_Raw_data___Sheet13[[#This Row],[Customer Rating]]&lt;7,EPe_BA_intern_assesment_Raw_data___Sheet13[[#This Row],[Customer Rating]])</f>
        <v>0</v>
      </c>
    </row>
    <row r="25" spans="1:18" x14ac:dyDescent="0.3">
      <c r="A25" t="s">
        <v>51</v>
      </c>
      <c r="B25" t="s">
        <v>16</v>
      </c>
      <c r="C25" t="s">
        <v>17</v>
      </c>
      <c r="D25" s="1">
        <v>45939</v>
      </c>
      <c r="E25" s="1">
        <v>45941</v>
      </c>
      <c r="F25" s="1">
        <v>45945</v>
      </c>
      <c r="G25" s="1">
        <v>45949</v>
      </c>
      <c r="H25" t="s">
        <v>18</v>
      </c>
      <c r="I25" t="s">
        <v>19</v>
      </c>
      <c r="J25" s="1">
        <v>45963</v>
      </c>
      <c r="K25">
        <v>2</v>
      </c>
      <c r="L25">
        <v>4</v>
      </c>
      <c r="M25">
        <v>4</v>
      </c>
      <c r="N25">
        <v>3</v>
      </c>
      <c r="O25">
        <v>10</v>
      </c>
      <c r="P25" t="b">
        <f>IF(EPe_BA_intern_assesment_Raw_data___Sheet13[[#This Row],[Customer Rating]]&gt;8,EPe_BA_intern_assesment_Raw_data___Sheet13[[#This Row],[Customer Rating]])</f>
        <v>0</v>
      </c>
      <c r="Q25" t="str">
        <f>IF(AND(EPe_BA_intern_assesment_Raw_data___Sheet13[[#This Row],[Customer Rating]]&gt;6,EPe_BA_intern_assesment_Raw_data___Sheet13[[#This Row],[Customer Rating]]&lt;9), EPe_BA_intern_assesment_Raw_data___Sheet13[[#This Row],[Customer Rating]], "")</f>
        <v/>
      </c>
      <c r="R25">
        <f>IF(EPe_BA_intern_assesment_Raw_data___Sheet13[[#This Row],[Customer Rating]]&lt;7,EPe_BA_intern_assesment_Raw_data___Sheet13[[#This Row],[Customer Rating]])</f>
        <v>3</v>
      </c>
    </row>
    <row r="26" spans="1:18" x14ac:dyDescent="0.3">
      <c r="A26" t="s">
        <v>52</v>
      </c>
      <c r="B26" t="s">
        <v>21</v>
      </c>
      <c r="C26" t="s">
        <v>17</v>
      </c>
      <c r="D26" s="1">
        <v>45950</v>
      </c>
      <c r="E26" s="1">
        <v>45955</v>
      </c>
      <c r="F26" s="1">
        <v>45957</v>
      </c>
      <c r="G26" s="1">
        <v>45964</v>
      </c>
      <c r="H26" t="s">
        <v>18</v>
      </c>
      <c r="I26" t="s">
        <v>19</v>
      </c>
      <c r="J26" s="1">
        <v>45984</v>
      </c>
      <c r="K26">
        <v>5</v>
      </c>
      <c r="L26">
        <v>2</v>
      </c>
      <c r="M26">
        <v>7</v>
      </c>
      <c r="N26">
        <v>1</v>
      </c>
      <c r="O26">
        <v>14</v>
      </c>
      <c r="P26" t="b">
        <f>IF(EPe_BA_intern_assesment_Raw_data___Sheet13[[#This Row],[Customer Rating]]&gt;8,EPe_BA_intern_assesment_Raw_data___Sheet13[[#This Row],[Customer Rating]])</f>
        <v>0</v>
      </c>
      <c r="Q26" t="str">
        <f>IF(AND(EPe_BA_intern_assesment_Raw_data___Sheet13[[#This Row],[Customer Rating]]&gt;6,EPe_BA_intern_assesment_Raw_data___Sheet13[[#This Row],[Customer Rating]]&lt;9), EPe_BA_intern_assesment_Raw_data___Sheet13[[#This Row],[Customer Rating]], "")</f>
        <v/>
      </c>
      <c r="R26">
        <f>IF(EPe_BA_intern_assesment_Raw_data___Sheet13[[#This Row],[Customer Rating]]&lt;7,EPe_BA_intern_assesment_Raw_data___Sheet13[[#This Row],[Customer Rating]])</f>
        <v>1</v>
      </c>
    </row>
    <row r="27" spans="1:18" x14ac:dyDescent="0.3">
      <c r="A27" t="s">
        <v>53</v>
      </c>
      <c r="B27" t="s">
        <v>34</v>
      </c>
      <c r="C27" t="s">
        <v>17</v>
      </c>
      <c r="D27" s="1">
        <v>45956</v>
      </c>
      <c r="E27" s="1">
        <v>45957</v>
      </c>
      <c r="F27" s="1">
        <v>45962</v>
      </c>
      <c r="G27" s="1">
        <v>45964</v>
      </c>
      <c r="H27" t="s">
        <v>18</v>
      </c>
      <c r="I27" t="s">
        <v>19</v>
      </c>
      <c r="J27" s="1">
        <v>45979</v>
      </c>
      <c r="K27">
        <v>1</v>
      </c>
      <c r="L27">
        <v>5</v>
      </c>
      <c r="M27">
        <v>2</v>
      </c>
      <c r="N27">
        <v>4</v>
      </c>
      <c r="O27">
        <v>8</v>
      </c>
      <c r="P27" t="b">
        <f>IF(EPe_BA_intern_assesment_Raw_data___Sheet13[[#This Row],[Customer Rating]]&gt;8,EPe_BA_intern_assesment_Raw_data___Sheet13[[#This Row],[Customer Rating]])</f>
        <v>0</v>
      </c>
      <c r="Q27" t="str">
        <f>IF(AND(EPe_BA_intern_assesment_Raw_data___Sheet13[[#This Row],[Customer Rating]]&gt;6,EPe_BA_intern_assesment_Raw_data___Sheet13[[#This Row],[Customer Rating]]&lt;9), EPe_BA_intern_assesment_Raw_data___Sheet13[[#This Row],[Customer Rating]], "")</f>
        <v/>
      </c>
      <c r="R27">
        <f>IF(EPe_BA_intern_assesment_Raw_data___Sheet13[[#This Row],[Customer Rating]]&lt;7,EPe_BA_intern_assesment_Raw_data___Sheet13[[#This Row],[Customer Rating]])</f>
        <v>4</v>
      </c>
    </row>
    <row r="28" spans="1:18" x14ac:dyDescent="0.3">
      <c r="A28" t="s">
        <v>54</v>
      </c>
      <c r="B28" t="s">
        <v>23</v>
      </c>
      <c r="C28" t="s">
        <v>17</v>
      </c>
      <c r="D28" s="1">
        <v>45960</v>
      </c>
      <c r="E28" s="1">
        <v>45965</v>
      </c>
      <c r="F28" s="1">
        <v>45970</v>
      </c>
      <c r="G28" s="1">
        <v>45976</v>
      </c>
      <c r="H28" t="s">
        <v>18</v>
      </c>
      <c r="I28" t="s">
        <v>19</v>
      </c>
      <c r="J28" s="1">
        <v>45996</v>
      </c>
      <c r="K28">
        <v>5</v>
      </c>
      <c r="L28">
        <v>5</v>
      </c>
      <c r="M28">
        <v>6</v>
      </c>
      <c r="N28">
        <v>1</v>
      </c>
      <c r="O28">
        <v>16</v>
      </c>
      <c r="P28" t="b">
        <f>IF(EPe_BA_intern_assesment_Raw_data___Sheet13[[#This Row],[Customer Rating]]&gt;8,EPe_BA_intern_assesment_Raw_data___Sheet13[[#This Row],[Customer Rating]])</f>
        <v>0</v>
      </c>
      <c r="Q28" t="str">
        <f>IF(AND(EPe_BA_intern_assesment_Raw_data___Sheet13[[#This Row],[Customer Rating]]&gt;6,EPe_BA_intern_assesment_Raw_data___Sheet13[[#This Row],[Customer Rating]]&lt;9), EPe_BA_intern_assesment_Raw_data___Sheet13[[#This Row],[Customer Rating]], "")</f>
        <v/>
      </c>
      <c r="R28">
        <f>IF(EPe_BA_intern_assesment_Raw_data___Sheet13[[#This Row],[Customer Rating]]&lt;7,EPe_BA_intern_assesment_Raw_data___Sheet13[[#This Row],[Customer Rating]])</f>
        <v>1</v>
      </c>
    </row>
    <row r="29" spans="1:18" x14ac:dyDescent="0.3">
      <c r="A29" t="s">
        <v>55</v>
      </c>
      <c r="B29" t="s">
        <v>16</v>
      </c>
      <c r="C29" t="s">
        <v>17</v>
      </c>
      <c r="D29" s="1">
        <v>45948</v>
      </c>
      <c r="E29" s="1">
        <v>45953</v>
      </c>
      <c r="F29" s="1">
        <v>45957</v>
      </c>
      <c r="G29" s="1">
        <v>45959</v>
      </c>
      <c r="H29" t="s">
        <v>18</v>
      </c>
      <c r="I29" t="s">
        <v>19</v>
      </c>
      <c r="J29" s="1">
        <v>45970</v>
      </c>
      <c r="K29">
        <v>5</v>
      </c>
      <c r="L29">
        <v>4</v>
      </c>
      <c r="M29">
        <v>2</v>
      </c>
      <c r="N29">
        <v>3</v>
      </c>
      <c r="O29">
        <v>11</v>
      </c>
      <c r="P29" t="b">
        <f>IF(EPe_BA_intern_assesment_Raw_data___Sheet13[[#This Row],[Customer Rating]]&gt;8,EPe_BA_intern_assesment_Raw_data___Sheet13[[#This Row],[Customer Rating]])</f>
        <v>0</v>
      </c>
      <c r="Q29" t="str">
        <f>IF(AND(EPe_BA_intern_assesment_Raw_data___Sheet13[[#This Row],[Customer Rating]]&gt;6,EPe_BA_intern_assesment_Raw_data___Sheet13[[#This Row],[Customer Rating]]&lt;9), EPe_BA_intern_assesment_Raw_data___Sheet13[[#This Row],[Customer Rating]], "")</f>
        <v/>
      </c>
      <c r="R29">
        <f>IF(EPe_BA_intern_assesment_Raw_data___Sheet13[[#This Row],[Customer Rating]]&lt;7,EPe_BA_intern_assesment_Raw_data___Sheet13[[#This Row],[Customer Rating]])</f>
        <v>3</v>
      </c>
    </row>
    <row r="30" spans="1:18" x14ac:dyDescent="0.3">
      <c r="A30" t="s">
        <v>56</v>
      </c>
      <c r="B30" t="s">
        <v>23</v>
      </c>
      <c r="C30" t="s">
        <v>17</v>
      </c>
      <c r="D30" s="1">
        <v>45955</v>
      </c>
      <c r="E30" s="1">
        <v>45960</v>
      </c>
      <c r="F30" s="1">
        <v>45962</v>
      </c>
      <c r="G30" s="1">
        <v>45968</v>
      </c>
      <c r="H30" t="s">
        <v>18</v>
      </c>
      <c r="I30" t="s">
        <v>19</v>
      </c>
      <c r="J30" s="1">
        <v>45978</v>
      </c>
      <c r="K30">
        <v>5</v>
      </c>
      <c r="L30">
        <v>2</v>
      </c>
      <c r="M30">
        <v>6</v>
      </c>
      <c r="N30">
        <v>3</v>
      </c>
      <c r="O30">
        <v>13</v>
      </c>
      <c r="P30" t="b">
        <f>IF(EPe_BA_intern_assesment_Raw_data___Sheet13[[#This Row],[Customer Rating]]&gt;8,EPe_BA_intern_assesment_Raw_data___Sheet13[[#This Row],[Customer Rating]])</f>
        <v>0</v>
      </c>
      <c r="Q30" t="str">
        <f>IF(AND(EPe_BA_intern_assesment_Raw_data___Sheet13[[#This Row],[Customer Rating]]&gt;6,EPe_BA_intern_assesment_Raw_data___Sheet13[[#This Row],[Customer Rating]]&lt;9), EPe_BA_intern_assesment_Raw_data___Sheet13[[#This Row],[Customer Rating]], "")</f>
        <v/>
      </c>
      <c r="R30">
        <f>IF(EPe_BA_intern_assesment_Raw_data___Sheet13[[#This Row],[Customer Rating]]&lt;7,EPe_BA_intern_assesment_Raw_data___Sheet13[[#This Row],[Customer Rating]])</f>
        <v>3</v>
      </c>
    </row>
    <row r="31" spans="1:18" x14ac:dyDescent="0.3">
      <c r="A31" t="s">
        <v>57</v>
      </c>
      <c r="B31" t="s">
        <v>16</v>
      </c>
      <c r="C31" t="s">
        <v>24</v>
      </c>
      <c r="D31" s="1">
        <v>45946</v>
      </c>
      <c r="E31" s="1"/>
      <c r="F31" s="1"/>
      <c r="G31" s="1"/>
      <c r="H31" t="s">
        <v>25</v>
      </c>
      <c r="I31" t="s">
        <v>35</v>
      </c>
      <c r="J31" s="1"/>
      <c r="P31" t="b">
        <f>IF(EPe_BA_intern_assesment_Raw_data___Sheet13[[#This Row],[Customer Rating]]&gt;8,EPe_BA_intern_assesment_Raw_data___Sheet13[[#This Row],[Customer Rating]])</f>
        <v>0</v>
      </c>
      <c r="Q31" t="str">
        <f>IF(AND(EPe_BA_intern_assesment_Raw_data___Sheet13[[#This Row],[Customer Rating]]&gt;6,EPe_BA_intern_assesment_Raw_data___Sheet13[[#This Row],[Customer Rating]]&lt;9), EPe_BA_intern_assesment_Raw_data___Sheet13[[#This Row],[Customer Rating]], "")</f>
        <v/>
      </c>
      <c r="R31">
        <f>IF(EPe_BA_intern_assesment_Raw_data___Sheet13[[#This Row],[Customer Rating]]&lt;7,EPe_BA_intern_assesment_Raw_data___Sheet13[[#This Row],[Customer Rating]])</f>
        <v>0</v>
      </c>
    </row>
    <row r="32" spans="1:18" x14ac:dyDescent="0.3">
      <c r="A32" t="s">
        <v>58</v>
      </c>
      <c r="B32" t="s">
        <v>21</v>
      </c>
      <c r="C32" t="s">
        <v>17</v>
      </c>
      <c r="D32" s="1">
        <v>45945</v>
      </c>
      <c r="E32" s="1">
        <v>45948</v>
      </c>
      <c r="F32" s="1">
        <v>45950</v>
      </c>
      <c r="G32" s="1">
        <v>45953</v>
      </c>
      <c r="H32" t="s">
        <v>18</v>
      </c>
      <c r="I32" t="s">
        <v>19</v>
      </c>
      <c r="J32" s="1">
        <v>45967</v>
      </c>
      <c r="K32">
        <v>3</v>
      </c>
      <c r="L32">
        <v>2</v>
      </c>
      <c r="M32">
        <v>3</v>
      </c>
      <c r="N32">
        <v>3</v>
      </c>
      <c r="O32">
        <v>8</v>
      </c>
      <c r="P32" t="b">
        <f>IF(EPe_BA_intern_assesment_Raw_data___Sheet13[[#This Row],[Customer Rating]]&gt;8,EPe_BA_intern_assesment_Raw_data___Sheet13[[#This Row],[Customer Rating]])</f>
        <v>0</v>
      </c>
      <c r="Q32" t="str">
        <f>IF(AND(EPe_BA_intern_assesment_Raw_data___Sheet13[[#This Row],[Customer Rating]]&gt;6,EPe_BA_intern_assesment_Raw_data___Sheet13[[#This Row],[Customer Rating]]&lt;9), EPe_BA_intern_assesment_Raw_data___Sheet13[[#This Row],[Customer Rating]], "")</f>
        <v/>
      </c>
      <c r="R32">
        <f>IF(EPe_BA_intern_assesment_Raw_data___Sheet13[[#This Row],[Customer Rating]]&lt;7,EPe_BA_intern_assesment_Raw_data___Sheet13[[#This Row],[Customer Rating]])</f>
        <v>3</v>
      </c>
    </row>
    <row r="33" spans="1:18" x14ac:dyDescent="0.3">
      <c r="A33" t="s">
        <v>59</v>
      </c>
      <c r="B33" t="s">
        <v>23</v>
      </c>
      <c r="C33" t="s">
        <v>17</v>
      </c>
      <c r="D33" s="1">
        <v>45944</v>
      </c>
      <c r="E33" s="1">
        <v>45945</v>
      </c>
      <c r="F33" s="1">
        <v>45946</v>
      </c>
      <c r="G33" s="1">
        <v>45950</v>
      </c>
      <c r="H33" t="s">
        <v>18</v>
      </c>
      <c r="I33" t="s">
        <v>19</v>
      </c>
      <c r="J33" s="1">
        <v>45978</v>
      </c>
      <c r="K33">
        <v>1</v>
      </c>
      <c r="L33">
        <v>1</v>
      </c>
      <c r="M33">
        <v>4</v>
      </c>
      <c r="N33">
        <v>5</v>
      </c>
      <c r="O33">
        <v>6</v>
      </c>
      <c r="P33" t="b">
        <f>IF(EPe_BA_intern_assesment_Raw_data___Sheet13[[#This Row],[Customer Rating]]&gt;8,EPe_BA_intern_assesment_Raw_data___Sheet13[[#This Row],[Customer Rating]])</f>
        <v>0</v>
      </c>
      <c r="Q33" t="str">
        <f>IF(AND(EPe_BA_intern_assesment_Raw_data___Sheet13[[#This Row],[Customer Rating]]&gt;6,EPe_BA_intern_assesment_Raw_data___Sheet13[[#This Row],[Customer Rating]]&lt;9), EPe_BA_intern_assesment_Raw_data___Sheet13[[#This Row],[Customer Rating]], "")</f>
        <v/>
      </c>
      <c r="R33">
        <f>IF(EPe_BA_intern_assesment_Raw_data___Sheet13[[#This Row],[Customer Rating]]&lt;7,EPe_BA_intern_assesment_Raw_data___Sheet13[[#This Row],[Customer Rating]])</f>
        <v>5</v>
      </c>
    </row>
    <row r="34" spans="1:18" x14ac:dyDescent="0.3">
      <c r="A34" t="s">
        <v>60</v>
      </c>
      <c r="B34" t="s">
        <v>16</v>
      </c>
      <c r="C34" t="s">
        <v>17</v>
      </c>
      <c r="D34" s="1">
        <v>45957</v>
      </c>
      <c r="E34" s="1">
        <v>45961</v>
      </c>
      <c r="F34" s="1">
        <v>45966</v>
      </c>
      <c r="G34" s="1">
        <v>45970</v>
      </c>
      <c r="H34" t="s">
        <v>18</v>
      </c>
      <c r="I34" t="s">
        <v>19</v>
      </c>
      <c r="J34" s="1">
        <v>45984</v>
      </c>
      <c r="K34">
        <v>4</v>
      </c>
      <c r="L34">
        <v>5</v>
      </c>
      <c r="M34">
        <v>4</v>
      </c>
      <c r="N34">
        <v>3</v>
      </c>
      <c r="O34">
        <v>13</v>
      </c>
      <c r="P34" t="b">
        <f>IF(EPe_BA_intern_assesment_Raw_data___Sheet13[[#This Row],[Customer Rating]]&gt;8,EPe_BA_intern_assesment_Raw_data___Sheet13[[#This Row],[Customer Rating]])</f>
        <v>0</v>
      </c>
      <c r="Q34" t="str">
        <f>IF(AND(EPe_BA_intern_assesment_Raw_data___Sheet13[[#This Row],[Customer Rating]]&gt;6,EPe_BA_intern_assesment_Raw_data___Sheet13[[#This Row],[Customer Rating]]&lt;9), EPe_BA_intern_assesment_Raw_data___Sheet13[[#This Row],[Customer Rating]], "")</f>
        <v/>
      </c>
      <c r="R34">
        <f>IF(EPe_BA_intern_assesment_Raw_data___Sheet13[[#This Row],[Customer Rating]]&lt;7,EPe_BA_intern_assesment_Raw_data___Sheet13[[#This Row],[Customer Rating]])</f>
        <v>3</v>
      </c>
    </row>
    <row r="35" spans="1:18" x14ac:dyDescent="0.3">
      <c r="A35" t="s">
        <v>61</v>
      </c>
      <c r="B35" t="s">
        <v>21</v>
      </c>
      <c r="C35" t="s">
        <v>17</v>
      </c>
      <c r="D35" s="1">
        <v>45954</v>
      </c>
      <c r="E35" s="1">
        <v>45957</v>
      </c>
      <c r="F35" s="1">
        <v>45958</v>
      </c>
      <c r="G35" s="1">
        <v>45961</v>
      </c>
      <c r="H35" t="s">
        <v>18</v>
      </c>
      <c r="I35" t="s">
        <v>19</v>
      </c>
      <c r="J35" s="1">
        <v>45974</v>
      </c>
      <c r="K35">
        <v>3</v>
      </c>
      <c r="L35">
        <v>1</v>
      </c>
      <c r="M35">
        <v>3</v>
      </c>
      <c r="N35">
        <v>3</v>
      </c>
      <c r="O35">
        <v>7</v>
      </c>
      <c r="P35" t="b">
        <f>IF(EPe_BA_intern_assesment_Raw_data___Sheet13[[#This Row],[Customer Rating]]&gt;8,EPe_BA_intern_assesment_Raw_data___Sheet13[[#This Row],[Customer Rating]])</f>
        <v>0</v>
      </c>
      <c r="Q35" t="str">
        <f>IF(AND(EPe_BA_intern_assesment_Raw_data___Sheet13[[#This Row],[Customer Rating]]&gt;6,EPe_BA_intern_assesment_Raw_data___Sheet13[[#This Row],[Customer Rating]]&lt;9), EPe_BA_intern_assesment_Raw_data___Sheet13[[#This Row],[Customer Rating]], "")</f>
        <v/>
      </c>
      <c r="R35">
        <f>IF(EPe_BA_intern_assesment_Raw_data___Sheet13[[#This Row],[Customer Rating]]&lt;7,EPe_BA_intern_assesment_Raw_data___Sheet13[[#This Row],[Customer Rating]])</f>
        <v>3</v>
      </c>
    </row>
    <row r="36" spans="1:18" x14ac:dyDescent="0.3">
      <c r="A36" t="s">
        <v>62</v>
      </c>
      <c r="B36" t="s">
        <v>23</v>
      </c>
      <c r="C36" t="s">
        <v>24</v>
      </c>
      <c r="D36" s="1">
        <v>45949</v>
      </c>
      <c r="E36" s="1"/>
      <c r="F36" s="1"/>
      <c r="G36" s="1"/>
      <c r="H36" t="s">
        <v>25</v>
      </c>
      <c r="I36" t="s">
        <v>28</v>
      </c>
      <c r="J36" s="1"/>
      <c r="P36" t="b">
        <f>IF(EPe_BA_intern_assesment_Raw_data___Sheet13[[#This Row],[Customer Rating]]&gt;8,EPe_BA_intern_assesment_Raw_data___Sheet13[[#This Row],[Customer Rating]])</f>
        <v>0</v>
      </c>
      <c r="Q36" t="str">
        <f>IF(AND(EPe_BA_intern_assesment_Raw_data___Sheet13[[#This Row],[Customer Rating]]&gt;6,EPe_BA_intern_assesment_Raw_data___Sheet13[[#This Row],[Customer Rating]]&lt;9), EPe_BA_intern_assesment_Raw_data___Sheet13[[#This Row],[Customer Rating]], "")</f>
        <v/>
      </c>
      <c r="R36">
        <f>IF(EPe_BA_intern_assesment_Raw_data___Sheet13[[#This Row],[Customer Rating]]&lt;7,EPe_BA_intern_assesment_Raw_data___Sheet13[[#This Row],[Customer Rating]])</f>
        <v>0</v>
      </c>
    </row>
    <row r="37" spans="1:18" x14ac:dyDescent="0.3">
      <c r="A37" t="s">
        <v>63</v>
      </c>
      <c r="B37" t="s">
        <v>23</v>
      </c>
      <c r="C37" t="s">
        <v>17</v>
      </c>
      <c r="D37" s="1">
        <v>45939</v>
      </c>
      <c r="E37" s="1">
        <v>45943</v>
      </c>
      <c r="F37" s="1">
        <v>45945</v>
      </c>
      <c r="G37" s="1">
        <v>45950</v>
      </c>
      <c r="H37" t="s">
        <v>18</v>
      </c>
      <c r="I37" t="s">
        <v>19</v>
      </c>
      <c r="J37" s="1">
        <v>45976</v>
      </c>
      <c r="K37">
        <v>4</v>
      </c>
      <c r="L37">
        <v>2</v>
      </c>
      <c r="M37">
        <v>5</v>
      </c>
      <c r="N37">
        <v>9</v>
      </c>
      <c r="O37">
        <v>11</v>
      </c>
      <c r="P37">
        <f>IF(EPe_BA_intern_assesment_Raw_data___Sheet13[[#This Row],[Customer Rating]]&gt;8,EPe_BA_intern_assesment_Raw_data___Sheet13[[#This Row],[Customer Rating]])</f>
        <v>9</v>
      </c>
      <c r="Q37" t="str">
        <f>IF(AND(EPe_BA_intern_assesment_Raw_data___Sheet13[[#This Row],[Customer Rating]]&gt;6,EPe_BA_intern_assesment_Raw_data___Sheet13[[#This Row],[Customer Rating]]&lt;9), EPe_BA_intern_assesment_Raw_data___Sheet13[[#This Row],[Customer Rating]], "")</f>
        <v/>
      </c>
      <c r="R37" t="b">
        <f>IF(EPe_BA_intern_assesment_Raw_data___Sheet13[[#This Row],[Customer Rating]]&lt;7,EPe_BA_intern_assesment_Raw_data___Sheet13[[#This Row],[Customer Rating]])</f>
        <v>0</v>
      </c>
    </row>
    <row r="38" spans="1:18" x14ac:dyDescent="0.3">
      <c r="A38" t="s">
        <v>64</v>
      </c>
      <c r="B38" t="s">
        <v>16</v>
      </c>
      <c r="C38" t="s">
        <v>17</v>
      </c>
      <c r="D38" s="1">
        <v>45941</v>
      </c>
      <c r="E38" s="1">
        <v>45942</v>
      </c>
      <c r="F38" s="1">
        <v>45943</v>
      </c>
      <c r="G38" s="1">
        <v>45945</v>
      </c>
      <c r="H38" t="s">
        <v>25</v>
      </c>
      <c r="I38" t="s">
        <v>65</v>
      </c>
      <c r="J38" s="1"/>
      <c r="K38">
        <v>1</v>
      </c>
      <c r="L38">
        <v>1</v>
      </c>
      <c r="M38">
        <v>2</v>
      </c>
      <c r="O38">
        <v>4</v>
      </c>
      <c r="P38" t="b">
        <f>IF(EPe_BA_intern_assesment_Raw_data___Sheet13[[#This Row],[Customer Rating]]&gt;8,EPe_BA_intern_assesment_Raw_data___Sheet13[[#This Row],[Customer Rating]])</f>
        <v>0</v>
      </c>
      <c r="Q38" t="str">
        <f>IF(AND(EPe_BA_intern_assesment_Raw_data___Sheet13[[#This Row],[Customer Rating]]&gt;6,EPe_BA_intern_assesment_Raw_data___Sheet13[[#This Row],[Customer Rating]]&lt;9), EPe_BA_intern_assesment_Raw_data___Sheet13[[#This Row],[Customer Rating]], "")</f>
        <v/>
      </c>
      <c r="R38">
        <f>IF(EPe_BA_intern_assesment_Raw_data___Sheet13[[#This Row],[Customer Rating]]&lt;7,EPe_BA_intern_assesment_Raw_data___Sheet13[[#This Row],[Customer Rating]])</f>
        <v>0</v>
      </c>
    </row>
    <row r="39" spans="1:18" x14ac:dyDescent="0.3">
      <c r="A39" t="s">
        <v>66</v>
      </c>
      <c r="B39" t="s">
        <v>16</v>
      </c>
      <c r="C39" t="s">
        <v>17</v>
      </c>
      <c r="D39" s="1">
        <v>45958</v>
      </c>
      <c r="E39" s="1">
        <v>45961</v>
      </c>
      <c r="F39" s="1">
        <v>45965</v>
      </c>
      <c r="G39" s="1">
        <v>45969</v>
      </c>
      <c r="H39" t="s">
        <v>18</v>
      </c>
      <c r="I39" t="s">
        <v>19</v>
      </c>
      <c r="J39" s="1">
        <v>45990</v>
      </c>
      <c r="K39">
        <v>3</v>
      </c>
      <c r="L39">
        <v>4</v>
      </c>
      <c r="M39">
        <v>4</v>
      </c>
      <c r="N39">
        <v>2</v>
      </c>
      <c r="O39">
        <v>11</v>
      </c>
      <c r="P39" t="b">
        <f>IF(EPe_BA_intern_assesment_Raw_data___Sheet13[[#This Row],[Customer Rating]]&gt;8,EPe_BA_intern_assesment_Raw_data___Sheet13[[#This Row],[Customer Rating]])</f>
        <v>0</v>
      </c>
      <c r="Q39" t="str">
        <f>IF(AND(EPe_BA_intern_assesment_Raw_data___Sheet13[[#This Row],[Customer Rating]]&gt;6,EPe_BA_intern_assesment_Raw_data___Sheet13[[#This Row],[Customer Rating]]&lt;9), EPe_BA_intern_assesment_Raw_data___Sheet13[[#This Row],[Customer Rating]], "")</f>
        <v/>
      </c>
      <c r="R39">
        <f>IF(EPe_BA_intern_assesment_Raw_data___Sheet13[[#This Row],[Customer Rating]]&lt;7,EPe_BA_intern_assesment_Raw_data___Sheet13[[#This Row],[Customer Rating]])</f>
        <v>2</v>
      </c>
    </row>
    <row r="40" spans="1:18" x14ac:dyDescent="0.3">
      <c r="A40" t="s">
        <v>67</v>
      </c>
      <c r="B40" t="s">
        <v>16</v>
      </c>
      <c r="C40" t="s">
        <v>17</v>
      </c>
      <c r="D40" s="1">
        <v>45938</v>
      </c>
      <c r="E40" s="1">
        <v>45943</v>
      </c>
      <c r="F40" s="1">
        <v>45946</v>
      </c>
      <c r="G40" s="1">
        <v>45953</v>
      </c>
      <c r="H40" t="s">
        <v>18</v>
      </c>
      <c r="I40" t="s">
        <v>19</v>
      </c>
      <c r="J40" s="1">
        <v>45965</v>
      </c>
      <c r="K40">
        <v>5</v>
      </c>
      <c r="L40">
        <v>3</v>
      </c>
      <c r="M40">
        <v>7</v>
      </c>
      <c r="N40">
        <v>9</v>
      </c>
      <c r="O40">
        <v>15</v>
      </c>
      <c r="P40">
        <f>IF(EPe_BA_intern_assesment_Raw_data___Sheet13[[#This Row],[Customer Rating]]&gt;8,EPe_BA_intern_assesment_Raw_data___Sheet13[[#This Row],[Customer Rating]])</f>
        <v>9</v>
      </c>
      <c r="Q40" t="str">
        <f>IF(AND(EPe_BA_intern_assesment_Raw_data___Sheet13[[#This Row],[Customer Rating]]&gt;6,EPe_BA_intern_assesment_Raw_data___Sheet13[[#This Row],[Customer Rating]]&lt;9), EPe_BA_intern_assesment_Raw_data___Sheet13[[#This Row],[Customer Rating]], "")</f>
        <v/>
      </c>
      <c r="R40" t="b">
        <f>IF(EPe_BA_intern_assesment_Raw_data___Sheet13[[#This Row],[Customer Rating]]&lt;7,EPe_BA_intern_assesment_Raw_data___Sheet13[[#This Row],[Customer Rating]])</f>
        <v>0</v>
      </c>
    </row>
    <row r="41" spans="1:18" x14ac:dyDescent="0.3">
      <c r="A41" t="s">
        <v>68</v>
      </c>
      <c r="B41" t="s">
        <v>21</v>
      </c>
      <c r="C41" t="s">
        <v>17</v>
      </c>
      <c r="D41" s="1">
        <v>45957</v>
      </c>
      <c r="E41" s="1">
        <v>45960</v>
      </c>
      <c r="F41" s="1">
        <v>45964</v>
      </c>
      <c r="G41" s="1">
        <v>45969</v>
      </c>
      <c r="H41" t="s">
        <v>25</v>
      </c>
      <c r="I41" t="s">
        <v>26</v>
      </c>
      <c r="J41" s="1"/>
      <c r="K41">
        <v>3</v>
      </c>
      <c r="L41">
        <v>4</v>
      </c>
      <c r="M41">
        <v>5</v>
      </c>
      <c r="O41">
        <v>12</v>
      </c>
      <c r="P41" t="b">
        <f>IF(EPe_BA_intern_assesment_Raw_data___Sheet13[[#This Row],[Customer Rating]]&gt;8,EPe_BA_intern_assesment_Raw_data___Sheet13[[#This Row],[Customer Rating]])</f>
        <v>0</v>
      </c>
      <c r="Q41" t="str">
        <f>IF(AND(EPe_BA_intern_assesment_Raw_data___Sheet13[[#This Row],[Customer Rating]]&gt;6,EPe_BA_intern_assesment_Raw_data___Sheet13[[#This Row],[Customer Rating]]&lt;9), EPe_BA_intern_assesment_Raw_data___Sheet13[[#This Row],[Customer Rating]], "")</f>
        <v/>
      </c>
      <c r="R41">
        <f>IF(EPe_BA_intern_assesment_Raw_data___Sheet13[[#This Row],[Customer Rating]]&lt;7,EPe_BA_intern_assesment_Raw_data___Sheet13[[#This Row],[Customer Rating]])</f>
        <v>0</v>
      </c>
    </row>
    <row r="42" spans="1:18" x14ac:dyDescent="0.3">
      <c r="A42" t="s">
        <v>69</v>
      </c>
      <c r="B42" t="s">
        <v>16</v>
      </c>
      <c r="C42" t="s">
        <v>24</v>
      </c>
      <c r="D42" s="1">
        <v>45960</v>
      </c>
      <c r="E42" s="1"/>
      <c r="F42" s="1"/>
      <c r="G42" s="1"/>
      <c r="H42" t="s">
        <v>25</v>
      </c>
      <c r="I42" t="s">
        <v>28</v>
      </c>
      <c r="J42" s="1"/>
      <c r="P42" t="b">
        <f>IF(EPe_BA_intern_assesment_Raw_data___Sheet13[[#This Row],[Customer Rating]]&gt;8,EPe_BA_intern_assesment_Raw_data___Sheet13[[#This Row],[Customer Rating]])</f>
        <v>0</v>
      </c>
      <c r="Q42" t="str">
        <f>IF(AND(EPe_BA_intern_assesment_Raw_data___Sheet13[[#This Row],[Customer Rating]]&gt;6,EPe_BA_intern_assesment_Raw_data___Sheet13[[#This Row],[Customer Rating]]&lt;9), EPe_BA_intern_assesment_Raw_data___Sheet13[[#This Row],[Customer Rating]], "")</f>
        <v/>
      </c>
      <c r="R42">
        <f>IF(EPe_BA_intern_assesment_Raw_data___Sheet13[[#This Row],[Customer Rating]]&lt;7,EPe_BA_intern_assesment_Raw_data___Sheet13[[#This Row],[Customer Rating]])</f>
        <v>0</v>
      </c>
    </row>
    <row r="43" spans="1:18" x14ac:dyDescent="0.3">
      <c r="A43" t="s">
        <v>70</v>
      </c>
      <c r="B43" t="s">
        <v>23</v>
      </c>
      <c r="C43" t="s">
        <v>17</v>
      </c>
      <c r="D43" s="1">
        <v>45933</v>
      </c>
      <c r="E43" s="1">
        <v>45936</v>
      </c>
      <c r="F43" s="1">
        <v>45938</v>
      </c>
      <c r="G43" s="1">
        <v>45944</v>
      </c>
      <c r="H43" t="s">
        <v>18</v>
      </c>
      <c r="I43" t="s">
        <v>19</v>
      </c>
      <c r="J43" s="1">
        <v>45965</v>
      </c>
      <c r="K43">
        <v>3</v>
      </c>
      <c r="L43">
        <v>2</v>
      </c>
      <c r="M43">
        <v>6</v>
      </c>
      <c r="N43">
        <v>6</v>
      </c>
      <c r="O43">
        <v>11</v>
      </c>
      <c r="P43" t="b">
        <f>IF(EPe_BA_intern_assesment_Raw_data___Sheet13[[#This Row],[Customer Rating]]&gt;8,EPe_BA_intern_assesment_Raw_data___Sheet13[[#This Row],[Customer Rating]])</f>
        <v>0</v>
      </c>
      <c r="Q43" t="str">
        <f>IF(AND(EPe_BA_intern_assesment_Raw_data___Sheet13[[#This Row],[Customer Rating]]&gt;6,EPe_BA_intern_assesment_Raw_data___Sheet13[[#This Row],[Customer Rating]]&lt;9), EPe_BA_intern_assesment_Raw_data___Sheet13[[#This Row],[Customer Rating]], "")</f>
        <v/>
      </c>
      <c r="R43">
        <f>IF(EPe_BA_intern_assesment_Raw_data___Sheet13[[#This Row],[Customer Rating]]&lt;7,EPe_BA_intern_assesment_Raw_data___Sheet13[[#This Row],[Customer Rating]])</f>
        <v>6</v>
      </c>
    </row>
    <row r="44" spans="1:18" x14ac:dyDescent="0.3">
      <c r="A44" t="s">
        <v>71</v>
      </c>
      <c r="B44" t="s">
        <v>23</v>
      </c>
      <c r="C44" t="s">
        <v>17</v>
      </c>
      <c r="D44" s="1">
        <v>45939</v>
      </c>
      <c r="E44" s="1">
        <v>45940</v>
      </c>
      <c r="F44" s="1">
        <v>45944</v>
      </c>
      <c r="G44" s="1">
        <v>45951</v>
      </c>
      <c r="H44" t="s">
        <v>18</v>
      </c>
      <c r="I44" t="s">
        <v>19</v>
      </c>
      <c r="J44" s="1">
        <v>45973</v>
      </c>
      <c r="K44">
        <v>1</v>
      </c>
      <c r="L44">
        <v>4</v>
      </c>
      <c r="M44">
        <v>7</v>
      </c>
      <c r="N44">
        <v>7</v>
      </c>
      <c r="O44">
        <v>12</v>
      </c>
      <c r="P44" t="b">
        <f>IF(EPe_BA_intern_assesment_Raw_data___Sheet13[[#This Row],[Customer Rating]]&gt;8,EPe_BA_intern_assesment_Raw_data___Sheet13[[#This Row],[Customer Rating]])</f>
        <v>0</v>
      </c>
      <c r="Q44">
        <f>IF(AND(EPe_BA_intern_assesment_Raw_data___Sheet13[[#This Row],[Customer Rating]]&gt;6,EPe_BA_intern_assesment_Raw_data___Sheet13[[#This Row],[Customer Rating]]&lt;9), EPe_BA_intern_assesment_Raw_data___Sheet13[[#This Row],[Customer Rating]], "")</f>
        <v>7</v>
      </c>
      <c r="R44" t="b">
        <f>IF(EPe_BA_intern_assesment_Raw_data___Sheet13[[#This Row],[Customer Rating]]&lt;7,EPe_BA_intern_assesment_Raw_data___Sheet13[[#This Row],[Customer Rating]])</f>
        <v>0</v>
      </c>
    </row>
    <row r="45" spans="1:18" x14ac:dyDescent="0.3">
      <c r="A45" t="s">
        <v>72</v>
      </c>
      <c r="B45" t="s">
        <v>16</v>
      </c>
      <c r="C45" t="s">
        <v>24</v>
      </c>
      <c r="D45" s="1">
        <v>45959</v>
      </c>
      <c r="E45" s="1"/>
      <c r="F45" s="1"/>
      <c r="G45" s="1"/>
      <c r="H45" t="s">
        <v>25</v>
      </c>
      <c r="I45" t="s">
        <v>35</v>
      </c>
      <c r="J45" s="1"/>
      <c r="P45" t="b">
        <f>IF(EPe_BA_intern_assesment_Raw_data___Sheet13[[#This Row],[Customer Rating]]&gt;8,EPe_BA_intern_assesment_Raw_data___Sheet13[[#This Row],[Customer Rating]])</f>
        <v>0</v>
      </c>
      <c r="Q45" t="str">
        <f>IF(AND(EPe_BA_intern_assesment_Raw_data___Sheet13[[#This Row],[Customer Rating]]&gt;6,EPe_BA_intern_assesment_Raw_data___Sheet13[[#This Row],[Customer Rating]]&lt;9), EPe_BA_intern_assesment_Raw_data___Sheet13[[#This Row],[Customer Rating]], "")</f>
        <v/>
      </c>
      <c r="R45">
        <f>IF(EPe_BA_intern_assesment_Raw_data___Sheet13[[#This Row],[Customer Rating]]&lt;7,EPe_BA_intern_assesment_Raw_data___Sheet13[[#This Row],[Customer Rating]])</f>
        <v>0</v>
      </c>
    </row>
    <row r="46" spans="1:18" x14ac:dyDescent="0.3">
      <c r="A46" t="s">
        <v>73</v>
      </c>
      <c r="B46" t="s">
        <v>16</v>
      </c>
      <c r="C46" t="s">
        <v>32</v>
      </c>
      <c r="D46" s="1">
        <v>45945</v>
      </c>
      <c r="E46" s="1">
        <v>45950</v>
      </c>
      <c r="F46" s="1">
        <v>45952</v>
      </c>
      <c r="G46" s="1">
        <v>45956</v>
      </c>
      <c r="H46" t="s">
        <v>18</v>
      </c>
      <c r="I46" t="s">
        <v>19</v>
      </c>
      <c r="J46" s="1">
        <v>45984</v>
      </c>
      <c r="K46">
        <v>5</v>
      </c>
      <c r="L46">
        <v>2</v>
      </c>
      <c r="M46">
        <v>4</v>
      </c>
      <c r="N46">
        <v>8</v>
      </c>
      <c r="O46">
        <v>11</v>
      </c>
      <c r="P46" t="b">
        <f>IF(EPe_BA_intern_assesment_Raw_data___Sheet13[[#This Row],[Customer Rating]]&gt;8,EPe_BA_intern_assesment_Raw_data___Sheet13[[#This Row],[Customer Rating]])</f>
        <v>0</v>
      </c>
      <c r="Q46">
        <f>IF(AND(EPe_BA_intern_assesment_Raw_data___Sheet13[[#This Row],[Customer Rating]]&gt;6,EPe_BA_intern_assesment_Raw_data___Sheet13[[#This Row],[Customer Rating]]&lt;9), EPe_BA_intern_assesment_Raw_data___Sheet13[[#This Row],[Customer Rating]], "")</f>
        <v>8</v>
      </c>
      <c r="R46" t="b">
        <f>IF(EPe_BA_intern_assesment_Raw_data___Sheet13[[#This Row],[Customer Rating]]&lt;7,EPe_BA_intern_assesment_Raw_data___Sheet13[[#This Row],[Customer Rating]])</f>
        <v>0</v>
      </c>
    </row>
    <row r="47" spans="1:18" x14ac:dyDescent="0.3">
      <c r="A47" t="s">
        <v>74</v>
      </c>
      <c r="B47" t="s">
        <v>34</v>
      </c>
      <c r="C47" t="s">
        <v>32</v>
      </c>
      <c r="D47" s="1">
        <v>45938</v>
      </c>
      <c r="E47" s="1">
        <v>45943</v>
      </c>
      <c r="F47" s="1">
        <v>45947</v>
      </c>
      <c r="G47" s="1">
        <v>45953</v>
      </c>
      <c r="H47" t="s">
        <v>18</v>
      </c>
      <c r="I47" t="s">
        <v>19</v>
      </c>
      <c r="J47" s="1">
        <v>45966</v>
      </c>
      <c r="K47">
        <v>5</v>
      </c>
      <c r="L47">
        <v>4</v>
      </c>
      <c r="M47">
        <v>6</v>
      </c>
      <c r="N47">
        <v>3</v>
      </c>
      <c r="O47">
        <v>15</v>
      </c>
      <c r="P47" t="b">
        <f>IF(EPe_BA_intern_assesment_Raw_data___Sheet13[[#This Row],[Customer Rating]]&gt;8,EPe_BA_intern_assesment_Raw_data___Sheet13[[#This Row],[Customer Rating]])</f>
        <v>0</v>
      </c>
      <c r="Q47" t="str">
        <f>IF(AND(EPe_BA_intern_assesment_Raw_data___Sheet13[[#This Row],[Customer Rating]]&gt;6,EPe_BA_intern_assesment_Raw_data___Sheet13[[#This Row],[Customer Rating]]&lt;9), EPe_BA_intern_assesment_Raw_data___Sheet13[[#This Row],[Customer Rating]], "")</f>
        <v/>
      </c>
      <c r="R47">
        <f>IF(EPe_BA_intern_assesment_Raw_data___Sheet13[[#This Row],[Customer Rating]]&lt;7,EPe_BA_intern_assesment_Raw_data___Sheet13[[#This Row],[Customer Rating]])</f>
        <v>3</v>
      </c>
    </row>
    <row r="48" spans="1:18" x14ac:dyDescent="0.3">
      <c r="A48" t="s">
        <v>75</v>
      </c>
      <c r="B48" t="s">
        <v>23</v>
      </c>
      <c r="C48" t="s">
        <v>17</v>
      </c>
      <c r="D48" s="1">
        <v>45955</v>
      </c>
      <c r="E48" s="1">
        <v>45957</v>
      </c>
      <c r="F48" s="1">
        <v>45962</v>
      </c>
      <c r="G48" s="1">
        <v>45967</v>
      </c>
      <c r="H48" t="s">
        <v>18</v>
      </c>
      <c r="I48" t="s">
        <v>19</v>
      </c>
      <c r="J48" s="1">
        <v>45987</v>
      </c>
      <c r="K48">
        <v>2</v>
      </c>
      <c r="L48">
        <v>5</v>
      </c>
      <c r="M48">
        <v>5</v>
      </c>
      <c r="N48">
        <v>5</v>
      </c>
      <c r="O48">
        <v>12</v>
      </c>
      <c r="P48" t="b">
        <f>IF(EPe_BA_intern_assesment_Raw_data___Sheet13[[#This Row],[Customer Rating]]&gt;8,EPe_BA_intern_assesment_Raw_data___Sheet13[[#This Row],[Customer Rating]])</f>
        <v>0</v>
      </c>
      <c r="Q48" t="str">
        <f>IF(AND(EPe_BA_intern_assesment_Raw_data___Sheet13[[#This Row],[Customer Rating]]&gt;6,EPe_BA_intern_assesment_Raw_data___Sheet13[[#This Row],[Customer Rating]]&lt;9), EPe_BA_intern_assesment_Raw_data___Sheet13[[#This Row],[Customer Rating]], "")</f>
        <v/>
      </c>
      <c r="R48">
        <f>IF(EPe_BA_intern_assesment_Raw_data___Sheet13[[#This Row],[Customer Rating]]&lt;7,EPe_BA_intern_assesment_Raw_data___Sheet13[[#This Row],[Customer Rating]])</f>
        <v>5</v>
      </c>
    </row>
    <row r="49" spans="1:18" x14ac:dyDescent="0.3">
      <c r="A49" t="s">
        <v>76</v>
      </c>
      <c r="B49" t="s">
        <v>21</v>
      </c>
      <c r="C49" t="s">
        <v>24</v>
      </c>
      <c r="D49" s="1">
        <v>45945</v>
      </c>
      <c r="E49" s="1"/>
      <c r="F49" s="1"/>
      <c r="G49" s="1"/>
      <c r="H49" t="s">
        <v>25</v>
      </c>
      <c r="I49" t="s">
        <v>28</v>
      </c>
      <c r="J49" s="1"/>
      <c r="P49" t="b">
        <f>IF(EPe_BA_intern_assesment_Raw_data___Sheet13[[#This Row],[Customer Rating]]&gt;8,EPe_BA_intern_assesment_Raw_data___Sheet13[[#This Row],[Customer Rating]])</f>
        <v>0</v>
      </c>
      <c r="Q49" t="str">
        <f>IF(AND(EPe_BA_intern_assesment_Raw_data___Sheet13[[#This Row],[Customer Rating]]&gt;6,EPe_BA_intern_assesment_Raw_data___Sheet13[[#This Row],[Customer Rating]]&lt;9), EPe_BA_intern_assesment_Raw_data___Sheet13[[#This Row],[Customer Rating]], "")</f>
        <v/>
      </c>
      <c r="R49">
        <f>IF(EPe_BA_intern_assesment_Raw_data___Sheet13[[#This Row],[Customer Rating]]&lt;7,EPe_BA_intern_assesment_Raw_data___Sheet13[[#This Row],[Customer Rating]])</f>
        <v>0</v>
      </c>
    </row>
    <row r="50" spans="1:18" x14ac:dyDescent="0.3">
      <c r="A50" t="s">
        <v>77</v>
      </c>
      <c r="B50" t="s">
        <v>34</v>
      </c>
      <c r="C50" t="s">
        <v>32</v>
      </c>
      <c r="D50" s="1">
        <v>45949</v>
      </c>
      <c r="E50" s="1">
        <v>45951</v>
      </c>
      <c r="F50" s="1">
        <v>45956</v>
      </c>
      <c r="G50" s="1">
        <v>45962</v>
      </c>
      <c r="H50" t="s">
        <v>18</v>
      </c>
      <c r="I50" t="s">
        <v>19</v>
      </c>
      <c r="J50" s="1">
        <v>45981</v>
      </c>
      <c r="K50">
        <v>2</v>
      </c>
      <c r="L50">
        <v>5</v>
      </c>
      <c r="M50">
        <v>6</v>
      </c>
      <c r="N50">
        <v>0</v>
      </c>
      <c r="O50">
        <v>13</v>
      </c>
      <c r="P50" t="b">
        <f>IF(EPe_BA_intern_assesment_Raw_data___Sheet13[[#This Row],[Customer Rating]]&gt;8,EPe_BA_intern_assesment_Raw_data___Sheet13[[#This Row],[Customer Rating]])</f>
        <v>0</v>
      </c>
      <c r="Q50" t="str">
        <f>IF(AND(EPe_BA_intern_assesment_Raw_data___Sheet13[[#This Row],[Customer Rating]]&gt;6,EPe_BA_intern_assesment_Raw_data___Sheet13[[#This Row],[Customer Rating]]&lt;9), EPe_BA_intern_assesment_Raw_data___Sheet13[[#This Row],[Customer Rating]], "")</f>
        <v/>
      </c>
      <c r="R50">
        <f>IF(EPe_BA_intern_assesment_Raw_data___Sheet13[[#This Row],[Customer Rating]]&lt;7,EPe_BA_intern_assesment_Raw_data___Sheet13[[#This Row],[Customer Rating]])</f>
        <v>0</v>
      </c>
    </row>
    <row r="51" spans="1:18" x14ac:dyDescent="0.3">
      <c r="A51" t="s">
        <v>78</v>
      </c>
      <c r="B51" t="s">
        <v>16</v>
      </c>
      <c r="C51" t="s">
        <v>32</v>
      </c>
      <c r="D51" s="1">
        <v>45950</v>
      </c>
      <c r="E51" s="1">
        <v>45954</v>
      </c>
      <c r="F51" s="1">
        <v>45958</v>
      </c>
      <c r="G51" s="1">
        <v>45963</v>
      </c>
      <c r="H51" t="s">
        <v>18</v>
      </c>
      <c r="I51" t="s">
        <v>19</v>
      </c>
      <c r="J51" s="1">
        <v>45983</v>
      </c>
      <c r="K51">
        <v>4</v>
      </c>
      <c r="L51">
        <v>4</v>
      </c>
      <c r="M51">
        <v>5</v>
      </c>
      <c r="N51">
        <v>6</v>
      </c>
      <c r="O51">
        <v>13</v>
      </c>
      <c r="P51" t="b">
        <f>IF(EPe_BA_intern_assesment_Raw_data___Sheet13[[#This Row],[Customer Rating]]&gt;8,EPe_BA_intern_assesment_Raw_data___Sheet13[[#This Row],[Customer Rating]])</f>
        <v>0</v>
      </c>
      <c r="Q51" t="str">
        <f>IF(AND(EPe_BA_intern_assesment_Raw_data___Sheet13[[#This Row],[Customer Rating]]&gt;6,EPe_BA_intern_assesment_Raw_data___Sheet13[[#This Row],[Customer Rating]]&lt;9), EPe_BA_intern_assesment_Raw_data___Sheet13[[#This Row],[Customer Rating]], "")</f>
        <v/>
      </c>
      <c r="R51">
        <f>IF(EPe_BA_intern_assesment_Raw_data___Sheet13[[#This Row],[Customer Rating]]&lt;7,EPe_BA_intern_assesment_Raw_data___Sheet13[[#This Row],[Customer Rating]])</f>
        <v>6</v>
      </c>
    </row>
    <row r="52" spans="1:18" x14ac:dyDescent="0.3">
      <c r="A52" t="s">
        <v>79</v>
      </c>
      <c r="B52" t="s">
        <v>16</v>
      </c>
      <c r="C52" t="s">
        <v>32</v>
      </c>
      <c r="D52" s="1">
        <v>45952</v>
      </c>
      <c r="E52" s="1">
        <v>45954</v>
      </c>
      <c r="F52" s="1">
        <v>45955</v>
      </c>
      <c r="G52" s="1">
        <v>45961</v>
      </c>
      <c r="H52" t="s">
        <v>18</v>
      </c>
      <c r="I52" t="s">
        <v>19</v>
      </c>
      <c r="J52" s="1">
        <v>45975</v>
      </c>
      <c r="K52">
        <v>2</v>
      </c>
      <c r="L52">
        <v>1</v>
      </c>
      <c r="M52">
        <v>6</v>
      </c>
      <c r="N52">
        <v>6</v>
      </c>
      <c r="O52">
        <v>9</v>
      </c>
      <c r="P52" t="b">
        <f>IF(EPe_BA_intern_assesment_Raw_data___Sheet13[[#This Row],[Customer Rating]]&gt;8,EPe_BA_intern_assesment_Raw_data___Sheet13[[#This Row],[Customer Rating]])</f>
        <v>0</v>
      </c>
      <c r="Q52" t="str">
        <f>IF(AND(EPe_BA_intern_assesment_Raw_data___Sheet13[[#This Row],[Customer Rating]]&gt;6,EPe_BA_intern_assesment_Raw_data___Sheet13[[#This Row],[Customer Rating]]&lt;9), EPe_BA_intern_assesment_Raw_data___Sheet13[[#This Row],[Customer Rating]], "")</f>
        <v/>
      </c>
      <c r="R52">
        <f>IF(EPe_BA_intern_assesment_Raw_data___Sheet13[[#This Row],[Customer Rating]]&lt;7,EPe_BA_intern_assesment_Raw_data___Sheet13[[#This Row],[Customer Rating]])</f>
        <v>6</v>
      </c>
    </row>
    <row r="53" spans="1:18" x14ac:dyDescent="0.3">
      <c r="A53" t="s">
        <v>80</v>
      </c>
      <c r="B53" t="s">
        <v>23</v>
      </c>
      <c r="C53" t="s">
        <v>32</v>
      </c>
      <c r="D53" s="1">
        <v>45943</v>
      </c>
      <c r="E53" s="1">
        <v>45944</v>
      </c>
      <c r="F53" s="1">
        <v>45946</v>
      </c>
      <c r="G53" s="1">
        <v>45948</v>
      </c>
      <c r="H53" t="s">
        <v>18</v>
      </c>
      <c r="I53" t="s">
        <v>19</v>
      </c>
      <c r="J53" s="1">
        <v>45963</v>
      </c>
      <c r="K53">
        <v>1</v>
      </c>
      <c r="L53">
        <v>2</v>
      </c>
      <c r="M53">
        <v>2</v>
      </c>
      <c r="N53">
        <v>6</v>
      </c>
      <c r="O53">
        <v>5</v>
      </c>
      <c r="P53" t="b">
        <f>IF(EPe_BA_intern_assesment_Raw_data___Sheet13[[#This Row],[Customer Rating]]&gt;8,EPe_BA_intern_assesment_Raw_data___Sheet13[[#This Row],[Customer Rating]])</f>
        <v>0</v>
      </c>
      <c r="Q53" t="str">
        <f>IF(AND(EPe_BA_intern_assesment_Raw_data___Sheet13[[#This Row],[Customer Rating]]&gt;6,EPe_BA_intern_assesment_Raw_data___Sheet13[[#This Row],[Customer Rating]]&lt;9), EPe_BA_intern_assesment_Raw_data___Sheet13[[#This Row],[Customer Rating]], "")</f>
        <v/>
      </c>
      <c r="R53">
        <f>IF(EPe_BA_intern_assesment_Raw_data___Sheet13[[#This Row],[Customer Rating]]&lt;7,EPe_BA_intern_assesment_Raw_data___Sheet13[[#This Row],[Customer Rating]])</f>
        <v>6</v>
      </c>
    </row>
    <row r="54" spans="1:18" x14ac:dyDescent="0.3">
      <c r="A54" t="s">
        <v>81</v>
      </c>
      <c r="B54" t="s">
        <v>16</v>
      </c>
      <c r="C54" t="s">
        <v>32</v>
      </c>
      <c r="D54" s="1">
        <v>45941</v>
      </c>
      <c r="E54" s="1">
        <v>45944</v>
      </c>
      <c r="F54" s="1">
        <v>45949</v>
      </c>
      <c r="G54" s="1">
        <v>45953</v>
      </c>
      <c r="H54" t="s">
        <v>18</v>
      </c>
      <c r="I54" t="s">
        <v>19</v>
      </c>
      <c r="J54" s="1">
        <v>45976</v>
      </c>
      <c r="K54">
        <v>3</v>
      </c>
      <c r="L54">
        <v>5</v>
      </c>
      <c r="M54">
        <v>4</v>
      </c>
      <c r="N54">
        <v>4</v>
      </c>
      <c r="O54">
        <v>12</v>
      </c>
      <c r="P54" t="b">
        <f>IF(EPe_BA_intern_assesment_Raw_data___Sheet13[[#This Row],[Customer Rating]]&gt;8,EPe_BA_intern_assesment_Raw_data___Sheet13[[#This Row],[Customer Rating]])</f>
        <v>0</v>
      </c>
      <c r="Q54" t="str">
        <f>IF(AND(EPe_BA_intern_assesment_Raw_data___Sheet13[[#This Row],[Customer Rating]]&gt;6,EPe_BA_intern_assesment_Raw_data___Sheet13[[#This Row],[Customer Rating]]&lt;9), EPe_BA_intern_assesment_Raw_data___Sheet13[[#This Row],[Customer Rating]], "")</f>
        <v/>
      </c>
      <c r="R54">
        <f>IF(EPe_BA_intern_assesment_Raw_data___Sheet13[[#This Row],[Customer Rating]]&lt;7,EPe_BA_intern_assesment_Raw_data___Sheet13[[#This Row],[Customer Rating]])</f>
        <v>4</v>
      </c>
    </row>
    <row r="55" spans="1:18" x14ac:dyDescent="0.3">
      <c r="A55" t="s">
        <v>82</v>
      </c>
      <c r="B55" t="s">
        <v>21</v>
      </c>
      <c r="C55" t="s">
        <v>17</v>
      </c>
      <c r="D55" s="1">
        <v>45931</v>
      </c>
      <c r="E55" s="1">
        <v>45936</v>
      </c>
      <c r="F55" s="1">
        <v>45938</v>
      </c>
      <c r="G55" s="1">
        <v>45942</v>
      </c>
      <c r="H55" t="s">
        <v>18</v>
      </c>
      <c r="I55" t="s">
        <v>19</v>
      </c>
      <c r="J55" s="1">
        <v>45972</v>
      </c>
      <c r="K55">
        <v>5</v>
      </c>
      <c r="L55">
        <v>2</v>
      </c>
      <c r="M55">
        <v>4</v>
      </c>
      <c r="N55">
        <v>4</v>
      </c>
      <c r="O55">
        <v>11</v>
      </c>
      <c r="P55" t="b">
        <f>IF(EPe_BA_intern_assesment_Raw_data___Sheet13[[#This Row],[Customer Rating]]&gt;8,EPe_BA_intern_assesment_Raw_data___Sheet13[[#This Row],[Customer Rating]])</f>
        <v>0</v>
      </c>
      <c r="Q55" t="str">
        <f>IF(AND(EPe_BA_intern_assesment_Raw_data___Sheet13[[#This Row],[Customer Rating]]&gt;6,EPe_BA_intern_assesment_Raw_data___Sheet13[[#This Row],[Customer Rating]]&lt;9), EPe_BA_intern_assesment_Raw_data___Sheet13[[#This Row],[Customer Rating]], "")</f>
        <v/>
      </c>
      <c r="R55">
        <f>IF(EPe_BA_intern_assesment_Raw_data___Sheet13[[#This Row],[Customer Rating]]&lt;7,EPe_BA_intern_assesment_Raw_data___Sheet13[[#This Row],[Customer Rating]])</f>
        <v>4</v>
      </c>
    </row>
    <row r="56" spans="1:18" x14ac:dyDescent="0.3">
      <c r="A56" t="s">
        <v>83</v>
      </c>
      <c r="B56" t="s">
        <v>23</v>
      </c>
      <c r="C56" t="s">
        <v>17</v>
      </c>
      <c r="D56" s="1">
        <v>45946</v>
      </c>
      <c r="E56" s="1">
        <v>45949</v>
      </c>
      <c r="F56" s="1">
        <v>45954</v>
      </c>
      <c r="G56" s="1">
        <v>45959</v>
      </c>
      <c r="H56" t="s">
        <v>18</v>
      </c>
      <c r="I56" t="s">
        <v>19</v>
      </c>
      <c r="J56" s="1">
        <v>45984</v>
      </c>
      <c r="K56">
        <v>3</v>
      </c>
      <c r="L56">
        <v>5</v>
      </c>
      <c r="M56">
        <v>5</v>
      </c>
      <c r="N56">
        <v>8</v>
      </c>
      <c r="O56">
        <v>13</v>
      </c>
      <c r="P56" t="b">
        <f>IF(EPe_BA_intern_assesment_Raw_data___Sheet13[[#This Row],[Customer Rating]]&gt;8,EPe_BA_intern_assesment_Raw_data___Sheet13[[#This Row],[Customer Rating]])</f>
        <v>0</v>
      </c>
      <c r="Q56">
        <f>IF(AND(EPe_BA_intern_assesment_Raw_data___Sheet13[[#This Row],[Customer Rating]]&gt;6,EPe_BA_intern_assesment_Raw_data___Sheet13[[#This Row],[Customer Rating]]&lt;9), EPe_BA_intern_assesment_Raw_data___Sheet13[[#This Row],[Customer Rating]], "")</f>
        <v>8</v>
      </c>
      <c r="R56" t="b">
        <f>IF(EPe_BA_intern_assesment_Raw_data___Sheet13[[#This Row],[Customer Rating]]&lt;7,EPe_BA_intern_assesment_Raw_data___Sheet13[[#This Row],[Customer Rating]])</f>
        <v>0</v>
      </c>
    </row>
    <row r="57" spans="1:18" x14ac:dyDescent="0.3">
      <c r="A57" t="s">
        <v>84</v>
      </c>
      <c r="B57" t="s">
        <v>16</v>
      </c>
      <c r="C57" t="s">
        <v>32</v>
      </c>
      <c r="D57" s="1">
        <v>45958</v>
      </c>
      <c r="E57" s="1">
        <v>45959</v>
      </c>
      <c r="F57" s="1">
        <v>45962</v>
      </c>
      <c r="G57" s="1">
        <v>45968</v>
      </c>
      <c r="H57" t="s">
        <v>18</v>
      </c>
      <c r="I57" t="s">
        <v>19</v>
      </c>
      <c r="J57" s="1">
        <v>45998</v>
      </c>
      <c r="K57">
        <v>1</v>
      </c>
      <c r="L57">
        <v>3</v>
      </c>
      <c r="M57">
        <v>6</v>
      </c>
      <c r="N57">
        <v>3</v>
      </c>
      <c r="O57">
        <v>10</v>
      </c>
      <c r="P57" t="b">
        <f>IF(EPe_BA_intern_assesment_Raw_data___Sheet13[[#This Row],[Customer Rating]]&gt;8,EPe_BA_intern_assesment_Raw_data___Sheet13[[#This Row],[Customer Rating]])</f>
        <v>0</v>
      </c>
      <c r="Q57" t="str">
        <f>IF(AND(EPe_BA_intern_assesment_Raw_data___Sheet13[[#This Row],[Customer Rating]]&gt;6,EPe_BA_intern_assesment_Raw_data___Sheet13[[#This Row],[Customer Rating]]&lt;9), EPe_BA_intern_assesment_Raw_data___Sheet13[[#This Row],[Customer Rating]], "")</f>
        <v/>
      </c>
      <c r="R57">
        <f>IF(EPe_BA_intern_assesment_Raw_data___Sheet13[[#This Row],[Customer Rating]]&lt;7,EPe_BA_intern_assesment_Raw_data___Sheet13[[#This Row],[Customer Rating]])</f>
        <v>3</v>
      </c>
    </row>
    <row r="58" spans="1:18" x14ac:dyDescent="0.3">
      <c r="A58" t="s">
        <v>85</v>
      </c>
      <c r="B58" t="s">
        <v>23</v>
      </c>
      <c r="C58" t="s">
        <v>17</v>
      </c>
      <c r="D58" s="1">
        <v>45941</v>
      </c>
      <c r="E58" s="1">
        <v>45944</v>
      </c>
      <c r="F58" s="1">
        <v>45948</v>
      </c>
      <c r="G58" s="1">
        <v>45951</v>
      </c>
      <c r="H58" t="s">
        <v>18</v>
      </c>
      <c r="I58" t="s">
        <v>19</v>
      </c>
      <c r="J58" s="1">
        <v>45971</v>
      </c>
      <c r="K58">
        <v>3</v>
      </c>
      <c r="L58">
        <v>4</v>
      </c>
      <c r="M58">
        <v>3</v>
      </c>
      <c r="N58">
        <v>6</v>
      </c>
      <c r="O58">
        <v>10</v>
      </c>
      <c r="P58" t="b">
        <f>IF(EPe_BA_intern_assesment_Raw_data___Sheet13[[#This Row],[Customer Rating]]&gt;8,EPe_BA_intern_assesment_Raw_data___Sheet13[[#This Row],[Customer Rating]])</f>
        <v>0</v>
      </c>
      <c r="Q58" t="str">
        <f>IF(AND(EPe_BA_intern_assesment_Raw_data___Sheet13[[#This Row],[Customer Rating]]&gt;6,EPe_BA_intern_assesment_Raw_data___Sheet13[[#This Row],[Customer Rating]]&lt;9), EPe_BA_intern_assesment_Raw_data___Sheet13[[#This Row],[Customer Rating]], "")</f>
        <v/>
      </c>
      <c r="R58">
        <f>IF(EPe_BA_intern_assesment_Raw_data___Sheet13[[#This Row],[Customer Rating]]&lt;7,EPe_BA_intern_assesment_Raw_data___Sheet13[[#This Row],[Customer Rating]])</f>
        <v>6</v>
      </c>
    </row>
    <row r="59" spans="1:18" x14ac:dyDescent="0.3">
      <c r="A59" t="s">
        <v>86</v>
      </c>
      <c r="B59" t="s">
        <v>16</v>
      </c>
      <c r="C59" t="s">
        <v>32</v>
      </c>
      <c r="D59" s="1">
        <v>45936</v>
      </c>
      <c r="E59" s="1">
        <v>45941</v>
      </c>
      <c r="F59" s="1">
        <v>45946</v>
      </c>
      <c r="G59" s="1">
        <v>45953</v>
      </c>
      <c r="H59" t="s">
        <v>18</v>
      </c>
      <c r="I59" t="s">
        <v>19</v>
      </c>
      <c r="J59" s="1">
        <v>45968</v>
      </c>
      <c r="K59">
        <v>5</v>
      </c>
      <c r="L59">
        <v>5</v>
      </c>
      <c r="M59">
        <v>7</v>
      </c>
      <c r="N59">
        <v>1</v>
      </c>
      <c r="O59">
        <v>17</v>
      </c>
      <c r="P59" t="b">
        <f>IF(EPe_BA_intern_assesment_Raw_data___Sheet13[[#This Row],[Customer Rating]]&gt;8,EPe_BA_intern_assesment_Raw_data___Sheet13[[#This Row],[Customer Rating]])</f>
        <v>0</v>
      </c>
      <c r="Q59" t="str">
        <f>IF(AND(EPe_BA_intern_assesment_Raw_data___Sheet13[[#This Row],[Customer Rating]]&gt;6,EPe_BA_intern_assesment_Raw_data___Sheet13[[#This Row],[Customer Rating]]&lt;9), EPe_BA_intern_assesment_Raw_data___Sheet13[[#This Row],[Customer Rating]], "")</f>
        <v/>
      </c>
      <c r="R59">
        <f>IF(EPe_BA_intern_assesment_Raw_data___Sheet13[[#This Row],[Customer Rating]]&lt;7,EPe_BA_intern_assesment_Raw_data___Sheet13[[#This Row],[Customer Rating]])</f>
        <v>1</v>
      </c>
    </row>
    <row r="60" spans="1:18" x14ac:dyDescent="0.3">
      <c r="A60" t="s">
        <v>87</v>
      </c>
      <c r="B60" t="s">
        <v>16</v>
      </c>
      <c r="C60" t="s">
        <v>17</v>
      </c>
      <c r="D60" s="1">
        <v>45946</v>
      </c>
      <c r="E60" s="1">
        <v>45948</v>
      </c>
      <c r="F60" s="1">
        <v>45952</v>
      </c>
      <c r="G60" s="1">
        <v>45959</v>
      </c>
      <c r="H60" t="s">
        <v>25</v>
      </c>
      <c r="I60" t="s">
        <v>65</v>
      </c>
      <c r="J60" s="1"/>
      <c r="K60">
        <v>2</v>
      </c>
      <c r="L60">
        <v>4</v>
      </c>
      <c r="M60">
        <v>7</v>
      </c>
      <c r="O60">
        <v>13</v>
      </c>
      <c r="P60" t="b">
        <f>IF(EPe_BA_intern_assesment_Raw_data___Sheet13[[#This Row],[Customer Rating]]&gt;8,EPe_BA_intern_assesment_Raw_data___Sheet13[[#This Row],[Customer Rating]])</f>
        <v>0</v>
      </c>
      <c r="Q60" t="str">
        <f>IF(AND(EPe_BA_intern_assesment_Raw_data___Sheet13[[#This Row],[Customer Rating]]&gt;6,EPe_BA_intern_assesment_Raw_data___Sheet13[[#This Row],[Customer Rating]]&lt;9), EPe_BA_intern_assesment_Raw_data___Sheet13[[#This Row],[Customer Rating]], "")</f>
        <v/>
      </c>
      <c r="R60">
        <f>IF(EPe_BA_intern_assesment_Raw_data___Sheet13[[#This Row],[Customer Rating]]&lt;7,EPe_BA_intern_assesment_Raw_data___Sheet13[[#This Row],[Customer Rating]])</f>
        <v>0</v>
      </c>
    </row>
    <row r="61" spans="1:18" x14ac:dyDescent="0.3">
      <c r="A61" t="s">
        <v>88</v>
      </c>
      <c r="B61" t="s">
        <v>16</v>
      </c>
      <c r="C61" t="s">
        <v>17</v>
      </c>
      <c r="D61" s="1">
        <v>45937</v>
      </c>
      <c r="E61" s="1">
        <v>45941</v>
      </c>
      <c r="F61" s="1">
        <v>45944</v>
      </c>
      <c r="G61" s="1">
        <v>45948</v>
      </c>
      <c r="H61" t="s">
        <v>18</v>
      </c>
      <c r="I61" t="s">
        <v>19</v>
      </c>
      <c r="J61" s="1">
        <v>45975</v>
      </c>
      <c r="K61">
        <v>4</v>
      </c>
      <c r="L61">
        <v>3</v>
      </c>
      <c r="M61">
        <v>4</v>
      </c>
      <c r="N61">
        <v>2</v>
      </c>
      <c r="O61">
        <v>11</v>
      </c>
      <c r="P61" t="b">
        <f>IF(EPe_BA_intern_assesment_Raw_data___Sheet13[[#This Row],[Customer Rating]]&gt;8,EPe_BA_intern_assesment_Raw_data___Sheet13[[#This Row],[Customer Rating]])</f>
        <v>0</v>
      </c>
      <c r="Q61" t="str">
        <f>IF(AND(EPe_BA_intern_assesment_Raw_data___Sheet13[[#This Row],[Customer Rating]]&gt;6,EPe_BA_intern_assesment_Raw_data___Sheet13[[#This Row],[Customer Rating]]&lt;9), EPe_BA_intern_assesment_Raw_data___Sheet13[[#This Row],[Customer Rating]], "")</f>
        <v/>
      </c>
      <c r="R61">
        <f>IF(EPe_BA_intern_assesment_Raw_data___Sheet13[[#This Row],[Customer Rating]]&lt;7,EPe_BA_intern_assesment_Raw_data___Sheet13[[#This Row],[Customer Rating]])</f>
        <v>2</v>
      </c>
    </row>
    <row r="62" spans="1:18" x14ac:dyDescent="0.3">
      <c r="A62" t="s">
        <v>89</v>
      </c>
      <c r="B62" t="s">
        <v>21</v>
      </c>
      <c r="C62" t="s">
        <v>17</v>
      </c>
      <c r="D62" s="1">
        <v>45942</v>
      </c>
      <c r="E62" s="1">
        <v>45947</v>
      </c>
      <c r="F62" s="1">
        <v>45949</v>
      </c>
      <c r="G62" s="1">
        <v>45955</v>
      </c>
      <c r="H62" t="s">
        <v>18</v>
      </c>
      <c r="I62" t="s">
        <v>19</v>
      </c>
      <c r="J62" s="1">
        <v>45984</v>
      </c>
      <c r="K62">
        <v>5</v>
      </c>
      <c r="L62">
        <v>2</v>
      </c>
      <c r="M62">
        <v>6</v>
      </c>
      <c r="N62">
        <v>7</v>
      </c>
      <c r="O62">
        <v>13</v>
      </c>
      <c r="P62" t="b">
        <f>IF(EPe_BA_intern_assesment_Raw_data___Sheet13[[#This Row],[Customer Rating]]&gt;8,EPe_BA_intern_assesment_Raw_data___Sheet13[[#This Row],[Customer Rating]])</f>
        <v>0</v>
      </c>
      <c r="Q62">
        <f>IF(AND(EPe_BA_intern_assesment_Raw_data___Sheet13[[#This Row],[Customer Rating]]&gt;6,EPe_BA_intern_assesment_Raw_data___Sheet13[[#This Row],[Customer Rating]]&lt;9), EPe_BA_intern_assesment_Raw_data___Sheet13[[#This Row],[Customer Rating]], "")</f>
        <v>7</v>
      </c>
      <c r="R62" t="b">
        <f>IF(EPe_BA_intern_assesment_Raw_data___Sheet13[[#This Row],[Customer Rating]]&lt;7,EPe_BA_intern_assesment_Raw_data___Sheet13[[#This Row],[Customer Rating]])</f>
        <v>0</v>
      </c>
    </row>
    <row r="63" spans="1:18" x14ac:dyDescent="0.3">
      <c r="A63" t="s">
        <v>90</v>
      </c>
      <c r="B63" t="s">
        <v>21</v>
      </c>
      <c r="C63" t="s">
        <v>32</v>
      </c>
      <c r="D63" s="1">
        <v>45956</v>
      </c>
      <c r="E63" s="1">
        <v>45961</v>
      </c>
      <c r="F63" s="1">
        <v>45965</v>
      </c>
      <c r="G63" s="1">
        <v>45971</v>
      </c>
      <c r="H63" t="s">
        <v>18</v>
      </c>
      <c r="I63" t="s">
        <v>19</v>
      </c>
      <c r="J63" s="1">
        <v>45992</v>
      </c>
      <c r="K63">
        <v>5</v>
      </c>
      <c r="L63">
        <v>4</v>
      </c>
      <c r="M63">
        <v>6</v>
      </c>
      <c r="N63">
        <v>9</v>
      </c>
      <c r="O63">
        <v>15</v>
      </c>
      <c r="P63">
        <f>IF(EPe_BA_intern_assesment_Raw_data___Sheet13[[#This Row],[Customer Rating]]&gt;8,EPe_BA_intern_assesment_Raw_data___Sheet13[[#This Row],[Customer Rating]])</f>
        <v>9</v>
      </c>
      <c r="Q63" t="str">
        <f>IF(AND(EPe_BA_intern_assesment_Raw_data___Sheet13[[#This Row],[Customer Rating]]&gt;6,EPe_BA_intern_assesment_Raw_data___Sheet13[[#This Row],[Customer Rating]]&lt;9), EPe_BA_intern_assesment_Raw_data___Sheet13[[#This Row],[Customer Rating]], "")</f>
        <v/>
      </c>
      <c r="R63" t="b">
        <f>IF(EPe_BA_intern_assesment_Raw_data___Sheet13[[#This Row],[Customer Rating]]&lt;7,EPe_BA_intern_assesment_Raw_data___Sheet13[[#This Row],[Customer Rating]])</f>
        <v>0</v>
      </c>
    </row>
    <row r="64" spans="1:18" x14ac:dyDescent="0.3">
      <c r="A64" t="s">
        <v>91</v>
      </c>
      <c r="B64" t="s">
        <v>23</v>
      </c>
      <c r="C64" t="s">
        <v>17</v>
      </c>
      <c r="D64" s="1">
        <v>45939</v>
      </c>
      <c r="E64" s="1">
        <v>45944</v>
      </c>
      <c r="F64" s="1">
        <v>45949</v>
      </c>
      <c r="G64" s="1">
        <v>45951</v>
      </c>
      <c r="H64" t="s">
        <v>18</v>
      </c>
      <c r="I64" t="s">
        <v>19</v>
      </c>
      <c r="J64" s="1">
        <v>45968</v>
      </c>
      <c r="K64">
        <v>5</v>
      </c>
      <c r="L64">
        <v>5</v>
      </c>
      <c r="M64">
        <v>2</v>
      </c>
      <c r="N64">
        <v>3</v>
      </c>
      <c r="O64">
        <v>12</v>
      </c>
      <c r="P64" t="b">
        <f>IF(EPe_BA_intern_assesment_Raw_data___Sheet13[[#This Row],[Customer Rating]]&gt;8,EPe_BA_intern_assesment_Raw_data___Sheet13[[#This Row],[Customer Rating]])</f>
        <v>0</v>
      </c>
      <c r="Q64" t="str">
        <f>IF(AND(EPe_BA_intern_assesment_Raw_data___Sheet13[[#This Row],[Customer Rating]]&gt;6,EPe_BA_intern_assesment_Raw_data___Sheet13[[#This Row],[Customer Rating]]&lt;9), EPe_BA_intern_assesment_Raw_data___Sheet13[[#This Row],[Customer Rating]], "")</f>
        <v/>
      </c>
      <c r="R64">
        <f>IF(EPe_BA_intern_assesment_Raw_data___Sheet13[[#This Row],[Customer Rating]]&lt;7,EPe_BA_intern_assesment_Raw_data___Sheet13[[#This Row],[Customer Rating]])</f>
        <v>3</v>
      </c>
    </row>
    <row r="65" spans="1:18" x14ac:dyDescent="0.3">
      <c r="A65" t="s">
        <v>92</v>
      </c>
      <c r="B65" t="s">
        <v>16</v>
      </c>
      <c r="C65" t="s">
        <v>32</v>
      </c>
      <c r="D65" s="1">
        <v>45941</v>
      </c>
      <c r="E65" s="1">
        <v>45946</v>
      </c>
      <c r="F65" s="1">
        <v>45949</v>
      </c>
      <c r="G65" s="1">
        <v>45956</v>
      </c>
      <c r="H65" t="s">
        <v>18</v>
      </c>
      <c r="I65" t="s">
        <v>19</v>
      </c>
      <c r="J65" s="1">
        <v>45984</v>
      </c>
      <c r="K65">
        <v>5</v>
      </c>
      <c r="L65">
        <v>3</v>
      </c>
      <c r="M65">
        <v>7</v>
      </c>
      <c r="N65">
        <v>3</v>
      </c>
      <c r="O65">
        <v>15</v>
      </c>
      <c r="P65" t="b">
        <f>IF(EPe_BA_intern_assesment_Raw_data___Sheet13[[#This Row],[Customer Rating]]&gt;8,EPe_BA_intern_assesment_Raw_data___Sheet13[[#This Row],[Customer Rating]])</f>
        <v>0</v>
      </c>
      <c r="Q65" t="str">
        <f>IF(AND(EPe_BA_intern_assesment_Raw_data___Sheet13[[#This Row],[Customer Rating]]&gt;6,EPe_BA_intern_assesment_Raw_data___Sheet13[[#This Row],[Customer Rating]]&lt;9), EPe_BA_intern_assesment_Raw_data___Sheet13[[#This Row],[Customer Rating]], "")</f>
        <v/>
      </c>
      <c r="R65">
        <f>IF(EPe_BA_intern_assesment_Raw_data___Sheet13[[#This Row],[Customer Rating]]&lt;7,EPe_BA_intern_assesment_Raw_data___Sheet13[[#This Row],[Customer Rating]])</f>
        <v>3</v>
      </c>
    </row>
    <row r="66" spans="1:18" x14ac:dyDescent="0.3">
      <c r="A66" t="s">
        <v>93</v>
      </c>
      <c r="B66" t="s">
        <v>16</v>
      </c>
      <c r="C66" t="s">
        <v>24</v>
      </c>
      <c r="D66" s="1">
        <v>45939</v>
      </c>
      <c r="E66" s="1"/>
      <c r="F66" s="1"/>
      <c r="G66" s="1"/>
      <c r="H66" t="s">
        <v>25</v>
      </c>
      <c r="I66" t="s">
        <v>26</v>
      </c>
      <c r="J66" s="1"/>
      <c r="P66" t="b">
        <f>IF(EPe_BA_intern_assesment_Raw_data___Sheet13[[#This Row],[Customer Rating]]&gt;8,EPe_BA_intern_assesment_Raw_data___Sheet13[[#This Row],[Customer Rating]])</f>
        <v>0</v>
      </c>
      <c r="Q66" t="str">
        <f>IF(AND(EPe_BA_intern_assesment_Raw_data___Sheet13[[#This Row],[Customer Rating]]&gt;6,EPe_BA_intern_assesment_Raw_data___Sheet13[[#This Row],[Customer Rating]]&lt;9), EPe_BA_intern_assesment_Raw_data___Sheet13[[#This Row],[Customer Rating]], "")</f>
        <v/>
      </c>
      <c r="R66">
        <f>IF(EPe_BA_intern_assesment_Raw_data___Sheet13[[#This Row],[Customer Rating]]&lt;7,EPe_BA_intern_assesment_Raw_data___Sheet13[[#This Row],[Customer Rating]])</f>
        <v>0</v>
      </c>
    </row>
    <row r="67" spans="1:18" x14ac:dyDescent="0.3">
      <c r="A67" t="s">
        <v>94</v>
      </c>
      <c r="B67" t="s">
        <v>21</v>
      </c>
      <c r="C67" t="s">
        <v>17</v>
      </c>
      <c r="D67" s="1">
        <v>45959</v>
      </c>
      <c r="E67" s="1">
        <v>45960</v>
      </c>
      <c r="F67" s="1">
        <v>45965</v>
      </c>
      <c r="G67" s="1">
        <v>45968</v>
      </c>
      <c r="H67" t="s">
        <v>18</v>
      </c>
      <c r="I67" t="s">
        <v>19</v>
      </c>
      <c r="J67" s="1">
        <v>45983</v>
      </c>
      <c r="K67">
        <v>1</v>
      </c>
      <c r="L67">
        <v>5</v>
      </c>
      <c r="M67">
        <v>3</v>
      </c>
      <c r="N67">
        <v>10</v>
      </c>
      <c r="O67">
        <v>9</v>
      </c>
      <c r="P67">
        <f>IF(EPe_BA_intern_assesment_Raw_data___Sheet13[[#This Row],[Customer Rating]]&gt;8,EPe_BA_intern_assesment_Raw_data___Sheet13[[#This Row],[Customer Rating]])</f>
        <v>10</v>
      </c>
      <c r="Q67" t="str">
        <f>IF(AND(EPe_BA_intern_assesment_Raw_data___Sheet13[[#This Row],[Customer Rating]]&gt;6,EPe_BA_intern_assesment_Raw_data___Sheet13[[#This Row],[Customer Rating]]&lt;9), EPe_BA_intern_assesment_Raw_data___Sheet13[[#This Row],[Customer Rating]], "")</f>
        <v/>
      </c>
      <c r="R67" t="b">
        <f>IF(EPe_BA_intern_assesment_Raw_data___Sheet13[[#This Row],[Customer Rating]]&lt;7,EPe_BA_intern_assesment_Raw_data___Sheet13[[#This Row],[Customer Rating]])</f>
        <v>0</v>
      </c>
    </row>
    <row r="68" spans="1:18" x14ac:dyDescent="0.3">
      <c r="A68" t="s">
        <v>95</v>
      </c>
      <c r="B68" t="s">
        <v>16</v>
      </c>
      <c r="C68" t="s">
        <v>17</v>
      </c>
      <c r="D68" s="1">
        <v>45950</v>
      </c>
      <c r="E68" s="1">
        <v>45955</v>
      </c>
      <c r="F68" s="1">
        <v>45958</v>
      </c>
      <c r="G68" s="1">
        <v>45962</v>
      </c>
      <c r="H68" t="s">
        <v>18</v>
      </c>
      <c r="I68" t="s">
        <v>19</v>
      </c>
      <c r="J68" s="1">
        <v>45984</v>
      </c>
      <c r="K68">
        <v>5</v>
      </c>
      <c r="L68">
        <v>3</v>
      </c>
      <c r="M68">
        <v>4</v>
      </c>
      <c r="N68">
        <v>4</v>
      </c>
      <c r="O68">
        <v>12</v>
      </c>
      <c r="P68" t="b">
        <f>IF(EPe_BA_intern_assesment_Raw_data___Sheet13[[#This Row],[Customer Rating]]&gt;8,EPe_BA_intern_assesment_Raw_data___Sheet13[[#This Row],[Customer Rating]])</f>
        <v>0</v>
      </c>
      <c r="Q68" t="str">
        <f>IF(AND(EPe_BA_intern_assesment_Raw_data___Sheet13[[#This Row],[Customer Rating]]&gt;6,EPe_BA_intern_assesment_Raw_data___Sheet13[[#This Row],[Customer Rating]]&lt;9), EPe_BA_intern_assesment_Raw_data___Sheet13[[#This Row],[Customer Rating]], "")</f>
        <v/>
      </c>
      <c r="R68">
        <f>IF(EPe_BA_intern_assesment_Raw_data___Sheet13[[#This Row],[Customer Rating]]&lt;7,EPe_BA_intern_assesment_Raw_data___Sheet13[[#This Row],[Customer Rating]])</f>
        <v>4</v>
      </c>
    </row>
    <row r="69" spans="1:18" x14ac:dyDescent="0.3">
      <c r="A69" t="s">
        <v>96</v>
      </c>
      <c r="B69" t="s">
        <v>21</v>
      </c>
      <c r="C69" t="s">
        <v>32</v>
      </c>
      <c r="D69" s="1">
        <v>45953</v>
      </c>
      <c r="E69" s="1">
        <v>45956</v>
      </c>
      <c r="F69" s="1">
        <v>45959</v>
      </c>
      <c r="G69" s="1">
        <v>45961</v>
      </c>
      <c r="H69" t="s">
        <v>18</v>
      </c>
      <c r="I69" t="s">
        <v>19</v>
      </c>
      <c r="J69" s="1">
        <v>45980</v>
      </c>
      <c r="K69">
        <v>3</v>
      </c>
      <c r="L69">
        <v>3</v>
      </c>
      <c r="M69">
        <v>2</v>
      </c>
      <c r="N69">
        <v>5</v>
      </c>
      <c r="O69">
        <v>8</v>
      </c>
      <c r="P69" t="b">
        <f>IF(EPe_BA_intern_assesment_Raw_data___Sheet13[[#This Row],[Customer Rating]]&gt;8,EPe_BA_intern_assesment_Raw_data___Sheet13[[#This Row],[Customer Rating]])</f>
        <v>0</v>
      </c>
      <c r="Q69" t="str">
        <f>IF(AND(EPe_BA_intern_assesment_Raw_data___Sheet13[[#This Row],[Customer Rating]]&gt;6,EPe_BA_intern_assesment_Raw_data___Sheet13[[#This Row],[Customer Rating]]&lt;9), EPe_BA_intern_assesment_Raw_data___Sheet13[[#This Row],[Customer Rating]], "")</f>
        <v/>
      </c>
      <c r="R69">
        <f>IF(EPe_BA_intern_assesment_Raw_data___Sheet13[[#This Row],[Customer Rating]]&lt;7,EPe_BA_intern_assesment_Raw_data___Sheet13[[#This Row],[Customer Rating]])</f>
        <v>5</v>
      </c>
    </row>
    <row r="70" spans="1:18" x14ac:dyDescent="0.3">
      <c r="A70" t="s">
        <v>97</v>
      </c>
      <c r="B70" t="s">
        <v>16</v>
      </c>
      <c r="C70" t="s">
        <v>24</v>
      </c>
      <c r="D70" s="1">
        <v>45959</v>
      </c>
      <c r="E70" s="1"/>
      <c r="F70" s="1"/>
      <c r="G70" s="1"/>
      <c r="H70" t="s">
        <v>25</v>
      </c>
      <c r="I70" t="s">
        <v>65</v>
      </c>
      <c r="J70" s="1"/>
      <c r="P70" t="b">
        <f>IF(EPe_BA_intern_assesment_Raw_data___Sheet13[[#This Row],[Customer Rating]]&gt;8,EPe_BA_intern_assesment_Raw_data___Sheet13[[#This Row],[Customer Rating]])</f>
        <v>0</v>
      </c>
      <c r="Q70" t="str">
        <f>IF(AND(EPe_BA_intern_assesment_Raw_data___Sheet13[[#This Row],[Customer Rating]]&gt;6,EPe_BA_intern_assesment_Raw_data___Sheet13[[#This Row],[Customer Rating]]&lt;9), EPe_BA_intern_assesment_Raw_data___Sheet13[[#This Row],[Customer Rating]], "")</f>
        <v/>
      </c>
      <c r="R70">
        <f>IF(EPe_BA_intern_assesment_Raw_data___Sheet13[[#This Row],[Customer Rating]]&lt;7,EPe_BA_intern_assesment_Raw_data___Sheet13[[#This Row],[Customer Rating]])</f>
        <v>0</v>
      </c>
    </row>
    <row r="71" spans="1:18" x14ac:dyDescent="0.3">
      <c r="A71" t="s">
        <v>98</v>
      </c>
      <c r="B71" t="s">
        <v>23</v>
      </c>
      <c r="C71" t="s">
        <v>32</v>
      </c>
      <c r="D71" s="1">
        <v>45939</v>
      </c>
      <c r="E71" s="1">
        <v>45940</v>
      </c>
      <c r="F71" s="1">
        <v>45945</v>
      </c>
      <c r="G71" s="1">
        <v>45948</v>
      </c>
      <c r="H71" t="s">
        <v>18</v>
      </c>
      <c r="I71" t="s">
        <v>19</v>
      </c>
      <c r="J71" s="1">
        <v>45967</v>
      </c>
      <c r="K71">
        <v>1</v>
      </c>
      <c r="L71">
        <v>5</v>
      </c>
      <c r="M71">
        <v>3</v>
      </c>
      <c r="N71">
        <v>1</v>
      </c>
      <c r="O71">
        <v>9</v>
      </c>
      <c r="P71" t="b">
        <f>IF(EPe_BA_intern_assesment_Raw_data___Sheet13[[#This Row],[Customer Rating]]&gt;8,EPe_BA_intern_assesment_Raw_data___Sheet13[[#This Row],[Customer Rating]])</f>
        <v>0</v>
      </c>
      <c r="Q71" t="str">
        <f>IF(AND(EPe_BA_intern_assesment_Raw_data___Sheet13[[#This Row],[Customer Rating]]&gt;6,EPe_BA_intern_assesment_Raw_data___Sheet13[[#This Row],[Customer Rating]]&lt;9), EPe_BA_intern_assesment_Raw_data___Sheet13[[#This Row],[Customer Rating]], "")</f>
        <v/>
      </c>
      <c r="R71">
        <f>IF(EPe_BA_intern_assesment_Raw_data___Sheet13[[#This Row],[Customer Rating]]&lt;7,EPe_BA_intern_assesment_Raw_data___Sheet13[[#This Row],[Customer Rating]])</f>
        <v>1</v>
      </c>
    </row>
    <row r="72" spans="1:18" x14ac:dyDescent="0.3">
      <c r="A72" t="s">
        <v>99</v>
      </c>
      <c r="B72" t="s">
        <v>16</v>
      </c>
      <c r="C72" t="s">
        <v>32</v>
      </c>
      <c r="D72" s="1">
        <v>45948</v>
      </c>
      <c r="E72" s="1">
        <v>45950</v>
      </c>
      <c r="F72" s="1">
        <v>45954</v>
      </c>
      <c r="G72" s="1">
        <v>45958</v>
      </c>
      <c r="H72" t="s">
        <v>18</v>
      </c>
      <c r="I72" t="s">
        <v>19</v>
      </c>
      <c r="J72" s="1">
        <v>45972</v>
      </c>
      <c r="K72">
        <v>2</v>
      </c>
      <c r="L72">
        <v>4</v>
      </c>
      <c r="M72">
        <v>4</v>
      </c>
      <c r="N72">
        <v>10</v>
      </c>
      <c r="O72">
        <v>10</v>
      </c>
      <c r="P72">
        <f>IF(EPe_BA_intern_assesment_Raw_data___Sheet13[[#This Row],[Customer Rating]]&gt;8,EPe_BA_intern_assesment_Raw_data___Sheet13[[#This Row],[Customer Rating]])</f>
        <v>10</v>
      </c>
      <c r="Q72" t="str">
        <f>IF(AND(EPe_BA_intern_assesment_Raw_data___Sheet13[[#This Row],[Customer Rating]]&gt;6,EPe_BA_intern_assesment_Raw_data___Sheet13[[#This Row],[Customer Rating]]&lt;9), EPe_BA_intern_assesment_Raw_data___Sheet13[[#This Row],[Customer Rating]], "")</f>
        <v/>
      </c>
      <c r="R72" t="b">
        <f>IF(EPe_BA_intern_assesment_Raw_data___Sheet13[[#This Row],[Customer Rating]]&lt;7,EPe_BA_intern_assesment_Raw_data___Sheet13[[#This Row],[Customer Rating]])</f>
        <v>0</v>
      </c>
    </row>
    <row r="73" spans="1:18" x14ac:dyDescent="0.3">
      <c r="A73" t="s">
        <v>100</v>
      </c>
      <c r="B73" t="s">
        <v>16</v>
      </c>
      <c r="C73" t="s">
        <v>17</v>
      </c>
      <c r="D73" s="1">
        <v>45931</v>
      </c>
      <c r="E73" s="1">
        <v>45934</v>
      </c>
      <c r="F73" s="1">
        <v>45936</v>
      </c>
      <c r="G73" s="1">
        <v>45938</v>
      </c>
      <c r="H73" t="s">
        <v>18</v>
      </c>
      <c r="I73" t="s">
        <v>19</v>
      </c>
      <c r="J73" s="1">
        <v>45953</v>
      </c>
      <c r="K73">
        <v>3</v>
      </c>
      <c r="L73">
        <v>2</v>
      </c>
      <c r="M73">
        <v>2</v>
      </c>
      <c r="N73">
        <v>7</v>
      </c>
      <c r="O73">
        <v>7</v>
      </c>
      <c r="P73" t="b">
        <f>IF(EPe_BA_intern_assesment_Raw_data___Sheet13[[#This Row],[Customer Rating]]&gt;8,EPe_BA_intern_assesment_Raw_data___Sheet13[[#This Row],[Customer Rating]])</f>
        <v>0</v>
      </c>
      <c r="Q73">
        <f>IF(AND(EPe_BA_intern_assesment_Raw_data___Sheet13[[#This Row],[Customer Rating]]&gt;6,EPe_BA_intern_assesment_Raw_data___Sheet13[[#This Row],[Customer Rating]]&lt;9), EPe_BA_intern_assesment_Raw_data___Sheet13[[#This Row],[Customer Rating]], "")</f>
        <v>7</v>
      </c>
      <c r="R73" t="b">
        <f>IF(EPe_BA_intern_assesment_Raw_data___Sheet13[[#This Row],[Customer Rating]]&lt;7,EPe_BA_intern_assesment_Raw_data___Sheet13[[#This Row],[Customer Rating]])</f>
        <v>0</v>
      </c>
    </row>
    <row r="74" spans="1:18" x14ac:dyDescent="0.3">
      <c r="A74" t="s">
        <v>101</v>
      </c>
      <c r="B74" t="s">
        <v>34</v>
      </c>
      <c r="C74" t="s">
        <v>32</v>
      </c>
      <c r="D74" s="1">
        <v>45947</v>
      </c>
      <c r="E74" s="1">
        <v>45950</v>
      </c>
      <c r="F74" s="1">
        <v>45952</v>
      </c>
      <c r="G74" s="1">
        <v>45955</v>
      </c>
      <c r="H74" t="s">
        <v>18</v>
      </c>
      <c r="I74" t="s">
        <v>19</v>
      </c>
      <c r="J74" s="1">
        <v>45965</v>
      </c>
      <c r="K74">
        <v>3</v>
      </c>
      <c r="L74">
        <v>2</v>
      </c>
      <c r="M74">
        <v>3</v>
      </c>
      <c r="N74">
        <v>6</v>
      </c>
      <c r="O74">
        <v>8</v>
      </c>
      <c r="P74" t="b">
        <f>IF(EPe_BA_intern_assesment_Raw_data___Sheet13[[#This Row],[Customer Rating]]&gt;8,EPe_BA_intern_assesment_Raw_data___Sheet13[[#This Row],[Customer Rating]])</f>
        <v>0</v>
      </c>
      <c r="Q74" t="str">
        <f>IF(AND(EPe_BA_intern_assesment_Raw_data___Sheet13[[#This Row],[Customer Rating]]&gt;6,EPe_BA_intern_assesment_Raw_data___Sheet13[[#This Row],[Customer Rating]]&lt;9), EPe_BA_intern_assesment_Raw_data___Sheet13[[#This Row],[Customer Rating]], "")</f>
        <v/>
      </c>
      <c r="R74">
        <f>IF(EPe_BA_intern_assesment_Raw_data___Sheet13[[#This Row],[Customer Rating]]&lt;7,EPe_BA_intern_assesment_Raw_data___Sheet13[[#This Row],[Customer Rating]])</f>
        <v>6</v>
      </c>
    </row>
    <row r="75" spans="1:18" x14ac:dyDescent="0.3">
      <c r="A75" t="s">
        <v>102</v>
      </c>
      <c r="B75" t="s">
        <v>21</v>
      </c>
      <c r="C75" t="s">
        <v>24</v>
      </c>
      <c r="D75" s="1">
        <v>45961</v>
      </c>
      <c r="E75" s="1"/>
      <c r="F75" s="1"/>
      <c r="G75" s="1"/>
      <c r="H75" t="s">
        <v>25</v>
      </c>
      <c r="I75" t="s">
        <v>103</v>
      </c>
      <c r="J75" s="1"/>
      <c r="P75" t="b">
        <f>IF(EPe_BA_intern_assesment_Raw_data___Sheet13[[#This Row],[Customer Rating]]&gt;8,EPe_BA_intern_assesment_Raw_data___Sheet13[[#This Row],[Customer Rating]])</f>
        <v>0</v>
      </c>
      <c r="Q75" t="str">
        <f>IF(AND(EPe_BA_intern_assesment_Raw_data___Sheet13[[#This Row],[Customer Rating]]&gt;6,EPe_BA_intern_assesment_Raw_data___Sheet13[[#This Row],[Customer Rating]]&lt;9), EPe_BA_intern_assesment_Raw_data___Sheet13[[#This Row],[Customer Rating]], "")</f>
        <v/>
      </c>
      <c r="R75">
        <f>IF(EPe_BA_intern_assesment_Raw_data___Sheet13[[#This Row],[Customer Rating]]&lt;7,EPe_BA_intern_assesment_Raw_data___Sheet13[[#This Row],[Customer Rating]])</f>
        <v>0</v>
      </c>
    </row>
    <row r="76" spans="1:18" x14ac:dyDescent="0.3">
      <c r="A76" t="s">
        <v>104</v>
      </c>
      <c r="B76" t="s">
        <v>16</v>
      </c>
      <c r="C76" t="s">
        <v>17</v>
      </c>
      <c r="D76" s="1">
        <v>45937</v>
      </c>
      <c r="E76" s="1">
        <v>45940</v>
      </c>
      <c r="F76" s="1">
        <v>45943</v>
      </c>
      <c r="G76" s="1">
        <v>45947</v>
      </c>
      <c r="H76" t="s">
        <v>18</v>
      </c>
      <c r="I76" t="s">
        <v>19</v>
      </c>
      <c r="J76" s="1">
        <v>45975</v>
      </c>
      <c r="K76">
        <v>3</v>
      </c>
      <c r="L76">
        <v>3</v>
      </c>
      <c r="M76">
        <v>4</v>
      </c>
      <c r="N76">
        <v>0</v>
      </c>
      <c r="O76">
        <v>10</v>
      </c>
      <c r="P76" t="b">
        <f>IF(EPe_BA_intern_assesment_Raw_data___Sheet13[[#This Row],[Customer Rating]]&gt;8,EPe_BA_intern_assesment_Raw_data___Sheet13[[#This Row],[Customer Rating]])</f>
        <v>0</v>
      </c>
      <c r="Q76" t="str">
        <f>IF(AND(EPe_BA_intern_assesment_Raw_data___Sheet13[[#This Row],[Customer Rating]]&gt;6,EPe_BA_intern_assesment_Raw_data___Sheet13[[#This Row],[Customer Rating]]&lt;9), EPe_BA_intern_assesment_Raw_data___Sheet13[[#This Row],[Customer Rating]], "")</f>
        <v/>
      </c>
      <c r="R76">
        <f>IF(EPe_BA_intern_assesment_Raw_data___Sheet13[[#This Row],[Customer Rating]]&lt;7,EPe_BA_intern_assesment_Raw_data___Sheet13[[#This Row],[Customer Rating]])</f>
        <v>0</v>
      </c>
    </row>
    <row r="77" spans="1:18" x14ac:dyDescent="0.3">
      <c r="A77" t="s">
        <v>105</v>
      </c>
      <c r="B77" t="s">
        <v>16</v>
      </c>
      <c r="C77" t="s">
        <v>32</v>
      </c>
      <c r="D77" s="1">
        <v>45933</v>
      </c>
      <c r="E77" s="1">
        <v>45936</v>
      </c>
      <c r="F77" s="1">
        <v>45941</v>
      </c>
      <c r="G77" s="1">
        <v>45948</v>
      </c>
      <c r="H77" t="s">
        <v>18</v>
      </c>
      <c r="I77" t="s">
        <v>19</v>
      </c>
      <c r="J77" s="1">
        <v>45970</v>
      </c>
      <c r="K77">
        <v>3</v>
      </c>
      <c r="L77">
        <v>5</v>
      </c>
      <c r="M77">
        <v>7</v>
      </c>
      <c r="N77">
        <v>1</v>
      </c>
      <c r="O77">
        <v>15</v>
      </c>
      <c r="P77" t="b">
        <f>IF(EPe_BA_intern_assesment_Raw_data___Sheet13[[#This Row],[Customer Rating]]&gt;8,EPe_BA_intern_assesment_Raw_data___Sheet13[[#This Row],[Customer Rating]])</f>
        <v>0</v>
      </c>
      <c r="Q77" t="str">
        <f>IF(AND(EPe_BA_intern_assesment_Raw_data___Sheet13[[#This Row],[Customer Rating]]&gt;6,EPe_BA_intern_assesment_Raw_data___Sheet13[[#This Row],[Customer Rating]]&lt;9), EPe_BA_intern_assesment_Raw_data___Sheet13[[#This Row],[Customer Rating]], "")</f>
        <v/>
      </c>
      <c r="R77">
        <f>IF(EPe_BA_intern_assesment_Raw_data___Sheet13[[#This Row],[Customer Rating]]&lt;7,EPe_BA_intern_assesment_Raw_data___Sheet13[[#This Row],[Customer Rating]])</f>
        <v>1</v>
      </c>
    </row>
    <row r="78" spans="1:18" x14ac:dyDescent="0.3">
      <c r="A78" t="s">
        <v>106</v>
      </c>
      <c r="B78" t="s">
        <v>34</v>
      </c>
      <c r="C78" t="s">
        <v>17</v>
      </c>
      <c r="D78" s="1">
        <v>45938</v>
      </c>
      <c r="E78" s="1">
        <v>45939</v>
      </c>
      <c r="F78" s="1">
        <v>45942</v>
      </c>
      <c r="G78" s="1">
        <v>45945</v>
      </c>
      <c r="H78" t="s">
        <v>18</v>
      </c>
      <c r="I78" t="s">
        <v>19</v>
      </c>
      <c r="J78" s="1">
        <v>45973</v>
      </c>
      <c r="K78">
        <v>1</v>
      </c>
      <c r="L78">
        <v>3</v>
      </c>
      <c r="M78">
        <v>3</v>
      </c>
      <c r="N78">
        <v>8</v>
      </c>
      <c r="O78">
        <v>7</v>
      </c>
      <c r="P78" t="b">
        <f>IF(EPe_BA_intern_assesment_Raw_data___Sheet13[[#This Row],[Customer Rating]]&gt;8,EPe_BA_intern_assesment_Raw_data___Sheet13[[#This Row],[Customer Rating]])</f>
        <v>0</v>
      </c>
      <c r="Q78">
        <f>IF(AND(EPe_BA_intern_assesment_Raw_data___Sheet13[[#This Row],[Customer Rating]]&gt;6,EPe_BA_intern_assesment_Raw_data___Sheet13[[#This Row],[Customer Rating]]&lt;9), EPe_BA_intern_assesment_Raw_data___Sheet13[[#This Row],[Customer Rating]], "")</f>
        <v>8</v>
      </c>
      <c r="R78" t="b">
        <f>IF(EPe_BA_intern_assesment_Raw_data___Sheet13[[#This Row],[Customer Rating]]&lt;7,EPe_BA_intern_assesment_Raw_data___Sheet13[[#This Row],[Customer Rating]])</f>
        <v>0</v>
      </c>
    </row>
    <row r="79" spans="1:18" x14ac:dyDescent="0.3">
      <c r="A79" t="s">
        <v>107</v>
      </c>
      <c r="B79" t="s">
        <v>34</v>
      </c>
      <c r="C79" t="s">
        <v>24</v>
      </c>
      <c r="D79" s="1">
        <v>45954</v>
      </c>
      <c r="E79" s="1"/>
      <c r="F79" s="1"/>
      <c r="G79" s="1"/>
      <c r="H79" t="s">
        <v>25</v>
      </c>
      <c r="I79" t="s">
        <v>26</v>
      </c>
      <c r="J79" s="1"/>
      <c r="P79" t="b">
        <f>IF(EPe_BA_intern_assesment_Raw_data___Sheet13[[#This Row],[Customer Rating]]&gt;8,EPe_BA_intern_assesment_Raw_data___Sheet13[[#This Row],[Customer Rating]])</f>
        <v>0</v>
      </c>
      <c r="Q79" t="str">
        <f>IF(AND(EPe_BA_intern_assesment_Raw_data___Sheet13[[#This Row],[Customer Rating]]&gt;6,EPe_BA_intern_assesment_Raw_data___Sheet13[[#This Row],[Customer Rating]]&lt;9), EPe_BA_intern_assesment_Raw_data___Sheet13[[#This Row],[Customer Rating]], "")</f>
        <v/>
      </c>
      <c r="R79">
        <f>IF(EPe_BA_intern_assesment_Raw_data___Sheet13[[#This Row],[Customer Rating]]&lt;7,EPe_BA_intern_assesment_Raw_data___Sheet13[[#This Row],[Customer Rating]])</f>
        <v>0</v>
      </c>
    </row>
    <row r="80" spans="1:18" x14ac:dyDescent="0.3">
      <c r="A80" t="s">
        <v>108</v>
      </c>
      <c r="B80" t="s">
        <v>21</v>
      </c>
      <c r="C80" t="s">
        <v>24</v>
      </c>
      <c r="D80" s="1">
        <v>45944</v>
      </c>
      <c r="E80" s="1"/>
      <c r="F80" s="1"/>
      <c r="G80" s="1"/>
      <c r="H80" t="s">
        <v>25</v>
      </c>
      <c r="I80" t="s">
        <v>65</v>
      </c>
      <c r="J80" s="1"/>
      <c r="P80" t="b">
        <f>IF(EPe_BA_intern_assesment_Raw_data___Sheet13[[#This Row],[Customer Rating]]&gt;8,EPe_BA_intern_assesment_Raw_data___Sheet13[[#This Row],[Customer Rating]])</f>
        <v>0</v>
      </c>
      <c r="Q80" t="str">
        <f>IF(AND(EPe_BA_intern_assesment_Raw_data___Sheet13[[#This Row],[Customer Rating]]&gt;6,EPe_BA_intern_assesment_Raw_data___Sheet13[[#This Row],[Customer Rating]]&lt;9), EPe_BA_intern_assesment_Raw_data___Sheet13[[#This Row],[Customer Rating]], "")</f>
        <v/>
      </c>
      <c r="R80">
        <f>IF(EPe_BA_intern_assesment_Raw_data___Sheet13[[#This Row],[Customer Rating]]&lt;7,EPe_BA_intern_assesment_Raw_data___Sheet13[[#This Row],[Customer Rating]])</f>
        <v>0</v>
      </c>
    </row>
    <row r="81" spans="1:18" x14ac:dyDescent="0.3">
      <c r="A81" t="s">
        <v>109</v>
      </c>
      <c r="B81" t="s">
        <v>34</v>
      </c>
      <c r="C81" t="s">
        <v>17</v>
      </c>
      <c r="D81" s="1">
        <v>45946</v>
      </c>
      <c r="E81" s="1">
        <v>45948</v>
      </c>
      <c r="F81" s="1">
        <v>45950</v>
      </c>
      <c r="G81" s="1">
        <v>45956</v>
      </c>
      <c r="H81" t="s">
        <v>25</v>
      </c>
      <c r="I81" t="s">
        <v>35</v>
      </c>
      <c r="J81" s="1"/>
      <c r="K81">
        <v>2</v>
      </c>
      <c r="L81">
        <v>2</v>
      </c>
      <c r="M81">
        <v>6</v>
      </c>
      <c r="O81">
        <v>10</v>
      </c>
      <c r="P81" t="b">
        <f>IF(EPe_BA_intern_assesment_Raw_data___Sheet13[[#This Row],[Customer Rating]]&gt;8,EPe_BA_intern_assesment_Raw_data___Sheet13[[#This Row],[Customer Rating]])</f>
        <v>0</v>
      </c>
      <c r="Q81" t="str">
        <f>IF(AND(EPe_BA_intern_assesment_Raw_data___Sheet13[[#This Row],[Customer Rating]]&gt;6,EPe_BA_intern_assesment_Raw_data___Sheet13[[#This Row],[Customer Rating]]&lt;9), EPe_BA_intern_assesment_Raw_data___Sheet13[[#This Row],[Customer Rating]], "")</f>
        <v/>
      </c>
      <c r="R81">
        <f>IF(EPe_BA_intern_assesment_Raw_data___Sheet13[[#This Row],[Customer Rating]]&lt;7,EPe_BA_intern_assesment_Raw_data___Sheet13[[#This Row],[Customer Rating]])</f>
        <v>0</v>
      </c>
    </row>
    <row r="82" spans="1:18" x14ac:dyDescent="0.3">
      <c r="A82" t="s">
        <v>110</v>
      </c>
      <c r="B82" t="s">
        <v>23</v>
      </c>
      <c r="C82" t="s">
        <v>24</v>
      </c>
      <c r="D82" s="1">
        <v>45948</v>
      </c>
      <c r="E82" s="1"/>
      <c r="F82" s="1"/>
      <c r="G82" s="1"/>
      <c r="H82" t="s">
        <v>25</v>
      </c>
      <c r="I82" t="s">
        <v>26</v>
      </c>
      <c r="J82" s="1"/>
      <c r="P82" t="b">
        <f>IF(EPe_BA_intern_assesment_Raw_data___Sheet13[[#This Row],[Customer Rating]]&gt;8,EPe_BA_intern_assesment_Raw_data___Sheet13[[#This Row],[Customer Rating]])</f>
        <v>0</v>
      </c>
      <c r="Q82" t="str">
        <f>IF(AND(EPe_BA_intern_assesment_Raw_data___Sheet13[[#This Row],[Customer Rating]]&gt;6,EPe_BA_intern_assesment_Raw_data___Sheet13[[#This Row],[Customer Rating]]&lt;9), EPe_BA_intern_assesment_Raw_data___Sheet13[[#This Row],[Customer Rating]], "")</f>
        <v/>
      </c>
      <c r="R82">
        <f>IF(EPe_BA_intern_assesment_Raw_data___Sheet13[[#This Row],[Customer Rating]]&lt;7,EPe_BA_intern_assesment_Raw_data___Sheet13[[#This Row],[Customer Rating]])</f>
        <v>0</v>
      </c>
    </row>
    <row r="83" spans="1:18" x14ac:dyDescent="0.3">
      <c r="A83" t="s">
        <v>111</v>
      </c>
      <c r="B83" t="s">
        <v>34</v>
      </c>
      <c r="C83" t="s">
        <v>24</v>
      </c>
      <c r="D83" s="1">
        <v>45955</v>
      </c>
      <c r="E83" s="1"/>
      <c r="F83" s="1"/>
      <c r="G83" s="1"/>
      <c r="H83" t="s">
        <v>25</v>
      </c>
      <c r="I83" t="s">
        <v>26</v>
      </c>
      <c r="J83" s="1"/>
      <c r="P83" t="b">
        <f>IF(EPe_BA_intern_assesment_Raw_data___Sheet13[[#This Row],[Customer Rating]]&gt;8,EPe_BA_intern_assesment_Raw_data___Sheet13[[#This Row],[Customer Rating]])</f>
        <v>0</v>
      </c>
      <c r="Q83" t="str">
        <f>IF(AND(EPe_BA_intern_assesment_Raw_data___Sheet13[[#This Row],[Customer Rating]]&gt;6,EPe_BA_intern_assesment_Raw_data___Sheet13[[#This Row],[Customer Rating]]&lt;9), EPe_BA_intern_assesment_Raw_data___Sheet13[[#This Row],[Customer Rating]], "")</f>
        <v/>
      </c>
      <c r="R83">
        <f>IF(EPe_BA_intern_assesment_Raw_data___Sheet13[[#This Row],[Customer Rating]]&lt;7,EPe_BA_intern_assesment_Raw_data___Sheet13[[#This Row],[Customer Rating]])</f>
        <v>0</v>
      </c>
    </row>
    <row r="84" spans="1:18" x14ac:dyDescent="0.3">
      <c r="A84" t="s">
        <v>112</v>
      </c>
      <c r="B84" t="s">
        <v>23</v>
      </c>
      <c r="C84" t="s">
        <v>17</v>
      </c>
      <c r="D84" s="1">
        <v>45938</v>
      </c>
      <c r="E84" s="1">
        <v>45940</v>
      </c>
      <c r="F84" s="1">
        <v>45943</v>
      </c>
      <c r="G84" s="1">
        <v>45948</v>
      </c>
      <c r="H84" t="s">
        <v>18</v>
      </c>
      <c r="I84" t="s">
        <v>19</v>
      </c>
      <c r="J84" s="1">
        <v>45959</v>
      </c>
      <c r="K84">
        <v>2</v>
      </c>
      <c r="L84">
        <v>3</v>
      </c>
      <c r="M84">
        <v>5</v>
      </c>
      <c r="N84">
        <v>5</v>
      </c>
      <c r="O84">
        <v>10</v>
      </c>
      <c r="P84" t="b">
        <f>IF(EPe_BA_intern_assesment_Raw_data___Sheet13[[#This Row],[Customer Rating]]&gt;8,EPe_BA_intern_assesment_Raw_data___Sheet13[[#This Row],[Customer Rating]])</f>
        <v>0</v>
      </c>
      <c r="Q84" t="str">
        <f>IF(AND(EPe_BA_intern_assesment_Raw_data___Sheet13[[#This Row],[Customer Rating]]&gt;6,EPe_BA_intern_assesment_Raw_data___Sheet13[[#This Row],[Customer Rating]]&lt;9), EPe_BA_intern_assesment_Raw_data___Sheet13[[#This Row],[Customer Rating]], "")</f>
        <v/>
      </c>
      <c r="R84">
        <f>IF(EPe_BA_intern_assesment_Raw_data___Sheet13[[#This Row],[Customer Rating]]&lt;7,EPe_BA_intern_assesment_Raw_data___Sheet13[[#This Row],[Customer Rating]])</f>
        <v>5</v>
      </c>
    </row>
    <row r="85" spans="1:18" x14ac:dyDescent="0.3">
      <c r="A85" t="s">
        <v>113</v>
      </c>
      <c r="B85" t="s">
        <v>21</v>
      </c>
      <c r="C85" t="s">
        <v>32</v>
      </c>
      <c r="D85" s="1">
        <v>45953</v>
      </c>
      <c r="E85" s="1">
        <v>45958</v>
      </c>
      <c r="F85" s="1">
        <v>45961</v>
      </c>
      <c r="G85" s="1">
        <v>45966</v>
      </c>
      <c r="H85" t="s">
        <v>18</v>
      </c>
      <c r="I85" t="s">
        <v>19</v>
      </c>
      <c r="J85" s="1">
        <v>45981</v>
      </c>
      <c r="K85">
        <v>5</v>
      </c>
      <c r="L85">
        <v>3</v>
      </c>
      <c r="M85">
        <v>5</v>
      </c>
      <c r="N85">
        <v>5</v>
      </c>
      <c r="O85">
        <v>13</v>
      </c>
      <c r="P85" t="b">
        <f>IF(EPe_BA_intern_assesment_Raw_data___Sheet13[[#This Row],[Customer Rating]]&gt;8,EPe_BA_intern_assesment_Raw_data___Sheet13[[#This Row],[Customer Rating]])</f>
        <v>0</v>
      </c>
      <c r="Q85" t="str">
        <f>IF(AND(EPe_BA_intern_assesment_Raw_data___Sheet13[[#This Row],[Customer Rating]]&gt;6,EPe_BA_intern_assesment_Raw_data___Sheet13[[#This Row],[Customer Rating]]&lt;9), EPe_BA_intern_assesment_Raw_data___Sheet13[[#This Row],[Customer Rating]], "")</f>
        <v/>
      </c>
      <c r="R85">
        <f>IF(EPe_BA_intern_assesment_Raw_data___Sheet13[[#This Row],[Customer Rating]]&lt;7,EPe_BA_intern_assesment_Raw_data___Sheet13[[#This Row],[Customer Rating]])</f>
        <v>5</v>
      </c>
    </row>
    <row r="86" spans="1:18" x14ac:dyDescent="0.3">
      <c r="A86" t="s">
        <v>114</v>
      </c>
      <c r="B86" t="s">
        <v>21</v>
      </c>
      <c r="C86" t="s">
        <v>17</v>
      </c>
      <c r="D86" s="1">
        <v>45946</v>
      </c>
      <c r="E86" s="1">
        <v>45950</v>
      </c>
      <c r="F86" s="1">
        <v>45952</v>
      </c>
      <c r="G86" s="1">
        <v>45958</v>
      </c>
      <c r="H86" t="s">
        <v>18</v>
      </c>
      <c r="I86" t="s">
        <v>19</v>
      </c>
      <c r="J86" s="1">
        <v>45987</v>
      </c>
      <c r="K86">
        <v>4</v>
      </c>
      <c r="L86">
        <v>2</v>
      </c>
      <c r="M86">
        <v>6</v>
      </c>
      <c r="N86">
        <v>4</v>
      </c>
      <c r="O86">
        <v>12</v>
      </c>
      <c r="P86" t="b">
        <f>IF(EPe_BA_intern_assesment_Raw_data___Sheet13[[#This Row],[Customer Rating]]&gt;8,EPe_BA_intern_assesment_Raw_data___Sheet13[[#This Row],[Customer Rating]])</f>
        <v>0</v>
      </c>
      <c r="Q86" t="str">
        <f>IF(AND(EPe_BA_intern_assesment_Raw_data___Sheet13[[#This Row],[Customer Rating]]&gt;6,EPe_BA_intern_assesment_Raw_data___Sheet13[[#This Row],[Customer Rating]]&lt;9), EPe_BA_intern_assesment_Raw_data___Sheet13[[#This Row],[Customer Rating]], "")</f>
        <v/>
      </c>
      <c r="R86">
        <f>IF(EPe_BA_intern_assesment_Raw_data___Sheet13[[#This Row],[Customer Rating]]&lt;7,EPe_BA_intern_assesment_Raw_data___Sheet13[[#This Row],[Customer Rating]])</f>
        <v>4</v>
      </c>
    </row>
    <row r="87" spans="1:18" x14ac:dyDescent="0.3">
      <c r="A87" t="s">
        <v>115</v>
      </c>
      <c r="B87" t="s">
        <v>21</v>
      </c>
      <c r="C87" t="s">
        <v>24</v>
      </c>
      <c r="D87" s="1">
        <v>45951</v>
      </c>
      <c r="E87" s="1"/>
      <c r="F87" s="1"/>
      <c r="G87" s="1"/>
      <c r="H87" t="s">
        <v>25</v>
      </c>
      <c r="I87" t="s">
        <v>28</v>
      </c>
      <c r="J87" s="1"/>
      <c r="P87" t="b">
        <f>IF(EPe_BA_intern_assesment_Raw_data___Sheet13[[#This Row],[Customer Rating]]&gt;8,EPe_BA_intern_assesment_Raw_data___Sheet13[[#This Row],[Customer Rating]])</f>
        <v>0</v>
      </c>
      <c r="Q87" t="str">
        <f>IF(AND(EPe_BA_intern_assesment_Raw_data___Sheet13[[#This Row],[Customer Rating]]&gt;6,EPe_BA_intern_assesment_Raw_data___Sheet13[[#This Row],[Customer Rating]]&lt;9), EPe_BA_intern_assesment_Raw_data___Sheet13[[#This Row],[Customer Rating]], "")</f>
        <v/>
      </c>
      <c r="R87">
        <f>IF(EPe_BA_intern_assesment_Raw_data___Sheet13[[#This Row],[Customer Rating]]&lt;7,EPe_BA_intern_assesment_Raw_data___Sheet13[[#This Row],[Customer Rating]])</f>
        <v>0</v>
      </c>
    </row>
    <row r="88" spans="1:18" x14ac:dyDescent="0.3">
      <c r="A88" t="s">
        <v>116</v>
      </c>
      <c r="B88" t="s">
        <v>21</v>
      </c>
      <c r="C88" t="s">
        <v>32</v>
      </c>
      <c r="D88" s="1">
        <v>45953</v>
      </c>
      <c r="E88" s="1">
        <v>45954</v>
      </c>
      <c r="F88" s="1">
        <v>45958</v>
      </c>
      <c r="G88" s="1">
        <v>45961</v>
      </c>
      <c r="H88" t="s">
        <v>18</v>
      </c>
      <c r="I88" t="s">
        <v>19</v>
      </c>
      <c r="J88" s="1">
        <v>45981</v>
      </c>
      <c r="K88">
        <v>1</v>
      </c>
      <c r="L88">
        <v>4</v>
      </c>
      <c r="M88">
        <v>3</v>
      </c>
      <c r="N88">
        <v>7</v>
      </c>
      <c r="O88">
        <v>8</v>
      </c>
      <c r="P88" t="b">
        <f>IF(EPe_BA_intern_assesment_Raw_data___Sheet13[[#This Row],[Customer Rating]]&gt;8,EPe_BA_intern_assesment_Raw_data___Sheet13[[#This Row],[Customer Rating]])</f>
        <v>0</v>
      </c>
      <c r="Q88">
        <f>IF(AND(EPe_BA_intern_assesment_Raw_data___Sheet13[[#This Row],[Customer Rating]]&gt;6,EPe_BA_intern_assesment_Raw_data___Sheet13[[#This Row],[Customer Rating]]&lt;9), EPe_BA_intern_assesment_Raw_data___Sheet13[[#This Row],[Customer Rating]], "")</f>
        <v>7</v>
      </c>
      <c r="R88" t="b">
        <f>IF(EPe_BA_intern_assesment_Raw_data___Sheet13[[#This Row],[Customer Rating]]&lt;7,EPe_BA_intern_assesment_Raw_data___Sheet13[[#This Row],[Customer Rating]])</f>
        <v>0</v>
      </c>
    </row>
    <row r="89" spans="1:18" x14ac:dyDescent="0.3">
      <c r="A89" t="s">
        <v>117</v>
      </c>
      <c r="B89" t="s">
        <v>21</v>
      </c>
      <c r="C89" t="s">
        <v>24</v>
      </c>
      <c r="D89" s="1">
        <v>45946</v>
      </c>
      <c r="E89" s="1"/>
      <c r="F89" s="1"/>
      <c r="G89" s="1"/>
      <c r="H89" t="s">
        <v>25</v>
      </c>
      <c r="I89" t="s">
        <v>35</v>
      </c>
      <c r="J89" s="1"/>
      <c r="P89" t="b">
        <f>IF(EPe_BA_intern_assesment_Raw_data___Sheet13[[#This Row],[Customer Rating]]&gt;8,EPe_BA_intern_assesment_Raw_data___Sheet13[[#This Row],[Customer Rating]])</f>
        <v>0</v>
      </c>
      <c r="Q89" t="str">
        <f>IF(AND(EPe_BA_intern_assesment_Raw_data___Sheet13[[#This Row],[Customer Rating]]&gt;6,EPe_BA_intern_assesment_Raw_data___Sheet13[[#This Row],[Customer Rating]]&lt;9), EPe_BA_intern_assesment_Raw_data___Sheet13[[#This Row],[Customer Rating]], "")</f>
        <v/>
      </c>
      <c r="R89">
        <f>IF(EPe_BA_intern_assesment_Raw_data___Sheet13[[#This Row],[Customer Rating]]&lt;7,EPe_BA_intern_assesment_Raw_data___Sheet13[[#This Row],[Customer Rating]])</f>
        <v>0</v>
      </c>
    </row>
    <row r="90" spans="1:18" x14ac:dyDescent="0.3">
      <c r="A90" t="s">
        <v>118</v>
      </c>
      <c r="B90" t="s">
        <v>23</v>
      </c>
      <c r="C90" t="s">
        <v>32</v>
      </c>
      <c r="D90" s="1">
        <v>45945</v>
      </c>
      <c r="E90" s="1">
        <v>45947</v>
      </c>
      <c r="F90" s="1">
        <v>45950</v>
      </c>
      <c r="G90" s="1">
        <v>45956</v>
      </c>
      <c r="H90" t="s">
        <v>18</v>
      </c>
      <c r="I90" t="s">
        <v>19</v>
      </c>
      <c r="J90" s="1">
        <v>45985</v>
      </c>
      <c r="K90">
        <v>2</v>
      </c>
      <c r="L90">
        <v>3</v>
      </c>
      <c r="M90">
        <v>6</v>
      </c>
      <c r="N90">
        <v>5</v>
      </c>
      <c r="O90">
        <v>11</v>
      </c>
      <c r="P90" t="b">
        <f>IF(EPe_BA_intern_assesment_Raw_data___Sheet13[[#This Row],[Customer Rating]]&gt;8,EPe_BA_intern_assesment_Raw_data___Sheet13[[#This Row],[Customer Rating]])</f>
        <v>0</v>
      </c>
      <c r="Q90" t="str">
        <f>IF(AND(EPe_BA_intern_assesment_Raw_data___Sheet13[[#This Row],[Customer Rating]]&gt;6,EPe_BA_intern_assesment_Raw_data___Sheet13[[#This Row],[Customer Rating]]&lt;9), EPe_BA_intern_assesment_Raw_data___Sheet13[[#This Row],[Customer Rating]], "")</f>
        <v/>
      </c>
      <c r="R90">
        <f>IF(EPe_BA_intern_assesment_Raw_data___Sheet13[[#This Row],[Customer Rating]]&lt;7,EPe_BA_intern_assesment_Raw_data___Sheet13[[#This Row],[Customer Rating]])</f>
        <v>5</v>
      </c>
    </row>
    <row r="91" spans="1:18" x14ac:dyDescent="0.3">
      <c r="A91" t="s">
        <v>119</v>
      </c>
      <c r="B91" t="s">
        <v>23</v>
      </c>
      <c r="C91" t="s">
        <v>32</v>
      </c>
      <c r="D91" s="1">
        <v>45956</v>
      </c>
      <c r="E91" s="1">
        <v>45957</v>
      </c>
      <c r="F91" s="1">
        <v>45961</v>
      </c>
      <c r="G91" s="1">
        <v>45966</v>
      </c>
      <c r="H91" t="s">
        <v>18</v>
      </c>
      <c r="I91" t="s">
        <v>19</v>
      </c>
      <c r="J91" s="1">
        <v>45983</v>
      </c>
      <c r="K91">
        <v>1</v>
      </c>
      <c r="L91">
        <v>4</v>
      </c>
      <c r="M91">
        <v>5</v>
      </c>
      <c r="N91">
        <v>8</v>
      </c>
      <c r="O91">
        <v>10</v>
      </c>
      <c r="P91" t="b">
        <f>IF(EPe_BA_intern_assesment_Raw_data___Sheet13[[#This Row],[Customer Rating]]&gt;8,EPe_BA_intern_assesment_Raw_data___Sheet13[[#This Row],[Customer Rating]])</f>
        <v>0</v>
      </c>
      <c r="Q91">
        <f>IF(AND(EPe_BA_intern_assesment_Raw_data___Sheet13[[#This Row],[Customer Rating]]&gt;6,EPe_BA_intern_assesment_Raw_data___Sheet13[[#This Row],[Customer Rating]]&lt;9), EPe_BA_intern_assesment_Raw_data___Sheet13[[#This Row],[Customer Rating]], "")</f>
        <v>8</v>
      </c>
      <c r="R91" t="b">
        <f>IF(EPe_BA_intern_assesment_Raw_data___Sheet13[[#This Row],[Customer Rating]]&lt;7,EPe_BA_intern_assesment_Raw_data___Sheet13[[#This Row],[Customer Rating]])</f>
        <v>0</v>
      </c>
    </row>
    <row r="92" spans="1:18" x14ac:dyDescent="0.3">
      <c r="A92" t="s">
        <v>120</v>
      </c>
      <c r="B92" t="s">
        <v>21</v>
      </c>
      <c r="C92" t="s">
        <v>17</v>
      </c>
      <c r="D92" s="1">
        <v>45931</v>
      </c>
      <c r="E92" s="1">
        <v>45932</v>
      </c>
      <c r="F92" s="1">
        <v>45935</v>
      </c>
      <c r="G92" s="1">
        <v>45940</v>
      </c>
      <c r="H92" t="s">
        <v>18</v>
      </c>
      <c r="I92" t="s">
        <v>19</v>
      </c>
      <c r="J92" s="1">
        <v>45970</v>
      </c>
      <c r="K92">
        <v>1</v>
      </c>
      <c r="L92">
        <v>3</v>
      </c>
      <c r="M92">
        <v>5</v>
      </c>
      <c r="N92">
        <v>0</v>
      </c>
      <c r="O92">
        <v>9</v>
      </c>
      <c r="P92" t="b">
        <f>IF(EPe_BA_intern_assesment_Raw_data___Sheet13[[#This Row],[Customer Rating]]&gt;8,EPe_BA_intern_assesment_Raw_data___Sheet13[[#This Row],[Customer Rating]])</f>
        <v>0</v>
      </c>
      <c r="Q92" t="str">
        <f>IF(AND(EPe_BA_intern_assesment_Raw_data___Sheet13[[#This Row],[Customer Rating]]&gt;6,EPe_BA_intern_assesment_Raw_data___Sheet13[[#This Row],[Customer Rating]]&lt;9), EPe_BA_intern_assesment_Raw_data___Sheet13[[#This Row],[Customer Rating]], "")</f>
        <v/>
      </c>
      <c r="R92">
        <f>IF(EPe_BA_intern_assesment_Raw_data___Sheet13[[#This Row],[Customer Rating]]&lt;7,EPe_BA_intern_assesment_Raw_data___Sheet13[[#This Row],[Customer Rating]])</f>
        <v>0</v>
      </c>
    </row>
    <row r="93" spans="1:18" x14ac:dyDescent="0.3">
      <c r="A93" t="s">
        <v>121</v>
      </c>
      <c r="B93" t="s">
        <v>34</v>
      </c>
      <c r="C93" t="s">
        <v>32</v>
      </c>
      <c r="D93" s="1">
        <v>45933</v>
      </c>
      <c r="E93" s="1">
        <v>45938</v>
      </c>
      <c r="F93" s="1">
        <v>45943</v>
      </c>
      <c r="G93" s="1">
        <v>45946</v>
      </c>
      <c r="H93" t="s">
        <v>18</v>
      </c>
      <c r="I93" t="s">
        <v>19</v>
      </c>
      <c r="J93" s="1">
        <v>45974</v>
      </c>
      <c r="K93">
        <v>5</v>
      </c>
      <c r="L93">
        <v>5</v>
      </c>
      <c r="M93">
        <v>3</v>
      </c>
      <c r="N93">
        <v>9</v>
      </c>
      <c r="O93">
        <v>13</v>
      </c>
      <c r="P93">
        <f>IF(EPe_BA_intern_assesment_Raw_data___Sheet13[[#This Row],[Customer Rating]]&gt;8,EPe_BA_intern_assesment_Raw_data___Sheet13[[#This Row],[Customer Rating]])</f>
        <v>9</v>
      </c>
      <c r="Q93" t="str">
        <f>IF(AND(EPe_BA_intern_assesment_Raw_data___Sheet13[[#This Row],[Customer Rating]]&gt;6,EPe_BA_intern_assesment_Raw_data___Sheet13[[#This Row],[Customer Rating]]&lt;9), EPe_BA_intern_assesment_Raw_data___Sheet13[[#This Row],[Customer Rating]], "")</f>
        <v/>
      </c>
      <c r="R93" t="b">
        <f>IF(EPe_BA_intern_assesment_Raw_data___Sheet13[[#This Row],[Customer Rating]]&lt;7,EPe_BA_intern_assesment_Raw_data___Sheet13[[#This Row],[Customer Rating]])</f>
        <v>0</v>
      </c>
    </row>
    <row r="94" spans="1:18" x14ac:dyDescent="0.3">
      <c r="A94" t="s">
        <v>122</v>
      </c>
      <c r="B94" t="s">
        <v>16</v>
      </c>
      <c r="C94" t="s">
        <v>24</v>
      </c>
      <c r="D94" s="1">
        <v>45940</v>
      </c>
      <c r="E94" s="1"/>
      <c r="F94" s="1"/>
      <c r="G94" s="1"/>
      <c r="H94" t="s">
        <v>25</v>
      </c>
      <c r="I94" t="s">
        <v>103</v>
      </c>
      <c r="J94" s="1"/>
      <c r="P94" t="b">
        <f>IF(EPe_BA_intern_assesment_Raw_data___Sheet13[[#This Row],[Customer Rating]]&gt;8,EPe_BA_intern_assesment_Raw_data___Sheet13[[#This Row],[Customer Rating]])</f>
        <v>0</v>
      </c>
      <c r="Q94" t="str">
        <f>IF(AND(EPe_BA_intern_assesment_Raw_data___Sheet13[[#This Row],[Customer Rating]]&gt;6,EPe_BA_intern_assesment_Raw_data___Sheet13[[#This Row],[Customer Rating]]&lt;9), EPe_BA_intern_assesment_Raw_data___Sheet13[[#This Row],[Customer Rating]], "")</f>
        <v/>
      </c>
      <c r="R94">
        <f>IF(EPe_BA_intern_assesment_Raw_data___Sheet13[[#This Row],[Customer Rating]]&lt;7,EPe_BA_intern_assesment_Raw_data___Sheet13[[#This Row],[Customer Rating]])</f>
        <v>0</v>
      </c>
    </row>
    <row r="95" spans="1:18" x14ac:dyDescent="0.3">
      <c r="A95" t="s">
        <v>123</v>
      </c>
      <c r="B95" t="s">
        <v>21</v>
      </c>
      <c r="C95" t="s">
        <v>24</v>
      </c>
      <c r="D95" s="1">
        <v>45938</v>
      </c>
      <c r="E95" s="1"/>
      <c r="F95" s="1"/>
      <c r="G95" s="1"/>
      <c r="H95" t="s">
        <v>25</v>
      </c>
      <c r="I95" t="s">
        <v>65</v>
      </c>
      <c r="J95" s="1"/>
      <c r="P95" t="b">
        <f>IF(EPe_BA_intern_assesment_Raw_data___Sheet13[[#This Row],[Customer Rating]]&gt;8,EPe_BA_intern_assesment_Raw_data___Sheet13[[#This Row],[Customer Rating]])</f>
        <v>0</v>
      </c>
      <c r="Q95" t="str">
        <f>IF(AND(EPe_BA_intern_assesment_Raw_data___Sheet13[[#This Row],[Customer Rating]]&gt;6,EPe_BA_intern_assesment_Raw_data___Sheet13[[#This Row],[Customer Rating]]&lt;9), EPe_BA_intern_assesment_Raw_data___Sheet13[[#This Row],[Customer Rating]], "")</f>
        <v/>
      </c>
      <c r="R95">
        <f>IF(EPe_BA_intern_assesment_Raw_data___Sheet13[[#This Row],[Customer Rating]]&lt;7,EPe_BA_intern_assesment_Raw_data___Sheet13[[#This Row],[Customer Rating]])</f>
        <v>0</v>
      </c>
    </row>
    <row r="96" spans="1:18" x14ac:dyDescent="0.3">
      <c r="A96" t="s">
        <v>124</v>
      </c>
      <c r="B96" t="s">
        <v>34</v>
      </c>
      <c r="C96" t="s">
        <v>24</v>
      </c>
      <c r="D96" s="1">
        <v>45943</v>
      </c>
      <c r="E96" s="1"/>
      <c r="F96" s="1"/>
      <c r="G96" s="1"/>
      <c r="H96" t="s">
        <v>25</v>
      </c>
      <c r="I96" t="s">
        <v>28</v>
      </c>
      <c r="J96" s="1"/>
      <c r="P96" t="b">
        <f>IF(EPe_BA_intern_assesment_Raw_data___Sheet13[[#This Row],[Customer Rating]]&gt;8,EPe_BA_intern_assesment_Raw_data___Sheet13[[#This Row],[Customer Rating]])</f>
        <v>0</v>
      </c>
      <c r="Q96" t="str">
        <f>IF(AND(EPe_BA_intern_assesment_Raw_data___Sheet13[[#This Row],[Customer Rating]]&gt;6,EPe_BA_intern_assesment_Raw_data___Sheet13[[#This Row],[Customer Rating]]&lt;9), EPe_BA_intern_assesment_Raw_data___Sheet13[[#This Row],[Customer Rating]], "")</f>
        <v/>
      </c>
      <c r="R96">
        <f>IF(EPe_BA_intern_assesment_Raw_data___Sheet13[[#This Row],[Customer Rating]]&lt;7,EPe_BA_intern_assesment_Raw_data___Sheet13[[#This Row],[Customer Rating]])</f>
        <v>0</v>
      </c>
    </row>
    <row r="97" spans="1:18" x14ac:dyDescent="0.3">
      <c r="A97" t="s">
        <v>125</v>
      </c>
      <c r="B97" t="s">
        <v>16</v>
      </c>
      <c r="C97" t="s">
        <v>17</v>
      </c>
      <c r="D97" s="1">
        <v>45953</v>
      </c>
      <c r="E97" s="1">
        <v>45955</v>
      </c>
      <c r="F97" s="1">
        <v>45958</v>
      </c>
      <c r="G97" s="1">
        <v>45963</v>
      </c>
      <c r="H97" t="s">
        <v>18</v>
      </c>
      <c r="I97" t="s">
        <v>19</v>
      </c>
      <c r="J97" s="1">
        <v>45976</v>
      </c>
      <c r="K97">
        <v>2</v>
      </c>
      <c r="L97">
        <v>3</v>
      </c>
      <c r="M97">
        <v>5</v>
      </c>
      <c r="N97">
        <v>9</v>
      </c>
      <c r="O97">
        <v>10</v>
      </c>
      <c r="P97">
        <f>IF(EPe_BA_intern_assesment_Raw_data___Sheet13[[#This Row],[Customer Rating]]&gt;8,EPe_BA_intern_assesment_Raw_data___Sheet13[[#This Row],[Customer Rating]])</f>
        <v>9</v>
      </c>
      <c r="Q97" t="str">
        <f>IF(AND(EPe_BA_intern_assesment_Raw_data___Sheet13[[#This Row],[Customer Rating]]&gt;6,EPe_BA_intern_assesment_Raw_data___Sheet13[[#This Row],[Customer Rating]]&lt;9), EPe_BA_intern_assesment_Raw_data___Sheet13[[#This Row],[Customer Rating]], "")</f>
        <v/>
      </c>
      <c r="R97" t="b">
        <f>IF(EPe_BA_intern_assesment_Raw_data___Sheet13[[#This Row],[Customer Rating]]&lt;7,EPe_BA_intern_assesment_Raw_data___Sheet13[[#This Row],[Customer Rating]])</f>
        <v>0</v>
      </c>
    </row>
    <row r="98" spans="1:18" x14ac:dyDescent="0.3">
      <c r="A98" t="s">
        <v>126</v>
      </c>
      <c r="B98" t="s">
        <v>21</v>
      </c>
      <c r="C98" t="s">
        <v>32</v>
      </c>
      <c r="D98" s="1">
        <v>45938</v>
      </c>
      <c r="E98" s="1">
        <v>45942</v>
      </c>
      <c r="F98" s="1">
        <v>45945</v>
      </c>
      <c r="G98" s="1">
        <v>45952</v>
      </c>
      <c r="H98" t="s">
        <v>25</v>
      </c>
      <c r="I98" t="s">
        <v>65</v>
      </c>
      <c r="J98" s="1"/>
      <c r="K98">
        <v>4</v>
      </c>
      <c r="L98">
        <v>3</v>
      </c>
      <c r="M98">
        <v>7</v>
      </c>
      <c r="O98">
        <v>14</v>
      </c>
      <c r="P98" t="b">
        <f>IF(EPe_BA_intern_assesment_Raw_data___Sheet13[[#This Row],[Customer Rating]]&gt;8,EPe_BA_intern_assesment_Raw_data___Sheet13[[#This Row],[Customer Rating]])</f>
        <v>0</v>
      </c>
      <c r="Q98" t="str">
        <f>IF(AND(EPe_BA_intern_assesment_Raw_data___Sheet13[[#This Row],[Customer Rating]]&gt;6,EPe_BA_intern_assesment_Raw_data___Sheet13[[#This Row],[Customer Rating]]&lt;9), EPe_BA_intern_assesment_Raw_data___Sheet13[[#This Row],[Customer Rating]], "")</f>
        <v/>
      </c>
      <c r="R98">
        <f>IF(EPe_BA_intern_assesment_Raw_data___Sheet13[[#This Row],[Customer Rating]]&lt;7,EPe_BA_intern_assesment_Raw_data___Sheet13[[#This Row],[Customer Rating]])</f>
        <v>0</v>
      </c>
    </row>
    <row r="99" spans="1:18" x14ac:dyDescent="0.3">
      <c r="A99" t="s">
        <v>127</v>
      </c>
      <c r="B99" t="s">
        <v>21</v>
      </c>
      <c r="C99" t="s">
        <v>17</v>
      </c>
      <c r="D99" s="1">
        <v>45940</v>
      </c>
      <c r="E99" s="1">
        <v>45944</v>
      </c>
      <c r="F99" s="1">
        <v>45945</v>
      </c>
      <c r="G99" s="1">
        <v>45951</v>
      </c>
      <c r="H99" t="s">
        <v>18</v>
      </c>
      <c r="I99" t="s">
        <v>19</v>
      </c>
      <c r="J99" s="1">
        <v>45976</v>
      </c>
      <c r="K99">
        <v>4</v>
      </c>
      <c r="L99">
        <v>1</v>
      </c>
      <c r="M99">
        <v>6</v>
      </c>
      <c r="N99">
        <v>6</v>
      </c>
      <c r="O99">
        <v>11</v>
      </c>
      <c r="P99" t="b">
        <f>IF(EPe_BA_intern_assesment_Raw_data___Sheet13[[#This Row],[Customer Rating]]&gt;8,EPe_BA_intern_assesment_Raw_data___Sheet13[[#This Row],[Customer Rating]])</f>
        <v>0</v>
      </c>
      <c r="Q99" t="str">
        <f>IF(AND(EPe_BA_intern_assesment_Raw_data___Sheet13[[#This Row],[Customer Rating]]&gt;6,EPe_BA_intern_assesment_Raw_data___Sheet13[[#This Row],[Customer Rating]]&lt;9), EPe_BA_intern_assesment_Raw_data___Sheet13[[#This Row],[Customer Rating]], "")</f>
        <v/>
      </c>
      <c r="R99">
        <f>IF(EPe_BA_intern_assesment_Raw_data___Sheet13[[#This Row],[Customer Rating]]&lt;7,EPe_BA_intern_assesment_Raw_data___Sheet13[[#This Row],[Customer Rating]])</f>
        <v>6</v>
      </c>
    </row>
    <row r="100" spans="1:18" x14ac:dyDescent="0.3">
      <c r="A100" t="s">
        <v>128</v>
      </c>
      <c r="B100" t="s">
        <v>23</v>
      </c>
      <c r="C100" t="s">
        <v>17</v>
      </c>
      <c r="D100" s="1">
        <v>45952</v>
      </c>
      <c r="E100" s="1">
        <v>45956</v>
      </c>
      <c r="F100" s="1">
        <v>45961</v>
      </c>
      <c r="G100" s="1">
        <v>45968</v>
      </c>
      <c r="H100" t="s">
        <v>18</v>
      </c>
      <c r="I100" t="s">
        <v>19</v>
      </c>
      <c r="J100" s="1">
        <v>45982</v>
      </c>
      <c r="K100">
        <v>4</v>
      </c>
      <c r="L100">
        <v>5</v>
      </c>
      <c r="M100">
        <v>7</v>
      </c>
      <c r="N100">
        <v>0</v>
      </c>
      <c r="O100">
        <v>16</v>
      </c>
      <c r="P100" t="b">
        <f>IF(EPe_BA_intern_assesment_Raw_data___Sheet13[[#This Row],[Customer Rating]]&gt;8,EPe_BA_intern_assesment_Raw_data___Sheet13[[#This Row],[Customer Rating]])</f>
        <v>0</v>
      </c>
      <c r="Q100" t="str">
        <f>IF(AND(EPe_BA_intern_assesment_Raw_data___Sheet13[[#This Row],[Customer Rating]]&gt;6,EPe_BA_intern_assesment_Raw_data___Sheet13[[#This Row],[Customer Rating]]&lt;9), EPe_BA_intern_assesment_Raw_data___Sheet13[[#This Row],[Customer Rating]], "")</f>
        <v/>
      </c>
      <c r="R100">
        <f>IF(EPe_BA_intern_assesment_Raw_data___Sheet13[[#This Row],[Customer Rating]]&lt;7,EPe_BA_intern_assesment_Raw_data___Sheet13[[#This Row],[Customer Rating]])</f>
        <v>0</v>
      </c>
    </row>
    <row r="101" spans="1:18" x14ac:dyDescent="0.3">
      <c r="A101" t="s">
        <v>129</v>
      </c>
      <c r="B101" t="s">
        <v>16</v>
      </c>
      <c r="C101" t="s">
        <v>17</v>
      </c>
      <c r="D101" s="1">
        <v>45949</v>
      </c>
      <c r="E101" s="1">
        <v>45952</v>
      </c>
      <c r="F101" s="1">
        <v>45957</v>
      </c>
      <c r="G101" s="1">
        <v>45964</v>
      </c>
      <c r="H101" t="s">
        <v>18</v>
      </c>
      <c r="I101" t="s">
        <v>19</v>
      </c>
      <c r="J101" s="1">
        <v>45984</v>
      </c>
      <c r="K101">
        <v>3</v>
      </c>
      <c r="L101">
        <v>5</v>
      </c>
      <c r="M101">
        <v>7</v>
      </c>
      <c r="N101">
        <v>10</v>
      </c>
      <c r="O101">
        <v>15</v>
      </c>
      <c r="P101">
        <f>IF(EPe_BA_intern_assesment_Raw_data___Sheet13[[#This Row],[Customer Rating]]&gt;8,EPe_BA_intern_assesment_Raw_data___Sheet13[[#This Row],[Customer Rating]])</f>
        <v>10</v>
      </c>
      <c r="Q101" t="str">
        <f>IF(AND(EPe_BA_intern_assesment_Raw_data___Sheet13[[#This Row],[Customer Rating]]&gt;6,EPe_BA_intern_assesment_Raw_data___Sheet13[[#This Row],[Customer Rating]]&lt;9), EPe_BA_intern_assesment_Raw_data___Sheet13[[#This Row],[Customer Rating]], "")</f>
        <v/>
      </c>
      <c r="R101" t="b">
        <f>IF(EPe_BA_intern_assesment_Raw_data___Sheet13[[#This Row],[Customer Rating]]&lt;7,EPe_BA_intern_assesment_Raw_data___Sheet13[[#This Row],[Customer Rating]])</f>
        <v>0</v>
      </c>
    </row>
    <row r="102" spans="1:18" x14ac:dyDescent="0.3">
      <c r="A102" t="s">
        <v>130</v>
      </c>
      <c r="B102" t="s">
        <v>16</v>
      </c>
      <c r="C102" t="s">
        <v>32</v>
      </c>
      <c r="D102" s="1">
        <v>45942</v>
      </c>
      <c r="E102" s="1">
        <v>45944</v>
      </c>
      <c r="F102" s="1">
        <v>45948</v>
      </c>
      <c r="G102" s="1">
        <v>45951</v>
      </c>
      <c r="H102" t="s">
        <v>18</v>
      </c>
      <c r="I102" t="s">
        <v>19</v>
      </c>
      <c r="J102" s="1">
        <v>45963</v>
      </c>
      <c r="K102">
        <v>2</v>
      </c>
      <c r="L102">
        <v>4</v>
      </c>
      <c r="M102">
        <v>3</v>
      </c>
      <c r="N102">
        <v>1</v>
      </c>
      <c r="O102">
        <v>9</v>
      </c>
      <c r="P102" t="b">
        <f>IF(EPe_BA_intern_assesment_Raw_data___Sheet13[[#This Row],[Customer Rating]]&gt;8,EPe_BA_intern_assesment_Raw_data___Sheet13[[#This Row],[Customer Rating]])</f>
        <v>0</v>
      </c>
      <c r="Q102" t="str">
        <f>IF(AND(EPe_BA_intern_assesment_Raw_data___Sheet13[[#This Row],[Customer Rating]]&gt;6,EPe_BA_intern_assesment_Raw_data___Sheet13[[#This Row],[Customer Rating]]&lt;9), EPe_BA_intern_assesment_Raw_data___Sheet13[[#This Row],[Customer Rating]], "")</f>
        <v/>
      </c>
      <c r="R102">
        <f>IF(EPe_BA_intern_assesment_Raw_data___Sheet13[[#This Row],[Customer Rating]]&lt;7,EPe_BA_intern_assesment_Raw_data___Sheet13[[#This Row],[Customer Rating]])</f>
        <v>1</v>
      </c>
    </row>
    <row r="103" spans="1:18" x14ac:dyDescent="0.3">
      <c r="A103" t="s">
        <v>131</v>
      </c>
      <c r="B103" t="s">
        <v>34</v>
      </c>
      <c r="C103" t="s">
        <v>17</v>
      </c>
      <c r="D103" s="1">
        <v>45946</v>
      </c>
      <c r="E103" s="1">
        <v>45949</v>
      </c>
      <c r="F103" s="1">
        <v>45953</v>
      </c>
      <c r="G103" s="1">
        <v>45959</v>
      </c>
      <c r="H103" t="s">
        <v>18</v>
      </c>
      <c r="I103" t="s">
        <v>19</v>
      </c>
      <c r="J103" s="1">
        <v>45976</v>
      </c>
      <c r="K103">
        <v>3</v>
      </c>
      <c r="L103">
        <v>4</v>
      </c>
      <c r="M103">
        <v>6</v>
      </c>
      <c r="N103">
        <v>1</v>
      </c>
      <c r="O103">
        <v>13</v>
      </c>
      <c r="P103" t="b">
        <f>IF(EPe_BA_intern_assesment_Raw_data___Sheet13[[#This Row],[Customer Rating]]&gt;8,EPe_BA_intern_assesment_Raw_data___Sheet13[[#This Row],[Customer Rating]])</f>
        <v>0</v>
      </c>
      <c r="Q103" t="str">
        <f>IF(AND(EPe_BA_intern_assesment_Raw_data___Sheet13[[#This Row],[Customer Rating]]&gt;6,EPe_BA_intern_assesment_Raw_data___Sheet13[[#This Row],[Customer Rating]]&lt;9), EPe_BA_intern_assesment_Raw_data___Sheet13[[#This Row],[Customer Rating]], "")</f>
        <v/>
      </c>
      <c r="R103">
        <f>IF(EPe_BA_intern_assesment_Raw_data___Sheet13[[#This Row],[Customer Rating]]&lt;7,EPe_BA_intern_assesment_Raw_data___Sheet13[[#This Row],[Customer Rating]])</f>
        <v>1</v>
      </c>
    </row>
    <row r="104" spans="1:18" x14ac:dyDescent="0.3">
      <c r="A104" t="s">
        <v>132</v>
      </c>
      <c r="B104" t="s">
        <v>23</v>
      </c>
      <c r="C104" t="s">
        <v>17</v>
      </c>
      <c r="D104" s="1">
        <v>45948</v>
      </c>
      <c r="E104" s="1">
        <v>45951</v>
      </c>
      <c r="F104" s="1">
        <v>45954</v>
      </c>
      <c r="G104" s="1">
        <v>45957</v>
      </c>
      <c r="H104" t="s">
        <v>18</v>
      </c>
      <c r="I104" t="s">
        <v>19</v>
      </c>
      <c r="J104" s="1">
        <v>45978</v>
      </c>
      <c r="K104">
        <v>3</v>
      </c>
      <c r="L104">
        <v>3</v>
      </c>
      <c r="M104">
        <v>3</v>
      </c>
      <c r="N104">
        <v>0</v>
      </c>
      <c r="O104">
        <v>9</v>
      </c>
      <c r="P104" t="b">
        <f>IF(EPe_BA_intern_assesment_Raw_data___Sheet13[[#This Row],[Customer Rating]]&gt;8,EPe_BA_intern_assesment_Raw_data___Sheet13[[#This Row],[Customer Rating]])</f>
        <v>0</v>
      </c>
      <c r="Q104" t="str">
        <f>IF(AND(EPe_BA_intern_assesment_Raw_data___Sheet13[[#This Row],[Customer Rating]]&gt;6,EPe_BA_intern_assesment_Raw_data___Sheet13[[#This Row],[Customer Rating]]&lt;9), EPe_BA_intern_assesment_Raw_data___Sheet13[[#This Row],[Customer Rating]], "")</f>
        <v/>
      </c>
      <c r="R104">
        <f>IF(EPe_BA_intern_assesment_Raw_data___Sheet13[[#This Row],[Customer Rating]]&lt;7,EPe_BA_intern_assesment_Raw_data___Sheet13[[#This Row],[Customer Rating]])</f>
        <v>0</v>
      </c>
    </row>
    <row r="105" spans="1:18" x14ac:dyDescent="0.3">
      <c r="A105" t="s">
        <v>133</v>
      </c>
      <c r="B105" t="s">
        <v>23</v>
      </c>
      <c r="C105" t="s">
        <v>24</v>
      </c>
      <c r="D105" s="1">
        <v>45947</v>
      </c>
      <c r="E105" s="1"/>
      <c r="F105" s="1"/>
      <c r="G105" s="1"/>
      <c r="H105" t="s">
        <v>25</v>
      </c>
      <c r="I105" t="s">
        <v>103</v>
      </c>
      <c r="J105" s="1"/>
      <c r="P105" t="b">
        <f>IF(EPe_BA_intern_assesment_Raw_data___Sheet13[[#This Row],[Customer Rating]]&gt;8,EPe_BA_intern_assesment_Raw_data___Sheet13[[#This Row],[Customer Rating]])</f>
        <v>0</v>
      </c>
      <c r="Q105" t="str">
        <f>IF(AND(EPe_BA_intern_assesment_Raw_data___Sheet13[[#This Row],[Customer Rating]]&gt;6,EPe_BA_intern_assesment_Raw_data___Sheet13[[#This Row],[Customer Rating]]&lt;9), EPe_BA_intern_assesment_Raw_data___Sheet13[[#This Row],[Customer Rating]], "")</f>
        <v/>
      </c>
      <c r="R105">
        <f>IF(EPe_BA_intern_assesment_Raw_data___Sheet13[[#This Row],[Customer Rating]]&lt;7,EPe_BA_intern_assesment_Raw_data___Sheet13[[#This Row],[Customer Rating]])</f>
        <v>0</v>
      </c>
    </row>
    <row r="106" spans="1:18" x14ac:dyDescent="0.3">
      <c r="A106" t="s">
        <v>134</v>
      </c>
      <c r="B106" t="s">
        <v>23</v>
      </c>
      <c r="C106" t="s">
        <v>24</v>
      </c>
      <c r="D106" s="1">
        <v>45942</v>
      </c>
      <c r="E106" s="1"/>
      <c r="F106" s="1"/>
      <c r="G106" s="1"/>
      <c r="H106" t="s">
        <v>25</v>
      </c>
      <c r="I106" t="s">
        <v>103</v>
      </c>
      <c r="J106" s="1"/>
      <c r="P106" t="b">
        <f>IF(EPe_BA_intern_assesment_Raw_data___Sheet13[[#This Row],[Customer Rating]]&gt;8,EPe_BA_intern_assesment_Raw_data___Sheet13[[#This Row],[Customer Rating]])</f>
        <v>0</v>
      </c>
      <c r="Q106" t="str">
        <f>IF(AND(EPe_BA_intern_assesment_Raw_data___Sheet13[[#This Row],[Customer Rating]]&gt;6,EPe_BA_intern_assesment_Raw_data___Sheet13[[#This Row],[Customer Rating]]&lt;9), EPe_BA_intern_assesment_Raw_data___Sheet13[[#This Row],[Customer Rating]], "")</f>
        <v/>
      </c>
      <c r="R106">
        <f>IF(EPe_BA_intern_assesment_Raw_data___Sheet13[[#This Row],[Customer Rating]]&lt;7,EPe_BA_intern_assesment_Raw_data___Sheet13[[#This Row],[Customer Rating]])</f>
        <v>0</v>
      </c>
    </row>
    <row r="107" spans="1:18" x14ac:dyDescent="0.3">
      <c r="A107" t="s">
        <v>135</v>
      </c>
      <c r="B107" t="s">
        <v>23</v>
      </c>
      <c r="C107" t="s">
        <v>17</v>
      </c>
      <c r="D107" s="1">
        <v>45944</v>
      </c>
      <c r="E107" s="1">
        <v>45947</v>
      </c>
      <c r="F107" s="1">
        <v>45949</v>
      </c>
      <c r="G107" s="1">
        <v>45954</v>
      </c>
      <c r="H107" t="s">
        <v>18</v>
      </c>
      <c r="I107" t="s">
        <v>19</v>
      </c>
      <c r="J107" s="1">
        <v>45974</v>
      </c>
      <c r="K107">
        <v>3</v>
      </c>
      <c r="L107">
        <v>2</v>
      </c>
      <c r="M107">
        <v>5</v>
      </c>
      <c r="N107">
        <v>2</v>
      </c>
      <c r="O107">
        <v>10</v>
      </c>
      <c r="P107" t="b">
        <f>IF(EPe_BA_intern_assesment_Raw_data___Sheet13[[#This Row],[Customer Rating]]&gt;8,EPe_BA_intern_assesment_Raw_data___Sheet13[[#This Row],[Customer Rating]])</f>
        <v>0</v>
      </c>
      <c r="Q107" t="str">
        <f>IF(AND(EPe_BA_intern_assesment_Raw_data___Sheet13[[#This Row],[Customer Rating]]&gt;6,EPe_BA_intern_assesment_Raw_data___Sheet13[[#This Row],[Customer Rating]]&lt;9), EPe_BA_intern_assesment_Raw_data___Sheet13[[#This Row],[Customer Rating]], "")</f>
        <v/>
      </c>
      <c r="R107">
        <f>IF(EPe_BA_intern_assesment_Raw_data___Sheet13[[#This Row],[Customer Rating]]&lt;7,EPe_BA_intern_assesment_Raw_data___Sheet13[[#This Row],[Customer Rating]])</f>
        <v>2</v>
      </c>
    </row>
    <row r="108" spans="1:18" x14ac:dyDescent="0.3">
      <c r="A108" t="s">
        <v>136</v>
      </c>
      <c r="B108" t="s">
        <v>16</v>
      </c>
      <c r="C108" t="s">
        <v>17</v>
      </c>
      <c r="D108" s="1">
        <v>45954</v>
      </c>
      <c r="E108" s="1">
        <v>45959</v>
      </c>
      <c r="F108" s="1">
        <v>45962</v>
      </c>
      <c r="G108" s="1">
        <v>45966</v>
      </c>
      <c r="H108" t="s">
        <v>25</v>
      </c>
      <c r="I108" t="s">
        <v>26</v>
      </c>
      <c r="J108" s="1"/>
      <c r="K108">
        <v>5</v>
      </c>
      <c r="L108">
        <v>3</v>
      </c>
      <c r="M108">
        <v>4</v>
      </c>
      <c r="O108">
        <v>12</v>
      </c>
      <c r="P108" t="b">
        <f>IF(EPe_BA_intern_assesment_Raw_data___Sheet13[[#This Row],[Customer Rating]]&gt;8,EPe_BA_intern_assesment_Raw_data___Sheet13[[#This Row],[Customer Rating]])</f>
        <v>0</v>
      </c>
      <c r="Q108" t="str">
        <f>IF(AND(EPe_BA_intern_assesment_Raw_data___Sheet13[[#This Row],[Customer Rating]]&gt;6,EPe_BA_intern_assesment_Raw_data___Sheet13[[#This Row],[Customer Rating]]&lt;9), EPe_BA_intern_assesment_Raw_data___Sheet13[[#This Row],[Customer Rating]], "")</f>
        <v/>
      </c>
      <c r="R108">
        <f>IF(EPe_BA_intern_assesment_Raw_data___Sheet13[[#This Row],[Customer Rating]]&lt;7,EPe_BA_intern_assesment_Raw_data___Sheet13[[#This Row],[Customer Rating]])</f>
        <v>0</v>
      </c>
    </row>
    <row r="109" spans="1:18" x14ac:dyDescent="0.3">
      <c r="A109" t="s">
        <v>137</v>
      </c>
      <c r="B109" t="s">
        <v>16</v>
      </c>
      <c r="C109" t="s">
        <v>17</v>
      </c>
      <c r="D109" s="1">
        <v>45948</v>
      </c>
      <c r="E109" s="1">
        <v>45953</v>
      </c>
      <c r="F109" s="1">
        <v>45954</v>
      </c>
      <c r="G109" s="1">
        <v>45957</v>
      </c>
      <c r="H109" t="s">
        <v>18</v>
      </c>
      <c r="I109" t="s">
        <v>19</v>
      </c>
      <c r="J109" s="1">
        <v>45972</v>
      </c>
      <c r="K109">
        <v>5</v>
      </c>
      <c r="L109">
        <v>1</v>
      </c>
      <c r="M109">
        <v>3</v>
      </c>
      <c r="N109">
        <v>10</v>
      </c>
      <c r="O109">
        <v>9</v>
      </c>
      <c r="P109">
        <f>IF(EPe_BA_intern_assesment_Raw_data___Sheet13[[#This Row],[Customer Rating]]&gt;8,EPe_BA_intern_assesment_Raw_data___Sheet13[[#This Row],[Customer Rating]])</f>
        <v>10</v>
      </c>
      <c r="Q109" t="str">
        <f>IF(AND(EPe_BA_intern_assesment_Raw_data___Sheet13[[#This Row],[Customer Rating]]&gt;6,EPe_BA_intern_assesment_Raw_data___Sheet13[[#This Row],[Customer Rating]]&lt;9), EPe_BA_intern_assesment_Raw_data___Sheet13[[#This Row],[Customer Rating]], "")</f>
        <v/>
      </c>
      <c r="R109" t="b">
        <f>IF(EPe_BA_intern_assesment_Raw_data___Sheet13[[#This Row],[Customer Rating]]&lt;7,EPe_BA_intern_assesment_Raw_data___Sheet13[[#This Row],[Customer Rating]])</f>
        <v>0</v>
      </c>
    </row>
    <row r="110" spans="1:18" x14ac:dyDescent="0.3">
      <c r="A110" t="s">
        <v>138</v>
      </c>
      <c r="B110" t="s">
        <v>21</v>
      </c>
      <c r="C110" t="s">
        <v>32</v>
      </c>
      <c r="D110" s="1">
        <v>45941</v>
      </c>
      <c r="E110" s="1">
        <v>45942</v>
      </c>
      <c r="F110" s="1">
        <v>45945</v>
      </c>
      <c r="G110" s="1">
        <v>45948</v>
      </c>
      <c r="H110" t="s">
        <v>18</v>
      </c>
      <c r="I110" t="s">
        <v>19</v>
      </c>
      <c r="J110" s="1">
        <v>45978</v>
      </c>
      <c r="K110">
        <v>1</v>
      </c>
      <c r="L110">
        <v>3</v>
      </c>
      <c r="M110">
        <v>3</v>
      </c>
      <c r="N110">
        <v>4</v>
      </c>
      <c r="O110">
        <v>7</v>
      </c>
      <c r="P110" t="b">
        <f>IF(EPe_BA_intern_assesment_Raw_data___Sheet13[[#This Row],[Customer Rating]]&gt;8,EPe_BA_intern_assesment_Raw_data___Sheet13[[#This Row],[Customer Rating]])</f>
        <v>0</v>
      </c>
      <c r="Q110" t="str">
        <f>IF(AND(EPe_BA_intern_assesment_Raw_data___Sheet13[[#This Row],[Customer Rating]]&gt;6,EPe_BA_intern_assesment_Raw_data___Sheet13[[#This Row],[Customer Rating]]&lt;9), EPe_BA_intern_assesment_Raw_data___Sheet13[[#This Row],[Customer Rating]], "")</f>
        <v/>
      </c>
      <c r="R110">
        <f>IF(EPe_BA_intern_assesment_Raw_data___Sheet13[[#This Row],[Customer Rating]]&lt;7,EPe_BA_intern_assesment_Raw_data___Sheet13[[#This Row],[Customer Rating]])</f>
        <v>4</v>
      </c>
    </row>
    <row r="111" spans="1:18" x14ac:dyDescent="0.3">
      <c r="A111" t="s">
        <v>139</v>
      </c>
      <c r="B111" t="s">
        <v>21</v>
      </c>
      <c r="C111" t="s">
        <v>24</v>
      </c>
      <c r="D111" s="1">
        <v>45942</v>
      </c>
      <c r="E111" s="1"/>
      <c r="F111" s="1"/>
      <c r="G111" s="1"/>
      <c r="H111" t="s">
        <v>25</v>
      </c>
      <c r="I111" t="s">
        <v>103</v>
      </c>
      <c r="J111" s="1"/>
      <c r="P111" t="b">
        <f>IF(EPe_BA_intern_assesment_Raw_data___Sheet13[[#This Row],[Customer Rating]]&gt;8,EPe_BA_intern_assesment_Raw_data___Sheet13[[#This Row],[Customer Rating]])</f>
        <v>0</v>
      </c>
      <c r="Q111" t="str">
        <f>IF(AND(EPe_BA_intern_assesment_Raw_data___Sheet13[[#This Row],[Customer Rating]]&gt;6,EPe_BA_intern_assesment_Raw_data___Sheet13[[#This Row],[Customer Rating]]&lt;9), EPe_BA_intern_assesment_Raw_data___Sheet13[[#This Row],[Customer Rating]], "")</f>
        <v/>
      </c>
      <c r="R111">
        <f>IF(EPe_BA_intern_assesment_Raw_data___Sheet13[[#This Row],[Customer Rating]]&lt;7,EPe_BA_intern_assesment_Raw_data___Sheet13[[#This Row],[Customer Rating]])</f>
        <v>0</v>
      </c>
    </row>
    <row r="112" spans="1:18" x14ac:dyDescent="0.3">
      <c r="A112" t="s">
        <v>140</v>
      </c>
      <c r="B112" t="s">
        <v>23</v>
      </c>
      <c r="C112" t="s">
        <v>24</v>
      </c>
      <c r="D112" s="1">
        <v>45953</v>
      </c>
      <c r="E112" s="1"/>
      <c r="F112" s="1"/>
      <c r="G112" s="1"/>
      <c r="H112" t="s">
        <v>25</v>
      </c>
      <c r="I112" t="s">
        <v>65</v>
      </c>
      <c r="J112" s="1"/>
      <c r="P112" t="b">
        <f>IF(EPe_BA_intern_assesment_Raw_data___Sheet13[[#This Row],[Customer Rating]]&gt;8,EPe_BA_intern_assesment_Raw_data___Sheet13[[#This Row],[Customer Rating]])</f>
        <v>0</v>
      </c>
      <c r="Q112" t="str">
        <f>IF(AND(EPe_BA_intern_assesment_Raw_data___Sheet13[[#This Row],[Customer Rating]]&gt;6,EPe_BA_intern_assesment_Raw_data___Sheet13[[#This Row],[Customer Rating]]&lt;9), EPe_BA_intern_assesment_Raw_data___Sheet13[[#This Row],[Customer Rating]], "")</f>
        <v/>
      </c>
      <c r="R112">
        <f>IF(EPe_BA_intern_assesment_Raw_data___Sheet13[[#This Row],[Customer Rating]]&lt;7,EPe_BA_intern_assesment_Raw_data___Sheet13[[#This Row],[Customer Rating]])</f>
        <v>0</v>
      </c>
    </row>
    <row r="113" spans="1:18" x14ac:dyDescent="0.3">
      <c r="A113" t="s">
        <v>141</v>
      </c>
      <c r="B113" t="s">
        <v>23</v>
      </c>
      <c r="C113" t="s">
        <v>17</v>
      </c>
      <c r="D113" s="1">
        <v>45945</v>
      </c>
      <c r="E113" s="1">
        <v>45946</v>
      </c>
      <c r="F113" s="1">
        <v>45947</v>
      </c>
      <c r="G113" s="1">
        <v>45951</v>
      </c>
      <c r="H113" t="s">
        <v>18</v>
      </c>
      <c r="I113" t="s">
        <v>19</v>
      </c>
      <c r="J113" s="1">
        <v>45963</v>
      </c>
      <c r="K113">
        <v>1</v>
      </c>
      <c r="L113">
        <v>1</v>
      </c>
      <c r="M113">
        <v>4</v>
      </c>
      <c r="N113">
        <v>2</v>
      </c>
      <c r="O113">
        <v>6</v>
      </c>
      <c r="P113" t="b">
        <f>IF(EPe_BA_intern_assesment_Raw_data___Sheet13[[#This Row],[Customer Rating]]&gt;8,EPe_BA_intern_assesment_Raw_data___Sheet13[[#This Row],[Customer Rating]])</f>
        <v>0</v>
      </c>
      <c r="Q113" t="str">
        <f>IF(AND(EPe_BA_intern_assesment_Raw_data___Sheet13[[#This Row],[Customer Rating]]&gt;6,EPe_BA_intern_assesment_Raw_data___Sheet13[[#This Row],[Customer Rating]]&lt;9), EPe_BA_intern_assesment_Raw_data___Sheet13[[#This Row],[Customer Rating]], "")</f>
        <v/>
      </c>
      <c r="R113">
        <f>IF(EPe_BA_intern_assesment_Raw_data___Sheet13[[#This Row],[Customer Rating]]&lt;7,EPe_BA_intern_assesment_Raw_data___Sheet13[[#This Row],[Customer Rating]])</f>
        <v>2</v>
      </c>
    </row>
    <row r="114" spans="1:18" x14ac:dyDescent="0.3">
      <c r="A114" t="s">
        <v>142</v>
      </c>
      <c r="B114" t="s">
        <v>23</v>
      </c>
      <c r="C114" t="s">
        <v>17</v>
      </c>
      <c r="D114" s="1">
        <v>45939</v>
      </c>
      <c r="E114" s="1">
        <v>45941</v>
      </c>
      <c r="F114" s="1">
        <v>45944</v>
      </c>
      <c r="G114" s="1">
        <v>45949</v>
      </c>
      <c r="H114" t="s">
        <v>25</v>
      </c>
      <c r="I114" t="s">
        <v>35</v>
      </c>
      <c r="J114" s="1"/>
      <c r="K114">
        <v>2</v>
      </c>
      <c r="L114">
        <v>3</v>
      </c>
      <c r="M114">
        <v>5</v>
      </c>
      <c r="O114">
        <v>10</v>
      </c>
      <c r="P114" t="b">
        <f>IF(EPe_BA_intern_assesment_Raw_data___Sheet13[[#This Row],[Customer Rating]]&gt;8,EPe_BA_intern_assesment_Raw_data___Sheet13[[#This Row],[Customer Rating]])</f>
        <v>0</v>
      </c>
      <c r="Q114" t="str">
        <f>IF(AND(EPe_BA_intern_assesment_Raw_data___Sheet13[[#This Row],[Customer Rating]]&gt;6,EPe_BA_intern_assesment_Raw_data___Sheet13[[#This Row],[Customer Rating]]&lt;9), EPe_BA_intern_assesment_Raw_data___Sheet13[[#This Row],[Customer Rating]], "")</f>
        <v/>
      </c>
      <c r="R114">
        <f>IF(EPe_BA_intern_assesment_Raw_data___Sheet13[[#This Row],[Customer Rating]]&lt;7,EPe_BA_intern_assesment_Raw_data___Sheet13[[#This Row],[Customer Rating]])</f>
        <v>0</v>
      </c>
    </row>
    <row r="115" spans="1:18" x14ac:dyDescent="0.3">
      <c r="A115" t="s">
        <v>143</v>
      </c>
      <c r="B115" t="s">
        <v>21</v>
      </c>
      <c r="C115" t="s">
        <v>32</v>
      </c>
      <c r="D115" s="1">
        <v>45940</v>
      </c>
      <c r="E115" s="1">
        <v>45942</v>
      </c>
      <c r="F115" s="1">
        <v>45946</v>
      </c>
      <c r="G115" s="1">
        <v>45952</v>
      </c>
      <c r="H115" t="s">
        <v>18</v>
      </c>
      <c r="I115" t="s">
        <v>19</v>
      </c>
      <c r="J115" s="1">
        <v>45982</v>
      </c>
      <c r="K115">
        <v>2</v>
      </c>
      <c r="L115">
        <v>4</v>
      </c>
      <c r="M115">
        <v>6</v>
      </c>
      <c r="N115">
        <v>6</v>
      </c>
      <c r="O115">
        <v>12</v>
      </c>
      <c r="P115" t="b">
        <f>IF(EPe_BA_intern_assesment_Raw_data___Sheet13[[#This Row],[Customer Rating]]&gt;8,EPe_BA_intern_assesment_Raw_data___Sheet13[[#This Row],[Customer Rating]])</f>
        <v>0</v>
      </c>
      <c r="Q115" t="str">
        <f>IF(AND(EPe_BA_intern_assesment_Raw_data___Sheet13[[#This Row],[Customer Rating]]&gt;6,EPe_BA_intern_assesment_Raw_data___Sheet13[[#This Row],[Customer Rating]]&lt;9), EPe_BA_intern_assesment_Raw_data___Sheet13[[#This Row],[Customer Rating]], "")</f>
        <v/>
      </c>
      <c r="R115">
        <f>IF(EPe_BA_intern_assesment_Raw_data___Sheet13[[#This Row],[Customer Rating]]&lt;7,EPe_BA_intern_assesment_Raw_data___Sheet13[[#This Row],[Customer Rating]])</f>
        <v>6</v>
      </c>
    </row>
    <row r="116" spans="1:18" x14ac:dyDescent="0.3">
      <c r="A116" t="s">
        <v>144</v>
      </c>
      <c r="B116" t="s">
        <v>34</v>
      </c>
      <c r="C116" t="s">
        <v>17</v>
      </c>
      <c r="D116" s="1">
        <v>45939</v>
      </c>
      <c r="E116" s="1">
        <v>45944</v>
      </c>
      <c r="F116" s="1">
        <v>45947</v>
      </c>
      <c r="G116" s="1">
        <v>45949</v>
      </c>
      <c r="H116" t="s">
        <v>18</v>
      </c>
      <c r="I116" t="s">
        <v>19</v>
      </c>
      <c r="J116" s="1">
        <v>45969</v>
      </c>
      <c r="K116">
        <v>5</v>
      </c>
      <c r="L116">
        <v>3</v>
      </c>
      <c r="M116">
        <v>2</v>
      </c>
      <c r="N116">
        <v>10</v>
      </c>
      <c r="O116">
        <v>10</v>
      </c>
      <c r="P116">
        <f>IF(EPe_BA_intern_assesment_Raw_data___Sheet13[[#This Row],[Customer Rating]]&gt;8,EPe_BA_intern_assesment_Raw_data___Sheet13[[#This Row],[Customer Rating]])</f>
        <v>10</v>
      </c>
      <c r="Q116" t="str">
        <f>IF(AND(EPe_BA_intern_assesment_Raw_data___Sheet13[[#This Row],[Customer Rating]]&gt;6,EPe_BA_intern_assesment_Raw_data___Sheet13[[#This Row],[Customer Rating]]&lt;9), EPe_BA_intern_assesment_Raw_data___Sheet13[[#This Row],[Customer Rating]], "")</f>
        <v/>
      </c>
      <c r="R116" t="b">
        <f>IF(EPe_BA_intern_assesment_Raw_data___Sheet13[[#This Row],[Customer Rating]]&lt;7,EPe_BA_intern_assesment_Raw_data___Sheet13[[#This Row],[Customer Rating]])</f>
        <v>0</v>
      </c>
    </row>
    <row r="117" spans="1:18" x14ac:dyDescent="0.3">
      <c r="A117" t="s">
        <v>145</v>
      </c>
      <c r="B117" t="s">
        <v>34</v>
      </c>
      <c r="C117" t="s">
        <v>32</v>
      </c>
      <c r="D117" s="1">
        <v>45938</v>
      </c>
      <c r="E117" s="1">
        <v>45939</v>
      </c>
      <c r="F117" s="1">
        <v>45943</v>
      </c>
      <c r="G117" s="1">
        <v>45947</v>
      </c>
      <c r="H117" t="s">
        <v>18</v>
      </c>
      <c r="I117" t="s">
        <v>19</v>
      </c>
      <c r="J117" s="1">
        <v>45971</v>
      </c>
      <c r="K117">
        <v>1</v>
      </c>
      <c r="L117">
        <v>4</v>
      </c>
      <c r="M117">
        <v>4</v>
      </c>
      <c r="N117">
        <v>8</v>
      </c>
      <c r="O117">
        <v>9</v>
      </c>
      <c r="P117" t="b">
        <f>IF(EPe_BA_intern_assesment_Raw_data___Sheet13[[#This Row],[Customer Rating]]&gt;8,EPe_BA_intern_assesment_Raw_data___Sheet13[[#This Row],[Customer Rating]])</f>
        <v>0</v>
      </c>
      <c r="Q117">
        <f>IF(AND(EPe_BA_intern_assesment_Raw_data___Sheet13[[#This Row],[Customer Rating]]&gt;6,EPe_BA_intern_assesment_Raw_data___Sheet13[[#This Row],[Customer Rating]]&lt;9), EPe_BA_intern_assesment_Raw_data___Sheet13[[#This Row],[Customer Rating]], "")</f>
        <v>8</v>
      </c>
      <c r="R117" t="b">
        <f>IF(EPe_BA_intern_assesment_Raw_data___Sheet13[[#This Row],[Customer Rating]]&lt;7,EPe_BA_intern_assesment_Raw_data___Sheet13[[#This Row],[Customer Rating]])</f>
        <v>0</v>
      </c>
    </row>
    <row r="118" spans="1:18" x14ac:dyDescent="0.3">
      <c r="A118" t="s">
        <v>146</v>
      </c>
      <c r="B118" t="s">
        <v>21</v>
      </c>
      <c r="C118" t="s">
        <v>24</v>
      </c>
      <c r="D118" s="1">
        <v>45934</v>
      </c>
      <c r="E118" s="1"/>
      <c r="F118" s="1"/>
      <c r="G118" s="1"/>
      <c r="H118" t="s">
        <v>25</v>
      </c>
      <c r="I118" t="s">
        <v>35</v>
      </c>
      <c r="J118" s="1"/>
      <c r="P118" t="b">
        <f>IF(EPe_BA_intern_assesment_Raw_data___Sheet13[[#This Row],[Customer Rating]]&gt;8,EPe_BA_intern_assesment_Raw_data___Sheet13[[#This Row],[Customer Rating]])</f>
        <v>0</v>
      </c>
      <c r="Q118" t="str">
        <f>IF(AND(EPe_BA_intern_assesment_Raw_data___Sheet13[[#This Row],[Customer Rating]]&gt;6,EPe_BA_intern_assesment_Raw_data___Sheet13[[#This Row],[Customer Rating]]&lt;9), EPe_BA_intern_assesment_Raw_data___Sheet13[[#This Row],[Customer Rating]], "")</f>
        <v/>
      </c>
      <c r="R118">
        <f>IF(EPe_BA_intern_assesment_Raw_data___Sheet13[[#This Row],[Customer Rating]]&lt;7,EPe_BA_intern_assesment_Raw_data___Sheet13[[#This Row],[Customer Rating]])</f>
        <v>0</v>
      </c>
    </row>
    <row r="119" spans="1:18" x14ac:dyDescent="0.3">
      <c r="A119" t="s">
        <v>147</v>
      </c>
      <c r="B119" t="s">
        <v>21</v>
      </c>
      <c r="C119" t="s">
        <v>32</v>
      </c>
      <c r="D119" s="1">
        <v>45954</v>
      </c>
      <c r="E119" s="1">
        <v>45955</v>
      </c>
      <c r="F119" s="1">
        <v>45957</v>
      </c>
      <c r="G119" s="1">
        <v>45959</v>
      </c>
      <c r="H119" t="s">
        <v>18</v>
      </c>
      <c r="I119" t="s">
        <v>19</v>
      </c>
      <c r="J119" s="1">
        <v>45969</v>
      </c>
      <c r="K119">
        <v>1</v>
      </c>
      <c r="L119">
        <v>2</v>
      </c>
      <c r="M119">
        <v>2</v>
      </c>
      <c r="N119">
        <v>1</v>
      </c>
      <c r="O119">
        <v>5</v>
      </c>
      <c r="P119" t="b">
        <f>IF(EPe_BA_intern_assesment_Raw_data___Sheet13[[#This Row],[Customer Rating]]&gt;8,EPe_BA_intern_assesment_Raw_data___Sheet13[[#This Row],[Customer Rating]])</f>
        <v>0</v>
      </c>
      <c r="Q119" t="str">
        <f>IF(AND(EPe_BA_intern_assesment_Raw_data___Sheet13[[#This Row],[Customer Rating]]&gt;6,EPe_BA_intern_assesment_Raw_data___Sheet13[[#This Row],[Customer Rating]]&lt;9), EPe_BA_intern_assesment_Raw_data___Sheet13[[#This Row],[Customer Rating]], "")</f>
        <v/>
      </c>
      <c r="R119">
        <f>IF(EPe_BA_intern_assesment_Raw_data___Sheet13[[#This Row],[Customer Rating]]&lt;7,EPe_BA_intern_assesment_Raw_data___Sheet13[[#This Row],[Customer Rating]])</f>
        <v>1</v>
      </c>
    </row>
    <row r="120" spans="1:18" x14ac:dyDescent="0.3">
      <c r="A120" t="s">
        <v>148</v>
      </c>
      <c r="B120" t="s">
        <v>21</v>
      </c>
      <c r="C120" t="s">
        <v>17</v>
      </c>
      <c r="D120" s="1">
        <v>45937</v>
      </c>
      <c r="E120" s="1">
        <v>45940</v>
      </c>
      <c r="F120" s="1">
        <v>45942</v>
      </c>
      <c r="G120" s="1">
        <v>45947</v>
      </c>
      <c r="H120" t="s">
        <v>18</v>
      </c>
      <c r="I120" t="s">
        <v>19</v>
      </c>
      <c r="J120" s="1">
        <v>45965</v>
      </c>
      <c r="K120">
        <v>3</v>
      </c>
      <c r="L120">
        <v>2</v>
      </c>
      <c r="M120">
        <v>5</v>
      </c>
      <c r="N120">
        <v>5</v>
      </c>
      <c r="O120">
        <v>10</v>
      </c>
      <c r="P120" t="b">
        <f>IF(EPe_BA_intern_assesment_Raw_data___Sheet13[[#This Row],[Customer Rating]]&gt;8,EPe_BA_intern_assesment_Raw_data___Sheet13[[#This Row],[Customer Rating]])</f>
        <v>0</v>
      </c>
      <c r="Q120" t="str">
        <f>IF(AND(EPe_BA_intern_assesment_Raw_data___Sheet13[[#This Row],[Customer Rating]]&gt;6,EPe_BA_intern_assesment_Raw_data___Sheet13[[#This Row],[Customer Rating]]&lt;9), EPe_BA_intern_assesment_Raw_data___Sheet13[[#This Row],[Customer Rating]], "")</f>
        <v/>
      </c>
      <c r="R120">
        <f>IF(EPe_BA_intern_assesment_Raw_data___Sheet13[[#This Row],[Customer Rating]]&lt;7,EPe_BA_intern_assesment_Raw_data___Sheet13[[#This Row],[Customer Rating]])</f>
        <v>5</v>
      </c>
    </row>
    <row r="121" spans="1:18" x14ac:dyDescent="0.3">
      <c r="A121" t="s">
        <v>149</v>
      </c>
      <c r="B121" t="s">
        <v>21</v>
      </c>
      <c r="C121" t="s">
        <v>24</v>
      </c>
      <c r="D121" s="1">
        <v>45941</v>
      </c>
      <c r="E121" s="1"/>
      <c r="F121" s="1"/>
      <c r="G121" s="1"/>
      <c r="H121" t="s">
        <v>25</v>
      </c>
      <c r="I121" t="s">
        <v>26</v>
      </c>
      <c r="J121" s="1"/>
      <c r="P121" t="b">
        <f>IF(EPe_BA_intern_assesment_Raw_data___Sheet13[[#This Row],[Customer Rating]]&gt;8,EPe_BA_intern_assesment_Raw_data___Sheet13[[#This Row],[Customer Rating]])</f>
        <v>0</v>
      </c>
      <c r="Q121" t="str">
        <f>IF(AND(EPe_BA_intern_assesment_Raw_data___Sheet13[[#This Row],[Customer Rating]]&gt;6,EPe_BA_intern_assesment_Raw_data___Sheet13[[#This Row],[Customer Rating]]&lt;9), EPe_BA_intern_assesment_Raw_data___Sheet13[[#This Row],[Customer Rating]], "")</f>
        <v/>
      </c>
      <c r="R121">
        <f>IF(EPe_BA_intern_assesment_Raw_data___Sheet13[[#This Row],[Customer Rating]]&lt;7,EPe_BA_intern_assesment_Raw_data___Sheet13[[#This Row],[Customer Rating]])</f>
        <v>0</v>
      </c>
    </row>
    <row r="122" spans="1:18" x14ac:dyDescent="0.3">
      <c r="A122" t="s">
        <v>150</v>
      </c>
      <c r="B122" t="s">
        <v>21</v>
      </c>
      <c r="C122" t="s">
        <v>17</v>
      </c>
      <c r="D122" s="1">
        <v>45934</v>
      </c>
      <c r="E122" s="1">
        <v>45938</v>
      </c>
      <c r="F122" s="1">
        <v>45943</v>
      </c>
      <c r="G122" s="1">
        <v>45946</v>
      </c>
      <c r="H122" t="s">
        <v>18</v>
      </c>
      <c r="I122" t="s">
        <v>19</v>
      </c>
      <c r="J122" s="1">
        <v>45962</v>
      </c>
      <c r="K122">
        <v>4</v>
      </c>
      <c r="L122">
        <v>5</v>
      </c>
      <c r="M122">
        <v>3</v>
      </c>
      <c r="N122">
        <v>1</v>
      </c>
      <c r="O122">
        <v>12</v>
      </c>
      <c r="P122" t="b">
        <f>IF(EPe_BA_intern_assesment_Raw_data___Sheet13[[#This Row],[Customer Rating]]&gt;8,EPe_BA_intern_assesment_Raw_data___Sheet13[[#This Row],[Customer Rating]])</f>
        <v>0</v>
      </c>
      <c r="Q122" t="str">
        <f>IF(AND(EPe_BA_intern_assesment_Raw_data___Sheet13[[#This Row],[Customer Rating]]&gt;6,EPe_BA_intern_assesment_Raw_data___Sheet13[[#This Row],[Customer Rating]]&lt;9), EPe_BA_intern_assesment_Raw_data___Sheet13[[#This Row],[Customer Rating]], "")</f>
        <v/>
      </c>
      <c r="R122">
        <f>IF(EPe_BA_intern_assesment_Raw_data___Sheet13[[#This Row],[Customer Rating]]&lt;7,EPe_BA_intern_assesment_Raw_data___Sheet13[[#This Row],[Customer Rating]])</f>
        <v>1</v>
      </c>
    </row>
    <row r="123" spans="1:18" x14ac:dyDescent="0.3">
      <c r="A123" t="s">
        <v>151</v>
      </c>
      <c r="B123" t="s">
        <v>21</v>
      </c>
      <c r="C123" t="s">
        <v>32</v>
      </c>
      <c r="D123" s="1">
        <v>45954</v>
      </c>
      <c r="E123" s="1">
        <v>45958</v>
      </c>
      <c r="F123" s="1">
        <v>45961</v>
      </c>
      <c r="G123" s="1">
        <v>45964</v>
      </c>
      <c r="H123" t="s">
        <v>18</v>
      </c>
      <c r="I123" t="s">
        <v>19</v>
      </c>
      <c r="J123" s="1">
        <v>45981</v>
      </c>
      <c r="K123">
        <v>4</v>
      </c>
      <c r="L123">
        <v>3</v>
      </c>
      <c r="M123">
        <v>3</v>
      </c>
      <c r="N123">
        <v>2</v>
      </c>
      <c r="O123">
        <v>10</v>
      </c>
      <c r="P123" t="b">
        <f>IF(EPe_BA_intern_assesment_Raw_data___Sheet13[[#This Row],[Customer Rating]]&gt;8,EPe_BA_intern_assesment_Raw_data___Sheet13[[#This Row],[Customer Rating]])</f>
        <v>0</v>
      </c>
      <c r="Q123" t="str">
        <f>IF(AND(EPe_BA_intern_assesment_Raw_data___Sheet13[[#This Row],[Customer Rating]]&gt;6,EPe_BA_intern_assesment_Raw_data___Sheet13[[#This Row],[Customer Rating]]&lt;9), EPe_BA_intern_assesment_Raw_data___Sheet13[[#This Row],[Customer Rating]], "")</f>
        <v/>
      </c>
      <c r="R123">
        <f>IF(EPe_BA_intern_assesment_Raw_data___Sheet13[[#This Row],[Customer Rating]]&lt;7,EPe_BA_intern_assesment_Raw_data___Sheet13[[#This Row],[Customer Rating]])</f>
        <v>2</v>
      </c>
    </row>
    <row r="124" spans="1:18" x14ac:dyDescent="0.3">
      <c r="A124" t="s">
        <v>152</v>
      </c>
      <c r="B124" t="s">
        <v>23</v>
      </c>
      <c r="C124" t="s">
        <v>32</v>
      </c>
      <c r="D124" s="1">
        <v>45948</v>
      </c>
      <c r="E124" s="1">
        <v>45952</v>
      </c>
      <c r="F124" s="1">
        <v>45957</v>
      </c>
      <c r="G124" s="1">
        <v>45962</v>
      </c>
      <c r="H124" t="s">
        <v>18</v>
      </c>
      <c r="I124" t="s">
        <v>19</v>
      </c>
      <c r="J124" s="1">
        <v>45974</v>
      </c>
      <c r="K124">
        <v>4</v>
      </c>
      <c r="L124">
        <v>5</v>
      </c>
      <c r="M124">
        <v>5</v>
      </c>
      <c r="N124">
        <v>6</v>
      </c>
      <c r="O124">
        <v>14</v>
      </c>
      <c r="P124" t="b">
        <f>IF(EPe_BA_intern_assesment_Raw_data___Sheet13[[#This Row],[Customer Rating]]&gt;8,EPe_BA_intern_assesment_Raw_data___Sheet13[[#This Row],[Customer Rating]])</f>
        <v>0</v>
      </c>
      <c r="Q124" t="str">
        <f>IF(AND(EPe_BA_intern_assesment_Raw_data___Sheet13[[#This Row],[Customer Rating]]&gt;6,EPe_BA_intern_assesment_Raw_data___Sheet13[[#This Row],[Customer Rating]]&lt;9), EPe_BA_intern_assesment_Raw_data___Sheet13[[#This Row],[Customer Rating]], "")</f>
        <v/>
      </c>
      <c r="R124">
        <f>IF(EPe_BA_intern_assesment_Raw_data___Sheet13[[#This Row],[Customer Rating]]&lt;7,EPe_BA_intern_assesment_Raw_data___Sheet13[[#This Row],[Customer Rating]])</f>
        <v>6</v>
      </c>
    </row>
    <row r="125" spans="1:18" x14ac:dyDescent="0.3">
      <c r="A125" t="s">
        <v>153</v>
      </c>
      <c r="B125" t="s">
        <v>23</v>
      </c>
      <c r="C125" t="s">
        <v>32</v>
      </c>
      <c r="D125" s="1">
        <v>45961</v>
      </c>
      <c r="E125" s="1">
        <v>45966</v>
      </c>
      <c r="F125" s="1">
        <v>45969</v>
      </c>
      <c r="G125" s="1">
        <v>45975</v>
      </c>
      <c r="H125" t="s">
        <v>18</v>
      </c>
      <c r="I125" t="s">
        <v>19</v>
      </c>
      <c r="J125" s="1">
        <v>45996</v>
      </c>
      <c r="K125">
        <v>5</v>
      </c>
      <c r="L125">
        <v>3</v>
      </c>
      <c r="M125">
        <v>6</v>
      </c>
      <c r="N125">
        <v>5</v>
      </c>
      <c r="O125">
        <v>14</v>
      </c>
      <c r="P125" t="b">
        <f>IF(EPe_BA_intern_assesment_Raw_data___Sheet13[[#This Row],[Customer Rating]]&gt;8,EPe_BA_intern_assesment_Raw_data___Sheet13[[#This Row],[Customer Rating]])</f>
        <v>0</v>
      </c>
      <c r="Q125" t="str">
        <f>IF(AND(EPe_BA_intern_assesment_Raw_data___Sheet13[[#This Row],[Customer Rating]]&gt;6,EPe_BA_intern_assesment_Raw_data___Sheet13[[#This Row],[Customer Rating]]&lt;9), EPe_BA_intern_assesment_Raw_data___Sheet13[[#This Row],[Customer Rating]], "")</f>
        <v/>
      </c>
      <c r="R125">
        <f>IF(EPe_BA_intern_assesment_Raw_data___Sheet13[[#This Row],[Customer Rating]]&lt;7,EPe_BA_intern_assesment_Raw_data___Sheet13[[#This Row],[Customer Rating]])</f>
        <v>5</v>
      </c>
    </row>
    <row r="126" spans="1:18" x14ac:dyDescent="0.3">
      <c r="A126" t="s">
        <v>154</v>
      </c>
      <c r="B126" t="s">
        <v>23</v>
      </c>
      <c r="C126" t="s">
        <v>17</v>
      </c>
      <c r="D126" s="1">
        <v>45955</v>
      </c>
      <c r="E126" s="1">
        <v>45959</v>
      </c>
      <c r="F126" s="1">
        <v>45961</v>
      </c>
      <c r="G126" s="1">
        <v>45967</v>
      </c>
      <c r="H126" t="s">
        <v>18</v>
      </c>
      <c r="I126" t="s">
        <v>19</v>
      </c>
      <c r="J126" s="1">
        <v>45985</v>
      </c>
      <c r="K126">
        <v>4</v>
      </c>
      <c r="L126">
        <v>2</v>
      </c>
      <c r="M126">
        <v>6</v>
      </c>
      <c r="N126">
        <v>4</v>
      </c>
      <c r="O126">
        <v>12</v>
      </c>
      <c r="P126" t="b">
        <f>IF(EPe_BA_intern_assesment_Raw_data___Sheet13[[#This Row],[Customer Rating]]&gt;8,EPe_BA_intern_assesment_Raw_data___Sheet13[[#This Row],[Customer Rating]])</f>
        <v>0</v>
      </c>
      <c r="Q126" t="str">
        <f>IF(AND(EPe_BA_intern_assesment_Raw_data___Sheet13[[#This Row],[Customer Rating]]&gt;6,EPe_BA_intern_assesment_Raw_data___Sheet13[[#This Row],[Customer Rating]]&lt;9), EPe_BA_intern_assesment_Raw_data___Sheet13[[#This Row],[Customer Rating]], "")</f>
        <v/>
      </c>
      <c r="R126">
        <f>IF(EPe_BA_intern_assesment_Raw_data___Sheet13[[#This Row],[Customer Rating]]&lt;7,EPe_BA_intern_assesment_Raw_data___Sheet13[[#This Row],[Customer Rating]])</f>
        <v>4</v>
      </c>
    </row>
    <row r="127" spans="1:18" x14ac:dyDescent="0.3">
      <c r="A127" t="s">
        <v>155</v>
      </c>
      <c r="B127" t="s">
        <v>23</v>
      </c>
      <c r="C127" t="s">
        <v>32</v>
      </c>
      <c r="D127" s="1">
        <v>45953</v>
      </c>
      <c r="E127" s="1">
        <v>45957</v>
      </c>
      <c r="F127" s="1">
        <v>45958</v>
      </c>
      <c r="G127" s="1">
        <v>45965</v>
      </c>
      <c r="H127" t="s">
        <v>18</v>
      </c>
      <c r="I127" t="s">
        <v>19</v>
      </c>
      <c r="J127" s="1">
        <v>45978</v>
      </c>
      <c r="K127">
        <v>4</v>
      </c>
      <c r="L127">
        <v>1</v>
      </c>
      <c r="M127">
        <v>7</v>
      </c>
      <c r="N127">
        <v>0</v>
      </c>
      <c r="O127">
        <v>12</v>
      </c>
      <c r="P127" t="b">
        <f>IF(EPe_BA_intern_assesment_Raw_data___Sheet13[[#This Row],[Customer Rating]]&gt;8,EPe_BA_intern_assesment_Raw_data___Sheet13[[#This Row],[Customer Rating]])</f>
        <v>0</v>
      </c>
      <c r="Q127" t="str">
        <f>IF(AND(EPe_BA_intern_assesment_Raw_data___Sheet13[[#This Row],[Customer Rating]]&gt;6,EPe_BA_intern_assesment_Raw_data___Sheet13[[#This Row],[Customer Rating]]&lt;9), EPe_BA_intern_assesment_Raw_data___Sheet13[[#This Row],[Customer Rating]], "")</f>
        <v/>
      </c>
      <c r="R127">
        <f>IF(EPe_BA_intern_assesment_Raw_data___Sheet13[[#This Row],[Customer Rating]]&lt;7,EPe_BA_intern_assesment_Raw_data___Sheet13[[#This Row],[Customer Rating]])</f>
        <v>0</v>
      </c>
    </row>
    <row r="128" spans="1:18" x14ac:dyDescent="0.3">
      <c r="A128" t="s">
        <v>156</v>
      </c>
      <c r="B128" t="s">
        <v>21</v>
      </c>
      <c r="C128" t="s">
        <v>17</v>
      </c>
      <c r="D128" s="1">
        <v>45936</v>
      </c>
      <c r="E128" s="1">
        <v>45939</v>
      </c>
      <c r="F128" s="1">
        <v>45944</v>
      </c>
      <c r="G128" s="1">
        <v>45949</v>
      </c>
      <c r="H128" t="s">
        <v>18</v>
      </c>
      <c r="I128" t="s">
        <v>19</v>
      </c>
      <c r="J128" s="1">
        <v>45959</v>
      </c>
      <c r="K128">
        <v>3</v>
      </c>
      <c r="L128">
        <v>5</v>
      </c>
      <c r="M128">
        <v>5</v>
      </c>
      <c r="N128">
        <v>4</v>
      </c>
      <c r="O128">
        <v>13</v>
      </c>
      <c r="P128" t="b">
        <f>IF(EPe_BA_intern_assesment_Raw_data___Sheet13[[#This Row],[Customer Rating]]&gt;8,EPe_BA_intern_assesment_Raw_data___Sheet13[[#This Row],[Customer Rating]])</f>
        <v>0</v>
      </c>
      <c r="Q128" t="str">
        <f>IF(AND(EPe_BA_intern_assesment_Raw_data___Sheet13[[#This Row],[Customer Rating]]&gt;6,EPe_BA_intern_assesment_Raw_data___Sheet13[[#This Row],[Customer Rating]]&lt;9), EPe_BA_intern_assesment_Raw_data___Sheet13[[#This Row],[Customer Rating]], "")</f>
        <v/>
      </c>
      <c r="R128">
        <f>IF(EPe_BA_intern_assesment_Raw_data___Sheet13[[#This Row],[Customer Rating]]&lt;7,EPe_BA_intern_assesment_Raw_data___Sheet13[[#This Row],[Customer Rating]])</f>
        <v>4</v>
      </c>
    </row>
    <row r="129" spans="1:18" x14ac:dyDescent="0.3">
      <c r="A129" t="s">
        <v>157</v>
      </c>
      <c r="B129" t="s">
        <v>34</v>
      </c>
      <c r="C129" t="s">
        <v>24</v>
      </c>
      <c r="D129" s="1">
        <v>45937</v>
      </c>
      <c r="E129" s="1"/>
      <c r="F129" s="1"/>
      <c r="G129" s="1"/>
      <c r="H129" t="s">
        <v>25</v>
      </c>
      <c r="I129" t="s">
        <v>65</v>
      </c>
      <c r="J129" s="1"/>
      <c r="P129" t="b">
        <f>IF(EPe_BA_intern_assesment_Raw_data___Sheet13[[#This Row],[Customer Rating]]&gt;8,EPe_BA_intern_assesment_Raw_data___Sheet13[[#This Row],[Customer Rating]])</f>
        <v>0</v>
      </c>
      <c r="Q129" t="str">
        <f>IF(AND(EPe_BA_intern_assesment_Raw_data___Sheet13[[#This Row],[Customer Rating]]&gt;6,EPe_BA_intern_assesment_Raw_data___Sheet13[[#This Row],[Customer Rating]]&lt;9), EPe_BA_intern_assesment_Raw_data___Sheet13[[#This Row],[Customer Rating]], "")</f>
        <v/>
      </c>
      <c r="R129">
        <f>IF(EPe_BA_intern_assesment_Raw_data___Sheet13[[#This Row],[Customer Rating]]&lt;7,EPe_BA_intern_assesment_Raw_data___Sheet13[[#This Row],[Customer Rating]])</f>
        <v>0</v>
      </c>
    </row>
    <row r="130" spans="1:18" x14ac:dyDescent="0.3">
      <c r="A130" t="s">
        <v>158</v>
      </c>
      <c r="B130" t="s">
        <v>16</v>
      </c>
      <c r="C130" t="s">
        <v>32</v>
      </c>
      <c r="D130" s="1">
        <v>45937</v>
      </c>
      <c r="E130" s="1">
        <v>45939</v>
      </c>
      <c r="F130" s="1">
        <v>45944</v>
      </c>
      <c r="G130" s="1">
        <v>45949</v>
      </c>
      <c r="H130" t="s">
        <v>18</v>
      </c>
      <c r="I130" t="s">
        <v>19</v>
      </c>
      <c r="J130" s="1">
        <v>45960</v>
      </c>
      <c r="K130">
        <v>2</v>
      </c>
      <c r="L130">
        <v>5</v>
      </c>
      <c r="M130">
        <v>5</v>
      </c>
      <c r="N130">
        <v>4</v>
      </c>
      <c r="O130">
        <v>12</v>
      </c>
      <c r="P130" t="b">
        <f>IF(EPe_BA_intern_assesment_Raw_data___Sheet13[[#This Row],[Customer Rating]]&gt;8,EPe_BA_intern_assesment_Raw_data___Sheet13[[#This Row],[Customer Rating]])</f>
        <v>0</v>
      </c>
      <c r="Q130" t="str">
        <f>IF(AND(EPe_BA_intern_assesment_Raw_data___Sheet13[[#This Row],[Customer Rating]]&gt;6,EPe_BA_intern_assesment_Raw_data___Sheet13[[#This Row],[Customer Rating]]&lt;9), EPe_BA_intern_assesment_Raw_data___Sheet13[[#This Row],[Customer Rating]], "")</f>
        <v/>
      </c>
      <c r="R130">
        <f>IF(EPe_BA_intern_assesment_Raw_data___Sheet13[[#This Row],[Customer Rating]]&lt;7,EPe_BA_intern_assesment_Raw_data___Sheet13[[#This Row],[Customer Rating]])</f>
        <v>4</v>
      </c>
    </row>
    <row r="131" spans="1:18" x14ac:dyDescent="0.3">
      <c r="A131" t="s">
        <v>159</v>
      </c>
      <c r="B131" t="s">
        <v>21</v>
      </c>
      <c r="C131" t="s">
        <v>24</v>
      </c>
      <c r="D131" s="1">
        <v>45954</v>
      </c>
      <c r="E131" s="1"/>
      <c r="F131" s="1"/>
      <c r="G131" s="1"/>
      <c r="H131" t="s">
        <v>25</v>
      </c>
      <c r="I131" t="s">
        <v>65</v>
      </c>
      <c r="J131" s="1"/>
      <c r="P131" t="b">
        <f>IF(EPe_BA_intern_assesment_Raw_data___Sheet13[[#This Row],[Customer Rating]]&gt;8,EPe_BA_intern_assesment_Raw_data___Sheet13[[#This Row],[Customer Rating]])</f>
        <v>0</v>
      </c>
      <c r="Q131" t="str">
        <f>IF(AND(EPe_BA_intern_assesment_Raw_data___Sheet13[[#This Row],[Customer Rating]]&gt;6,EPe_BA_intern_assesment_Raw_data___Sheet13[[#This Row],[Customer Rating]]&lt;9), EPe_BA_intern_assesment_Raw_data___Sheet13[[#This Row],[Customer Rating]], "")</f>
        <v/>
      </c>
      <c r="R131">
        <f>IF(EPe_BA_intern_assesment_Raw_data___Sheet13[[#This Row],[Customer Rating]]&lt;7,EPe_BA_intern_assesment_Raw_data___Sheet13[[#This Row],[Customer Rating]])</f>
        <v>0</v>
      </c>
    </row>
    <row r="132" spans="1:18" x14ac:dyDescent="0.3">
      <c r="A132" t="s">
        <v>160</v>
      </c>
      <c r="B132" t="s">
        <v>16</v>
      </c>
      <c r="C132" t="s">
        <v>24</v>
      </c>
      <c r="D132" s="1">
        <v>45946</v>
      </c>
      <c r="E132" s="1"/>
      <c r="F132" s="1"/>
      <c r="G132" s="1"/>
      <c r="H132" t="s">
        <v>25</v>
      </c>
      <c r="I132" t="s">
        <v>103</v>
      </c>
      <c r="J132" s="1"/>
      <c r="P132" t="b">
        <f>IF(EPe_BA_intern_assesment_Raw_data___Sheet13[[#This Row],[Customer Rating]]&gt;8,EPe_BA_intern_assesment_Raw_data___Sheet13[[#This Row],[Customer Rating]])</f>
        <v>0</v>
      </c>
      <c r="Q132" t="str">
        <f>IF(AND(EPe_BA_intern_assesment_Raw_data___Sheet13[[#This Row],[Customer Rating]]&gt;6,EPe_BA_intern_assesment_Raw_data___Sheet13[[#This Row],[Customer Rating]]&lt;9), EPe_BA_intern_assesment_Raw_data___Sheet13[[#This Row],[Customer Rating]], "")</f>
        <v/>
      </c>
      <c r="R132">
        <f>IF(EPe_BA_intern_assesment_Raw_data___Sheet13[[#This Row],[Customer Rating]]&lt;7,EPe_BA_intern_assesment_Raw_data___Sheet13[[#This Row],[Customer Rating]])</f>
        <v>0</v>
      </c>
    </row>
    <row r="133" spans="1:18" x14ac:dyDescent="0.3">
      <c r="A133" t="s">
        <v>161</v>
      </c>
      <c r="B133" t="s">
        <v>34</v>
      </c>
      <c r="C133" t="s">
        <v>32</v>
      </c>
      <c r="D133" s="1">
        <v>45939</v>
      </c>
      <c r="E133" s="1">
        <v>45944</v>
      </c>
      <c r="F133" s="1">
        <v>45946</v>
      </c>
      <c r="G133" s="1">
        <v>45953</v>
      </c>
      <c r="H133" t="s">
        <v>18</v>
      </c>
      <c r="I133" t="s">
        <v>19</v>
      </c>
      <c r="J133" s="1">
        <v>45975</v>
      </c>
      <c r="K133">
        <v>5</v>
      </c>
      <c r="L133">
        <v>2</v>
      </c>
      <c r="M133">
        <v>7</v>
      </c>
      <c r="N133">
        <v>4</v>
      </c>
      <c r="O133">
        <v>14</v>
      </c>
      <c r="P133" t="b">
        <f>IF(EPe_BA_intern_assesment_Raw_data___Sheet13[[#This Row],[Customer Rating]]&gt;8,EPe_BA_intern_assesment_Raw_data___Sheet13[[#This Row],[Customer Rating]])</f>
        <v>0</v>
      </c>
      <c r="Q133" t="str">
        <f>IF(AND(EPe_BA_intern_assesment_Raw_data___Sheet13[[#This Row],[Customer Rating]]&gt;6,EPe_BA_intern_assesment_Raw_data___Sheet13[[#This Row],[Customer Rating]]&lt;9), EPe_BA_intern_assesment_Raw_data___Sheet13[[#This Row],[Customer Rating]], "")</f>
        <v/>
      </c>
      <c r="R133">
        <f>IF(EPe_BA_intern_assesment_Raw_data___Sheet13[[#This Row],[Customer Rating]]&lt;7,EPe_BA_intern_assesment_Raw_data___Sheet13[[#This Row],[Customer Rating]])</f>
        <v>4</v>
      </c>
    </row>
    <row r="134" spans="1:18" x14ac:dyDescent="0.3">
      <c r="A134" t="s">
        <v>162</v>
      </c>
      <c r="B134" t="s">
        <v>23</v>
      </c>
      <c r="C134" t="s">
        <v>24</v>
      </c>
      <c r="D134" s="1">
        <v>45954</v>
      </c>
      <c r="E134" s="1"/>
      <c r="F134" s="1"/>
      <c r="G134" s="1"/>
      <c r="H134" t="s">
        <v>25</v>
      </c>
      <c r="I134" t="s">
        <v>65</v>
      </c>
      <c r="J134" s="1"/>
      <c r="P134" t="b">
        <f>IF(EPe_BA_intern_assesment_Raw_data___Sheet13[[#This Row],[Customer Rating]]&gt;8,EPe_BA_intern_assesment_Raw_data___Sheet13[[#This Row],[Customer Rating]])</f>
        <v>0</v>
      </c>
      <c r="Q134" t="str">
        <f>IF(AND(EPe_BA_intern_assesment_Raw_data___Sheet13[[#This Row],[Customer Rating]]&gt;6,EPe_BA_intern_assesment_Raw_data___Sheet13[[#This Row],[Customer Rating]]&lt;9), EPe_BA_intern_assesment_Raw_data___Sheet13[[#This Row],[Customer Rating]], "")</f>
        <v/>
      </c>
      <c r="R134">
        <f>IF(EPe_BA_intern_assesment_Raw_data___Sheet13[[#This Row],[Customer Rating]]&lt;7,EPe_BA_intern_assesment_Raw_data___Sheet13[[#This Row],[Customer Rating]])</f>
        <v>0</v>
      </c>
    </row>
    <row r="135" spans="1:18" x14ac:dyDescent="0.3">
      <c r="A135" t="s">
        <v>163</v>
      </c>
      <c r="B135" t="s">
        <v>34</v>
      </c>
      <c r="C135" t="s">
        <v>17</v>
      </c>
      <c r="D135" s="1">
        <v>45949</v>
      </c>
      <c r="E135" s="1">
        <v>45950</v>
      </c>
      <c r="F135" s="1">
        <v>45952</v>
      </c>
      <c r="G135" s="1">
        <v>45957</v>
      </c>
      <c r="H135" t="s">
        <v>18</v>
      </c>
      <c r="I135" t="s">
        <v>19</v>
      </c>
      <c r="J135" s="1">
        <v>45981</v>
      </c>
      <c r="K135">
        <v>1</v>
      </c>
      <c r="L135">
        <v>2</v>
      </c>
      <c r="M135">
        <v>5</v>
      </c>
      <c r="N135">
        <v>2</v>
      </c>
      <c r="O135">
        <v>8</v>
      </c>
      <c r="P135" t="b">
        <f>IF(EPe_BA_intern_assesment_Raw_data___Sheet13[[#This Row],[Customer Rating]]&gt;8,EPe_BA_intern_assesment_Raw_data___Sheet13[[#This Row],[Customer Rating]])</f>
        <v>0</v>
      </c>
      <c r="Q135" t="str">
        <f>IF(AND(EPe_BA_intern_assesment_Raw_data___Sheet13[[#This Row],[Customer Rating]]&gt;6,EPe_BA_intern_assesment_Raw_data___Sheet13[[#This Row],[Customer Rating]]&lt;9), EPe_BA_intern_assesment_Raw_data___Sheet13[[#This Row],[Customer Rating]], "")</f>
        <v/>
      </c>
      <c r="R135">
        <f>IF(EPe_BA_intern_assesment_Raw_data___Sheet13[[#This Row],[Customer Rating]]&lt;7,EPe_BA_intern_assesment_Raw_data___Sheet13[[#This Row],[Customer Rating]])</f>
        <v>2</v>
      </c>
    </row>
    <row r="136" spans="1:18" x14ac:dyDescent="0.3">
      <c r="A136" t="s">
        <v>164</v>
      </c>
      <c r="B136" t="s">
        <v>21</v>
      </c>
      <c r="C136" t="s">
        <v>24</v>
      </c>
      <c r="D136" s="1">
        <v>45955</v>
      </c>
      <c r="E136" s="1"/>
      <c r="F136" s="1"/>
      <c r="G136" s="1"/>
      <c r="H136" t="s">
        <v>25</v>
      </c>
      <c r="I136" t="s">
        <v>28</v>
      </c>
      <c r="J136" s="1"/>
      <c r="P136" t="b">
        <f>IF(EPe_BA_intern_assesment_Raw_data___Sheet13[[#This Row],[Customer Rating]]&gt;8,EPe_BA_intern_assesment_Raw_data___Sheet13[[#This Row],[Customer Rating]])</f>
        <v>0</v>
      </c>
      <c r="Q136" t="str">
        <f>IF(AND(EPe_BA_intern_assesment_Raw_data___Sheet13[[#This Row],[Customer Rating]]&gt;6,EPe_BA_intern_assesment_Raw_data___Sheet13[[#This Row],[Customer Rating]]&lt;9), EPe_BA_intern_assesment_Raw_data___Sheet13[[#This Row],[Customer Rating]], "")</f>
        <v/>
      </c>
      <c r="R136">
        <f>IF(EPe_BA_intern_assesment_Raw_data___Sheet13[[#This Row],[Customer Rating]]&lt;7,EPe_BA_intern_assesment_Raw_data___Sheet13[[#This Row],[Customer Rating]])</f>
        <v>0</v>
      </c>
    </row>
    <row r="137" spans="1:18" x14ac:dyDescent="0.3">
      <c r="A137" t="s">
        <v>165</v>
      </c>
      <c r="B137" t="s">
        <v>23</v>
      </c>
      <c r="C137" t="s">
        <v>17</v>
      </c>
      <c r="D137" s="1">
        <v>45947</v>
      </c>
      <c r="E137" s="1">
        <v>45950</v>
      </c>
      <c r="F137" s="1">
        <v>45951</v>
      </c>
      <c r="G137" s="1">
        <v>45956</v>
      </c>
      <c r="H137" t="s">
        <v>18</v>
      </c>
      <c r="I137" t="s">
        <v>19</v>
      </c>
      <c r="J137" s="1">
        <v>45979</v>
      </c>
      <c r="K137">
        <v>3</v>
      </c>
      <c r="L137">
        <v>1</v>
      </c>
      <c r="M137">
        <v>5</v>
      </c>
      <c r="N137">
        <v>3</v>
      </c>
      <c r="O137">
        <v>9</v>
      </c>
      <c r="P137" t="b">
        <f>IF(EPe_BA_intern_assesment_Raw_data___Sheet13[[#This Row],[Customer Rating]]&gt;8,EPe_BA_intern_assesment_Raw_data___Sheet13[[#This Row],[Customer Rating]])</f>
        <v>0</v>
      </c>
      <c r="Q137" t="str">
        <f>IF(AND(EPe_BA_intern_assesment_Raw_data___Sheet13[[#This Row],[Customer Rating]]&gt;6,EPe_BA_intern_assesment_Raw_data___Sheet13[[#This Row],[Customer Rating]]&lt;9), EPe_BA_intern_assesment_Raw_data___Sheet13[[#This Row],[Customer Rating]], "")</f>
        <v/>
      </c>
      <c r="R137">
        <f>IF(EPe_BA_intern_assesment_Raw_data___Sheet13[[#This Row],[Customer Rating]]&lt;7,EPe_BA_intern_assesment_Raw_data___Sheet13[[#This Row],[Customer Rating]])</f>
        <v>3</v>
      </c>
    </row>
    <row r="138" spans="1:18" x14ac:dyDescent="0.3">
      <c r="A138" t="s">
        <v>166</v>
      </c>
      <c r="B138" t="s">
        <v>21</v>
      </c>
      <c r="C138" t="s">
        <v>17</v>
      </c>
      <c r="D138" s="1">
        <v>45950</v>
      </c>
      <c r="E138" s="1">
        <v>45954</v>
      </c>
      <c r="F138" s="1">
        <v>45959</v>
      </c>
      <c r="G138" s="1">
        <v>45966</v>
      </c>
      <c r="H138" t="s">
        <v>18</v>
      </c>
      <c r="I138" t="s">
        <v>19</v>
      </c>
      <c r="J138" s="1">
        <v>45981</v>
      </c>
      <c r="K138">
        <v>4</v>
      </c>
      <c r="L138">
        <v>5</v>
      </c>
      <c r="M138">
        <v>7</v>
      </c>
      <c r="N138">
        <v>0</v>
      </c>
      <c r="O138">
        <v>16</v>
      </c>
      <c r="P138" t="b">
        <f>IF(EPe_BA_intern_assesment_Raw_data___Sheet13[[#This Row],[Customer Rating]]&gt;8,EPe_BA_intern_assesment_Raw_data___Sheet13[[#This Row],[Customer Rating]])</f>
        <v>0</v>
      </c>
      <c r="Q138" t="str">
        <f>IF(AND(EPe_BA_intern_assesment_Raw_data___Sheet13[[#This Row],[Customer Rating]]&gt;6,EPe_BA_intern_assesment_Raw_data___Sheet13[[#This Row],[Customer Rating]]&lt;9), EPe_BA_intern_assesment_Raw_data___Sheet13[[#This Row],[Customer Rating]], "")</f>
        <v/>
      </c>
      <c r="R138">
        <f>IF(EPe_BA_intern_assesment_Raw_data___Sheet13[[#This Row],[Customer Rating]]&lt;7,EPe_BA_intern_assesment_Raw_data___Sheet13[[#This Row],[Customer Rating]])</f>
        <v>0</v>
      </c>
    </row>
    <row r="139" spans="1:18" x14ac:dyDescent="0.3">
      <c r="A139" t="s">
        <v>167</v>
      </c>
      <c r="B139" t="s">
        <v>23</v>
      </c>
      <c r="C139" t="s">
        <v>17</v>
      </c>
      <c r="D139" s="1">
        <v>45940</v>
      </c>
      <c r="E139" s="1">
        <v>45941</v>
      </c>
      <c r="F139" s="1">
        <v>45943</v>
      </c>
      <c r="G139" s="1">
        <v>45948</v>
      </c>
      <c r="H139" t="s">
        <v>25</v>
      </c>
      <c r="I139" t="s">
        <v>103</v>
      </c>
      <c r="J139" s="1"/>
      <c r="K139">
        <v>1</v>
      </c>
      <c r="L139">
        <v>2</v>
      </c>
      <c r="M139">
        <v>5</v>
      </c>
      <c r="O139">
        <v>8</v>
      </c>
      <c r="P139" t="b">
        <f>IF(EPe_BA_intern_assesment_Raw_data___Sheet13[[#This Row],[Customer Rating]]&gt;8,EPe_BA_intern_assesment_Raw_data___Sheet13[[#This Row],[Customer Rating]])</f>
        <v>0</v>
      </c>
      <c r="Q139" t="str">
        <f>IF(AND(EPe_BA_intern_assesment_Raw_data___Sheet13[[#This Row],[Customer Rating]]&gt;6,EPe_BA_intern_assesment_Raw_data___Sheet13[[#This Row],[Customer Rating]]&lt;9), EPe_BA_intern_assesment_Raw_data___Sheet13[[#This Row],[Customer Rating]], "")</f>
        <v/>
      </c>
      <c r="R139">
        <f>IF(EPe_BA_intern_assesment_Raw_data___Sheet13[[#This Row],[Customer Rating]]&lt;7,EPe_BA_intern_assesment_Raw_data___Sheet13[[#This Row],[Customer Rating]])</f>
        <v>0</v>
      </c>
    </row>
    <row r="140" spans="1:18" x14ac:dyDescent="0.3">
      <c r="A140" t="s">
        <v>168</v>
      </c>
      <c r="B140" t="s">
        <v>16</v>
      </c>
      <c r="C140" t="s">
        <v>24</v>
      </c>
      <c r="D140" s="1">
        <v>45934</v>
      </c>
      <c r="E140" s="1"/>
      <c r="F140" s="1"/>
      <c r="G140" s="1"/>
      <c r="H140" t="s">
        <v>25</v>
      </c>
      <c r="I140" t="s">
        <v>28</v>
      </c>
      <c r="J140" s="1"/>
      <c r="P140" t="b">
        <f>IF(EPe_BA_intern_assesment_Raw_data___Sheet13[[#This Row],[Customer Rating]]&gt;8,EPe_BA_intern_assesment_Raw_data___Sheet13[[#This Row],[Customer Rating]])</f>
        <v>0</v>
      </c>
      <c r="Q140" t="str">
        <f>IF(AND(EPe_BA_intern_assesment_Raw_data___Sheet13[[#This Row],[Customer Rating]]&gt;6,EPe_BA_intern_assesment_Raw_data___Sheet13[[#This Row],[Customer Rating]]&lt;9), EPe_BA_intern_assesment_Raw_data___Sheet13[[#This Row],[Customer Rating]], "")</f>
        <v/>
      </c>
      <c r="R140">
        <f>IF(EPe_BA_intern_assesment_Raw_data___Sheet13[[#This Row],[Customer Rating]]&lt;7,EPe_BA_intern_assesment_Raw_data___Sheet13[[#This Row],[Customer Rating]])</f>
        <v>0</v>
      </c>
    </row>
    <row r="141" spans="1:18" x14ac:dyDescent="0.3">
      <c r="A141" t="s">
        <v>169</v>
      </c>
      <c r="B141" t="s">
        <v>16</v>
      </c>
      <c r="C141" t="s">
        <v>17</v>
      </c>
      <c r="D141" s="1">
        <v>45957</v>
      </c>
      <c r="E141" s="1">
        <v>45960</v>
      </c>
      <c r="F141" s="1">
        <v>45962</v>
      </c>
      <c r="G141" s="1">
        <v>45967</v>
      </c>
      <c r="H141" t="s">
        <v>18</v>
      </c>
      <c r="I141" t="s">
        <v>19</v>
      </c>
      <c r="J141" s="1">
        <v>45990</v>
      </c>
      <c r="K141">
        <v>3</v>
      </c>
      <c r="L141">
        <v>2</v>
      </c>
      <c r="M141">
        <v>5</v>
      </c>
      <c r="N141">
        <v>5</v>
      </c>
      <c r="O141">
        <v>10</v>
      </c>
      <c r="P141" t="b">
        <f>IF(EPe_BA_intern_assesment_Raw_data___Sheet13[[#This Row],[Customer Rating]]&gt;8,EPe_BA_intern_assesment_Raw_data___Sheet13[[#This Row],[Customer Rating]])</f>
        <v>0</v>
      </c>
      <c r="Q141" t="str">
        <f>IF(AND(EPe_BA_intern_assesment_Raw_data___Sheet13[[#This Row],[Customer Rating]]&gt;6,EPe_BA_intern_assesment_Raw_data___Sheet13[[#This Row],[Customer Rating]]&lt;9), EPe_BA_intern_assesment_Raw_data___Sheet13[[#This Row],[Customer Rating]], "")</f>
        <v/>
      </c>
      <c r="R141">
        <f>IF(EPe_BA_intern_assesment_Raw_data___Sheet13[[#This Row],[Customer Rating]]&lt;7,EPe_BA_intern_assesment_Raw_data___Sheet13[[#This Row],[Customer Rating]])</f>
        <v>5</v>
      </c>
    </row>
    <row r="142" spans="1:18" x14ac:dyDescent="0.3">
      <c r="A142" t="s">
        <v>170</v>
      </c>
      <c r="B142" t="s">
        <v>16</v>
      </c>
      <c r="C142" t="s">
        <v>17</v>
      </c>
      <c r="D142" s="1">
        <v>45937</v>
      </c>
      <c r="E142" s="1">
        <v>45942</v>
      </c>
      <c r="F142" s="1">
        <v>45943</v>
      </c>
      <c r="G142" s="1">
        <v>45946</v>
      </c>
      <c r="H142" t="s">
        <v>18</v>
      </c>
      <c r="I142" t="s">
        <v>19</v>
      </c>
      <c r="J142" s="1">
        <v>45971</v>
      </c>
      <c r="K142">
        <v>5</v>
      </c>
      <c r="L142">
        <v>1</v>
      </c>
      <c r="M142">
        <v>3</v>
      </c>
      <c r="N142">
        <v>0</v>
      </c>
      <c r="O142">
        <v>9</v>
      </c>
      <c r="P142" t="b">
        <f>IF(EPe_BA_intern_assesment_Raw_data___Sheet13[[#This Row],[Customer Rating]]&gt;8,EPe_BA_intern_assesment_Raw_data___Sheet13[[#This Row],[Customer Rating]])</f>
        <v>0</v>
      </c>
      <c r="Q142" t="str">
        <f>IF(AND(EPe_BA_intern_assesment_Raw_data___Sheet13[[#This Row],[Customer Rating]]&gt;6,EPe_BA_intern_assesment_Raw_data___Sheet13[[#This Row],[Customer Rating]]&lt;9), EPe_BA_intern_assesment_Raw_data___Sheet13[[#This Row],[Customer Rating]], "")</f>
        <v/>
      </c>
      <c r="R142">
        <f>IF(EPe_BA_intern_assesment_Raw_data___Sheet13[[#This Row],[Customer Rating]]&lt;7,EPe_BA_intern_assesment_Raw_data___Sheet13[[#This Row],[Customer Rating]])</f>
        <v>0</v>
      </c>
    </row>
    <row r="143" spans="1:18" x14ac:dyDescent="0.3">
      <c r="A143" t="s">
        <v>171</v>
      </c>
      <c r="B143" t="s">
        <v>34</v>
      </c>
      <c r="C143" t="s">
        <v>24</v>
      </c>
      <c r="D143" s="1">
        <v>45940</v>
      </c>
      <c r="E143" s="1"/>
      <c r="F143" s="1"/>
      <c r="G143" s="1"/>
      <c r="H143" t="s">
        <v>25</v>
      </c>
      <c r="I143" t="s">
        <v>26</v>
      </c>
      <c r="J143" s="1"/>
      <c r="P143" t="b">
        <f>IF(EPe_BA_intern_assesment_Raw_data___Sheet13[[#This Row],[Customer Rating]]&gt;8,EPe_BA_intern_assesment_Raw_data___Sheet13[[#This Row],[Customer Rating]])</f>
        <v>0</v>
      </c>
      <c r="Q143" t="str">
        <f>IF(AND(EPe_BA_intern_assesment_Raw_data___Sheet13[[#This Row],[Customer Rating]]&gt;6,EPe_BA_intern_assesment_Raw_data___Sheet13[[#This Row],[Customer Rating]]&lt;9), EPe_BA_intern_assesment_Raw_data___Sheet13[[#This Row],[Customer Rating]], "")</f>
        <v/>
      </c>
      <c r="R143">
        <f>IF(EPe_BA_intern_assesment_Raw_data___Sheet13[[#This Row],[Customer Rating]]&lt;7,EPe_BA_intern_assesment_Raw_data___Sheet13[[#This Row],[Customer Rating]])</f>
        <v>0</v>
      </c>
    </row>
    <row r="144" spans="1:18" x14ac:dyDescent="0.3">
      <c r="A144" t="s">
        <v>172</v>
      </c>
      <c r="B144" t="s">
        <v>21</v>
      </c>
      <c r="C144" t="s">
        <v>32</v>
      </c>
      <c r="D144" s="1">
        <v>45938</v>
      </c>
      <c r="E144" s="1">
        <v>45942</v>
      </c>
      <c r="F144" s="1">
        <v>45943</v>
      </c>
      <c r="G144" s="1">
        <v>45945</v>
      </c>
      <c r="H144" t="s">
        <v>18</v>
      </c>
      <c r="I144" t="s">
        <v>19</v>
      </c>
      <c r="J144" s="1">
        <v>45967</v>
      </c>
      <c r="K144">
        <v>4</v>
      </c>
      <c r="L144">
        <v>1</v>
      </c>
      <c r="M144">
        <v>2</v>
      </c>
      <c r="N144">
        <v>4</v>
      </c>
      <c r="O144">
        <v>7</v>
      </c>
      <c r="P144" t="b">
        <f>IF(EPe_BA_intern_assesment_Raw_data___Sheet13[[#This Row],[Customer Rating]]&gt;8,EPe_BA_intern_assesment_Raw_data___Sheet13[[#This Row],[Customer Rating]])</f>
        <v>0</v>
      </c>
      <c r="Q144" t="str">
        <f>IF(AND(EPe_BA_intern_assesment_Raw_data___Sheet13[[#This Row],[Customer Rating]]&gt;6,EPe_BA_intern_assesment_Raw_data___Sheet13[[#This Row],[Customer Rating]]&lt;9), EPe_BA_intern_assesment_Raw_data___Sheet13[[#This Row],[Customer Rating]], "")</f>
        <v/>
      </c>
      <c r="R144">
        <f>IF(EPe_BA_intern_assesment_Raw_data___Sheet13[[#This Row],[Customer Rating]]&lt;7,EPe_BA_intern_assesment_Raw_data___Sheet13[[#This Row],[Customer Rating]])</f>
        <v>4</v>
      </c>
    </row>
    <row r="145" spans="1:18" x14ac:dyDescent="0.3">
      <c r="A145" t="s">
        <v>173</v>
      </c>
      <c r="B145" t="s">
        <v>34</v>
      </c>
      <c r="C145" t="s">
        <v>32</v>
      </c>
      <c r="D145" s="1">
        <v>45942</v>
      </c>
      <c r="E145" s="1">
        <v>45947</v>
      </c>
      <c r="F145" s="1">
        <v>45951</v>
      </c>
      <c r="G145" s="1">
        <v>45957</v>
      </c>
      <c r="H145" t="s">
        <v>18</v>
      </c>
      <c r="I145" t="s">
        <v>19</v>
      </c>
      <c r="J145" s="1">
        <v>45978</v>
      </c>
      <c r="K145">
        <v>5</v>
      </c>
      <c r="L145">
        <v>4</v>
      </c>
      <c r="M145">
        <v>6</v>
      </c>
      <c r="N145">
        <v>1</v>
      </c>
      <c r="O145">
        <v>15</v>
      </c>
      <c r="P145" t="b">
        <f>IF(EPe_BA_intern_assesment_Raw_data___Sheet13[[#This Row],[Customer Rating]]&gt;8,EPe_BA_intern_assesment_Raw_data___Sheet13[[#This Row],[Customer Rating]])</f>
        <v>0</v>
      </c>
      <c r="Q145" t="str">
        <f>IF(AND(EPe_BA_intern_assesment_Raw_data___Sheet13[[#This Row],[Customer Rating]]&gt;6,EPe_BA_intern_assesment_Raw_data___Sheet13[[#This Row],[Customer Rating]]&lt;9), EPe_BA_intern_assesment_Raw_data___Sheet13[[#This Row],[Customer Rating]], "")</f>
        <v/>
      </c>
      <c r="R145">
        <f>IF(EPe_BA_intern_assesment_Raw_data___Sheet13[[#This Row],[Customer Rating]]&lt;7,EPe_BA_intern_assesment_Raw_data___Sheet13[[#This Row],[Customer Rating]])</f>
        <v>1</v>
      </c>
    </row>
    <row r="146" spans="1:18" x14ac:dyDescent="0.3">
      <c r="A146" t="s">
        <v>174</v>
      </c>
      <c r="B146" t="s">
        <v>16</v>
      </c>
      <c r="C146" t="s">
        <v>32</v>
      </c>
      <c r="D146" s="1">
        <v>45936</v>
      </c>
      <c r="E146" s="1">
        <v>45939</v>
      </c>
      <c r="F146" s="1">
        <v>45942</v>
      </c>
      <c r="G146" s="1">
        <v>45944</v>
      </c>
      <c r="H146" t="s">
        <v>18</v>
      </c>
      <c r="I146" t="s">
        <v>19</v>
      </c>
      <c r="J146" s="1">
        <v>45971</v>
      </c>
      <c r="K146">
        <v>3</v>
      </c>
      <c r="L146">
        <v>3</v>
      </c>
      <c r="M146">
        <v>2</v>
      </c>
      <c r="N146">
        <v>6</v>
      </c>
      <c r="O146">
        <v>8</v>
      </c>
      <c r="P146" t="b">
        <f>IF(EPe_BA_intern_assesment_Raw_data___Sheet13[[#This Row],[Customer Rating]]&gt;8,EPe_BA_intern_assesment_Raw_data___Sheet13[[#This Row],[Customer Rating]])</f>
        <v>0</v>
      </c>
      <c r="Q146" t="str">
        <f>IF(AND(EPe_BA_intern_assesment_Raw_data___Sheet13[[#This Row],[Customer Rating]]&gt;6,EPe_BA_intern_assesment_Raw_data___Sheet13[[#This Row],[Customer Rating]]&lt;9), EPe_BA_intern_assesment_Raw_data___Sheet13[[#This Row],[Customer Rating]], "")</f>
        <v/>
      </c>
      <c r="R146">
        <f>IF(EPe_BA_intern_assesment_Raw_data___Sheet13[[#This Row],[Customer Rating]]&lt;7,EPe_BA_intern_assesment_Raw_data___Sheet13[[#This Row],[Customer Rating]])</f>
        <v>6</v>
      </c>
    </row>
    <row r="147" spans="1:18" x14ac:dyDescent="0.3">
      <c r="A147" t="s">
        <v>175</v>
      </c>
      <c r="B147" t="s">
        <v>21</v>
      </c>
      <c r="C147" t="s">
        <v>17</v>
      </c>
      <c r="D147" s="1">
        <v>45940</v>
      </c>
      <c r="E147" s="1">
        <v>45941</v>
      </c>
      <c r="F147" s="1">
        <v>45945</v>
      </c>
      <c r="G147" s="1">
        <v>45948</v>
      </c>
      <c r="H147" t="s">
        <v>18</v>
      </c>
      <c r="I147" t="s">
        <v>19</v>
      </c>
      <c r="J147" s="1">
        <v>45970</v>
      </c>
      <c r="K147">
        <v>1</v>
      </c>
      <c r="L147">
        <v>4</v>
      </c>
      <c r="M147">
        <v>3</v>
      </c>
      <c r="N147">
        <v>1</v>
      </c>
      <c r="O147">
        <v>8</v>
      </c>
      <c r="P147" t="b">
        <f>IF(EPe_BA_intern_assesment_Raw_data___Sheet13[[#This Row],[Customer Rating]]&gt;8,EPe_BA_intern_assesment_Raw_data___Sheet13[[#This Row],[Customer Rating]])</f>
        <v>0</v>
      </c>
      <c r="Q147" t="str">
        <f>IF(AND(EPe_BA_intern_assesment_Raw_data___Sheet13[[#This Row],[Customer Rating]]&gt;6,EPe_BA_intern_assesment_Raw_data___Sheet13[[#This Row],[Customer Rating]]&lt;9), EPe_BA_intern_assesment_Raw_data___Sheet13[[#This Row],[Customer Rating]], "")</f>
        <v/>
      </c>
      <c r="R147">
        <f>IF(EPe_BA_intern_assesment_Raw_data___Sheet13[[#This Row],[Customer Rating]]&lt;7,EPe_BA_intern_assesment_Raw_data___Sheet13[[#This Row],[Customer Rating]])</f>
        <v>1</v>
      </c>
    </row>
    <row r="148" spans="1:18" x14ac:dyDescent="0.3">
      <c r="A148" t="s">
        <v>176</v>
      </c>
      <c r="B148" t="s">
        <v>16</v>
      </c>
      <c r="C148" t="s">
        <v>32</v>
      </c>
      <c r="D148" s="1">
        <v>45931</v>
      </c>
      <c r="E148" s="1">
        <v>45933</v>
      </c>
      <c r="F148" s="1">
        <v>45934</v>
      </c>
      <c r="G148" s="1">
        <v>45938</v>
      </c>
      <c r="H148" t="s">
        <v>18</v>
      </c>
      <c r="I148" t="s">
        <v>19</v>
      </c>
      <c r="J148" s="1">
        <v>45951</v>
      </c>
      <c r="K148">
        <v>2</v>
      </c>
      <c r="L148">
        <v>1</v>
      </c>
      <c r="M148">
        <v>4</v>
      </c>
      <c r="N148">
        <v>6</v>
      </c>
      <c r="O148">
        <v>7</v>
      </c>
      <c r="P148" t="b">
        <f>IF(EPe_BA_intern_assesment_Raw_data___Sheet13[[#This Row],[Customer Rating]]&gt;8,EPe_BA_intern_assesment_Raw_data___Sheet13[[#This Row],[Customer Rating]])</f>
        <v>0</v>
      </c>
      <c r="Q148" t="str">
        <f>IF(AND(EPe_BA_intern_assesment_Raw_data___Sheet13[[#This Row],[Customer Rating]]&gt;6,EPe_BA_intern_assesment_Raw_data___Sheet13[[#This Row],[Customer Rating]]&lt;9), EPe_BA_intern_assesment_Raw_data___Sheet13[[#This Row],[Customer Rating]], "")</f>
        <v/>
      </c>
      <c r="R148">
        <f>IF(EPe_BA_intern_assesment_Raw_data___Sheet13[[#This Row],[Customer Rating]]&lt;7,EPe_BA_intern_assesment_Raw_data___Sheet13[[#This Row],[Customer Rating]])</f>
        <v>6</v>
      </c>
    </row>
    <row r="149" spans="1:18" x14ac:dyDescent="0.3">
      <c r="A149" t="s">
        <v>177</v>
      </c>
      <c r="B149" t="s">
        <v>34</v>
      </c>
      <c r="C149" t="s">
        <v>24</v>
      </c>
      <c r="D149" s="1">
        <v>45953</v>
      </c>
      <c r="E149" s="1"/>
      <c r="F149" s="1"/>
      <c r="G149" s="1"/>
      <c r="H149" t="s">
        <v>25</v>
      </c>
      <c r="I149" t="s">
        <v>35</v>
      </c>
      <c r="J149" s="1"/>
      <c r="P149" t="b">
        <f>IF(EPe_BA_intern_assesment_Raw_data___Sheet13[[#This Row],[Customer Rating]]&gt;8,EPe_BA_intern_assesment_Raw_data___Sheet13[[#This Row],[Customer Rating]])</f>
        <v>0</v>
      </c>
      <c r="Q149" t="str">
        <f>IF(AND(EPe_BA_intern_assesment_Raw_data___Sheet13[[#This Row],[Customer Rating]]&gt;6,EPe_BA_intern_assesment_Raw_data___Sheet13[[#This Row],[Customer Rating]]&lt;9), EPe_BA_intern_assesment_Raw_data___Sheet13[[#This Row],[Customer Rating]], "")</f>
        <v/>
      </c>
      <c r="R149">
        <f>IF(EPe_BA_intern_assesment_Raw_data___Sheet13[[#This Row],[Customer Rating]]&lt;7,EPe_BA_intern_assesment_Raw_data___Sheet13[[#This Row],[Customer Rating]])</f>
        <v>0</v>
      </c>
    </row>
    <row r="150" spans="1:18" x14ac:dyDescent="0.3">
      <c r="A150" t="s">
        <v>178</v>
      </c>
      <c r="B150" t="s">
        <v>34</v>
      </c>
      <c r="C150" t="s">
        <v>32</v>
      </c>
      <c r="D150" s="1">
        <v>45948</v>
      </c>
      <c r="E150" s="1">
        <v>45952</v>
      </c>
      <c r="F150" s="1">
        <v>45954</v>
      </c>
      <c r="G150" s="1">
        <v>45956</v>
      </c>
      <c r="H150" t="s">
        <v>18</v>
      </c>
      <c r="I150" t="s">
        <v>19</v>
      </c>
      <c r="J150" s="1">
        <v>45981</v>
      </c>
      <c r="K150">
        <v>4</v>
      </c>
      <c r="L150">
        <v>2</v>
      </c>
      <c r="M150">
        <v>2</v>
      </c>
      <c r="N150">
        <v>5</v>
      </c>
      <c r="O150">
        <v>8</v>
      </c>
      <c r="P150" t="b">
        <f>IF(EPe_BA_intern_assesment_Raw_data___Sheet13[[#This Row],[Customer Rating]]&gt;8,EPe_BA_intern_assesment_Raw_data___Sheet13[[#This Row],[Customer Rating]])</f>
        <v>0</v>
      </c>
      <c r="Q150" t="str">
        <f>IF(AND(EPe_BA_intern_assesment_Raw_data___Sheet13[[#This Row],[Customer Rating]]&gt;6,EPe_BA_intern_assesment_Raw_data___Sheet13[[#This Row],[Customer Rating]]&lt;9), EPe_BA_intern_assesment_Raw_data___Sheet13[[#This Row],[Customer Rating]], "")</f>
        <v/>
      </c>
      <c r="R150">
        <f>IF(EPe_BA_intern_assesment_Raw_data___Sheet13[[#This Row],[Customer Rating]]&lt;7,EPe_BA_intern_assesment_Raw_data___Sheet13[[#This Row],[Customer Rating]])</f>
        <v>5</v>
      </c>
    </row>
    <row r="151" spans="1:18" x14ac:dyDescent="0.3">
      <c r="A151" t="s">
        <v>179</v>
      </c>
      <c r="B151" t="s">
        <v>34</v>
      </c>
      <c r="C151" t="s">
        <v>17</v>
      </c>
      <c r="D151" s="1">
        <v>45935</v>
      </c>
      <c r="E151" s="1">
        <v>45940</v>
      </c>
      <c r="F151" s="1">
        <v>45941</v>
      </c>
      <c r="G151" s="1">
        <v>45945</v>
      </c>
      <c r="H151" t="s">
        <v>18</v>
      </c>
      <c r="I151" t="s">
        <v>19</v>
      </c>
      <c r="J151" s="1">
        <v>45973</v>
      </c>
      <c r="K151">
        <v>5</v>
      </c>
      <c r="L151">
        <v>1</v>
      </c>
      <c r="M151">
        <v>4</v>
      </c>
      <c r="N151">
        <v>4</v>
      </c>
      <c r="O151">
        <v>10</v>
      </c>
      <c r="P151" t="b">
        <f>IF(EPe_BA_intern_assesment_Raw_data___Sheet13[[#This Row],[Customer Rating]]&gt;8,EPe_BA_intern_assesment_Raw_data___Sheet13[[#This Row],[Customer Rating]])</f>
        <v>0</v>
      </c>
      <c r="Q151" t="str">
        <f>IF(AND(EPe_BA_intern_assesment_Raw_data___Sheet13[[#This Row],[Customer Rating]]&gt;6,EPe_BA_intern_assesment_Raw_data___Sheet13[[#This Row],[Customer Rating]]&lt;9), EPe_BA_intern_assesment_Raw_data___Sheet13[[#This Row],[Customer Rating]], "")</f>
        <v/>
      </c>
      <c r="R151">
        <f>IF(EPe_BA_intern_assesment_Raw_data___Sheet13[[#This Row],[Customer Rating]]&lt;7,EPe_BA_intern_assesment_Raw_data___Sheet13[[#This Row],[Customer Rating]])</f>
        <v>4</v>
      </c>
    </row>
    <row r="152" spans="1:18" x14ac:dyDescent="0.3">
      <c r="A152" t="s">
        <v>180</v>
      </c>
      <c r="B152" t="s">
        <v>16</v>
      </c>
      <c r="C152" t="s">
        <v>32</v>
      </c>
      <c r="D152" s="1">
        <v>45939</v>
      </c>
      <c r="E152" s="1">
        <v>45940</v>
      </c>
      <c r="F152" s="1">
        <v>45945</v>
      </c>
      <c r="G152" s="1">
        <v>45948</v>
      </c>
      <c r="H152" t="s">
        <v>18</v>
      </c>
      <c r="I152" t="s">
        <v>19</v>
      </c>
      <c r="J152" s="1">
        <v>45978</v>
      </c>
      <c r="K152">
        <v>1</v>
      </c>
      <c r="L152">
        <v>5</v>
      </c>
      <c r="M152">
        <v>3</v>
      </c>
      <c r="N152">
        <v>2</v>
      </c>
      <c r="O152">
        <v>9</v>
      </c>
      <c r="P152" t="b">
        <f>IF(EPe_BA_intern_assesment_Raw_data___Sheet13[[#This Row],[Customer Rating]]&gt;8,EPe_BA_intern_assesment_Raw_data___Sheet13[[#This Row],[Customer Rating]])</f>
        <v>0</v>
      </c>
      <c r="Q152" t="str">
        <f>IF(AND(EPe_BA_intern_assesment_Raw_data___Sheet13[[#This Row],[Customer Rating]]&gt;6,EPe_BA_intern_assesment_Raw_data___Sheet13[[#This Row],[Customer Rating]]&lt;9), EPe_BA_intern_assesment_Raw_data___Sheet13[[#This Row],[Customer Rating]], "")</f>
        <v/>
      </c>
      <c r="R152">
        <f>IF(EPe_BA_intern_assesment_Raw_data___Sheet13[[#This Row],[Customer Rating]]&lt;7,EPe_BA_intern_assesment_Raw_data___Sheet13[[#This Row],[Customer Rating]])</f>
        <v>2</v>
      </c>
    </row>
    <row r="153" spans="1:18" x14ac:dyDescent="0.3">
      <c r="A153" t="s">
        <v>181</v>
      </c>
      <c r="B153" t="s">
        <v>21</v>
      </c>
      <c r="C153" t="s">
        <v>24</v>
      </c>
      <c r="D153" s="1">
        <v>45932</v>
      </c>
      <c r="E153" s="1"/>
      <c r="F153" s="1"/>
      <c r="G153" s="1"/>
      <c r="H153" t="s">
        <v>25</v>
      </c>
      <c r="I153" t="s">
        <v>26</v>
      </c>
      <c r="J153" s="1"/>
      <c r="P153" t="b">
        <f>IF(EPe_BA_intern_assesment_Raw_data___Sheet13[[#This Row],[Customer Rating]]&gt;8,EPe_BA_intern_assesment_Raw_data___Sheet13[[#This Row],[Customer Rating]])</f>
        <v>0</v>
      </c>
      <c r="Q153" t="str">
        <f>IF(AND(EPe_BA_intern_assesment_Raw_data___Sheet13[[#This Row],[Customer Rating]]&gt;6,EPe_BA_intern_assesment_Raw_data___Sheet13[[#This Row],[Customer Rating]]&lt;9), EPe_BA_intern_assesment_Raw_data___Sheet13[[#This Row],[Customer Rating]], "")</f>
        <v/>
      </c>
      <c r="R153">
        <f>IF(EPe_BA_intern_assesment_Raw_data___Sheet13[[#This Row],[Customer Rating]]&lt;7,EPe_BA_intern_assesment_Raw_data___Sheet13[[#This Row],[Customer Rating]])</f>
        <v>0</v>
      </c>
    </row>
    <row r="154" spans="1:18" x14ac:dyDescent="0.3">
      <c r="A154" t="s">
        <v>182</v>
      </c>
      <c r="B154" t="s">
        <v>21</v>
      </c>
      <c r="C154" t="s">
        <v>24</v>
      </c>
      <c r="D154" s="1">
        <v>45932</v>
      </c>
      <c r="E154" s="1"/>
      <c r="F154" s="1"/>
      <c r="G154" s="1"/>
      <c r="H154" t="s">
        <v>25</v>
      </c>
      <c r="I154" t="s">
        <v>35</v>
      </c>
      <c r="J154" s="1"/>
      <c r="P154" t="b">
        <f>IF(EPe_BA_intern_assesment_Raw_data___Sheet13[[#This Row],[Customer Rating]]&gt;8,EPe_BA_intern_assesment_Raw_data___Sheet13[[#This Row],[Customer Rating]])</f>
        <v>0</v>
      </c>
      <c r="Q154" t="str">
        <f>IF(AND(EPe_BA_intern_assesment_Raw_data___Sheet13[[#This Row],[Customer Rating]]&gt;6,EPe_BA_intern_assesment_Raw_data___Sheet13[[#This Row],[Customer Rating]]&lt;9), EPe_BA_intern_assesment_Raw_data___Sheet13[[#This Row],[Customer Rating]], "")</f>
        <v/>
      </c>
      <c r="R154">
        <f>IF(EPe_BA_intern_assesment_Raw_data___Sheet13[[#This Row],[Customer Rating]]&lt;7,EPe_BA_intern_assesment_Raw_data___Sheet13[[#This Row],[Customer Rating]])</f>
        <v>0</v>
      </c>
    </row>
    <row r="155" spans="1:18" x14ac:dyDescent="0.3">
      <c r="A155" t="s">
        <v>183</v>
      </c>
      <c r="B155" t="s">
        <v>16</v>
      </c>
      <c r="C155" t="s">
        <v>17</v>
      </c>
      <c r="D155" s="1">
        <v>45948</v>
      </c>
      <c r="E155" s="1">
        <v>45949</v>
      </c>
      <c r="F155" s="1">
        <v>45951</v>
      </c>
      <c r="G155" s="1">
        <v>45957</v>
      </c>
      <c r="H155" t="s">
        <v>18</v>
      </c>
      <c r="I155" t="s">
        <v>19</v>
      </c>
      <c r="J155" s="1">
        <v>45974</v>
      </c>
      <c r="K155">
        <v>1</v>
      </c>
      <c r="L155">
        <v>2</v>
      </c>
      <c r="M155">
        <v>6</v>
      </c>
      <c r="N155">
        <v>7</v>
      </c>
      <c r="O155">
        <v>9</v>
      </c>
      <c r="P155" t="b">
        <f>IF(EPe_BA_intern_assesment_Raw_data___Sheet13[[#This Row],[Customer Rating]]&gt;8,EPe_BA_intern_assesment_Raw_data___Sheet13[[#This Row],[Customer Rating]])</f>
        <v>0</v>
      </c>
      <c r="Q155">
        <f>IF(AND(EPe_BA_intern_assesment_Raw_data___Sheet13[[#This Row],[Customer Rating]]&gt;6,EPe_BA_intern_assesment_Raw_data___Sheet13[[#This Row],[Customer Rating]]&lt;9), EPe_BA_intern_assesment_Raw_data___Sheet13[[#This Row],[Customer Rating]], "")</f>
        <v>7</v>
      </c>
      <c r="R155" t="b">
        <f>IF(EPe_BA_intern_assesment_Raw_data___Sheet13[[#This Row],[Customer Rating]]&lt;7,EPe_BA_intern_assesment_Raw_data___Sheet13[[#This Row],[Customer Rating]])</f>
        <v>0</v>
      </c>
    </row>
    <row r="156" spans="1:18" x14ac:dyDescent="0.3">
      <c r="A156" t="s">
        <v>184</v>
      </c>
      <c r="B156" t="s">
        <v>21</v>
      </c>
      <c r="C156" t="s">
        <v>24</v>
      </c>
      <c r="D156" s="1">
        <v>45940</v>
      </c>
      <c r="E156" s="1"/>
      <c r="F156" s="1"/>
      <c r="G156" s="1"/>
      <c r="H156" t="s">
        <v>25</v>
      </c>
      <c r="I156" t="s">
        <v>26</v>
      </c>
      <c r="J156" s="1"/>
      <c r="P156" t="b">
        <f>IF(EPe_BA_intern_assesment_Raw_data___Sheet13[[#This Row],[Customer Rating]]&gt;8,EPe_BA_intern_assesment_Raw_data___Sheet13[[#This Row],[Customer Rating]])</f>
        <v>0</v>
      </c>
      <c r="Q156" t="str">
        <f>IF(AND(EPe_BA_intern_assesment_Raw_data___Sheet13[[#This Row],[Customer Rating]]&gt;6,EPe_BA_intern_assesment_Raw_data___Sheet13[[#This Row],[Customer Rating]]&lt;9), EPe_BA_intern_assesment_Raw_data___Sheet13[[#This Row],[Customer Rating]], "")</f>
        <v/>
      </c>
      <c r="R156">
        <f>IF(EPe_BA_intern_assesment_Raw_data___Sheet13[[#This Row],[Customer Rating]]&lt;7,EPe_BA_intern_assesment_Raw_data___Sheet13[[#This Row],[Customer Rating]])</f>
        <v>0</v>
      </c>
    </row>
    <row r="157" spans="1:18" x14ac:dyDescent="0.3">
      <c r="A157" t="s">
        <v>185</v>
      </c>
      <c r="B157" t="s">
        <v>16</v>
      </c>
      <c r="C157" t="s">
        <v>32</v>
      </c>
      <c r="D157" s="1">
        <v>45953</v>
      </c>
      <c r="E157" s="1">
        <v>45955</v>
      </c>
      <c r="F157" s="1">
        <v>45959</v>
      </c>
      <c r="G157" s="1">
        <v>45963</v>
      </c>
      <c r="H157" t="s">
        <v>18</v>
      </c>
      <c r="I157" t="s">
        <v>19</v>
      </c>
      <c r="J157" s="1">
        <v>45978</v>
      </c>
      <c r="K157">
        <v>2</v>
      </c>
      <c r="L157">
        <v>4</v>
      </c>
      <c r="M157">
        <v>4</v>
      </c>
      <c r="N157">
        <v>4</v>
      </c>
      <c r="O157">
        <v>10</v>
      </c>
      <c r="P157" t="b">
        <f>IF(EPe_BA_intern_assesment_Raw_data___Sheet13[[#This Row],[Customer Rating]]&gt;8,EPe_BA_intern_assesment_Raw_data___Sheet13[[#This Row],[Customer Rating]])</f>
        <v>0</v>
      </c>
      <c r="Q157" t="str">
        <f>IF(AND(EPe_BA_intern_assesment_Raw_data___Sheet13[[#This Row],[Customer Rating]]&gt;6,EPe_BA_intern_assesment_Raw_data___Sheet13[[#This Row],[Customer Rating]]&lt;9), EPe_BA_intern_assesment_Raw_data___Sheet13[[#This Row],[Customer Rating]], "")</f>
        <v/>
      </c>
      <c r="R157">
        <f>IF(EPe_BA_intern_assesment_Raw_data___Sheet13[[#This Row],[Customer Rating]]&lt;7,EPe_BA_intern_assesment_Raw_data___Sheet13[[#This Row],[Customer Rating]])</f>
        <v>4</v>
      </c>
    </row>
    <row r="158" spans="1:18" x14ac:dyDescent="0.3">
      <c r="A158" t="s">
        <v>186</v>
      </c>
      <c r="B158" t="s">
        <v>21</v>
      </c>
      <c r="C158" t="s">
        <v>24</v>
      </c>
      <c r="D158" s="1">
        <v>45961</v>
      </c>
      <c r="E158" s="1"/>
      <c r="F158" s="1"/>
      <c r="G158" s="1"/>
      <c r="H158" t="s">
        <v>25</v>
      </c>
      <c r="I158" t="s">
        <v>65</v>
      </c>
      <c r="J158" s="1"/>
      <c r="P158" t="b">
        <f>IF(EPe_BA_intern_assesment_Raw_data___Sheet13[[#This Row],[Customer Rating]]&gt;8,EPe_BA_intern_assesment_Raw_data___Sheet13[[#This Row],[Customer Rating]])</f>
        <v>0</v>
      </c>
      <c r="Q158" t="str">
        <f>IF(AND(EPe_BA_intern_assesment_Raw_data___Sheet13[[#This Row],[Customer Rating]]&gt;6,EPe_BA_intern_assesment_Raw_data___Sheet13[[#This Row],[Customer Rating]]&lt;9), EPe_BA_intern_assesment_Raw_data___Sheet13[[#This Row],[Customer Rating]], "")</f>
        <v/>
      </c>
      <c r="R158">
        <f>IF(EPe_BA_intern_assesment_Raw_data___Sheet13[[#This Row],[Customer Rating]]&lt;7,EPe_BA_intern_assesment_Raw_data___Sheet13[[#This Row],[Customer Rating]])</f>
        <v>0</v>
      </c>
    </row>
    <row r="159" spans="1:18" x14ac:dyDescent="0.3">
      <c r="A159" t="s">
        <v>187</v>
      </c>
      <c r="B159" t="s">
        <v>23</v>
      </c>
      <c r="C159" t="s">
        <v>32</v>
      </c>
      <c r="D159" s="1">
        <v>45935</v>
      </c>
      <c r="E159" s="1">
        <v>45938</v>
      </c>
      <c r="F159" s="1">
        <v>45942</v>
      </c>
      <c r="G159" s="1">
        <v>45945</v>
      </c>
      <c r="H159" t="s">
        <v>18</v>
      </c>
      <c r="I159" t="s">
        <v>19</v>
      </c>
      <c r="J159" s="1">
        <v>45969</v>
      </c>
      <c r="K159">
        <v>3</v>
      </c>
      <c r="L159">
        <v>4</v>
      </c>
      <c r="M159">
        <v>3</v>
      </c>
      <c r="N159">
        <v>8</v>
      </c>
      <c r="O159">
        <v>10</v>
      </c>
      <c r="P159" t="b">
        <f>IF(EPe_BA_intern_assesment_Raw_data___Sheet13[[#This Row],[Customer Rating]]&gt;8,EPe_BA_intern_assesment_Raw_data___Sheet13[[#This Row],[Customer Rating]])</f>
        <v>0</v>
      </c>
      <c r="Q159">
        <f>IF(AND(EPe_BA_intern_assesment_Raw_data___Sheet13[[#This Row],[Customer Rating]]&gt;6,EPe_BA_intern_assesment_Raw_data___Sheet13[[#This Row],[Customer Rating]]&lt;9), EPe_BA_intern_assesment_Raw_data___Sheet13[[#This Row],[Customer Rating]], "")</f>
        <v>8</v>
      </c>
      <c r="R159" t="b">
        <f>IF(EPe_BA_intern_assesment_Raw_data___Sheet13[[#This Row],[Customer Rating]]&lt;7,EPe_BA_intern_assesment_Raw_data___Sheet13[[#This Row],[Customer Rating]])</f>
        <v>0</v>
      </c>
    </row>
    <row r="160" spans="1:18" x14ac:dyDescent="0.3">
      <c r="A160" t="s">
        <v>188</v>
      </c>
      <c r="B160" t="s">
        <v>23</v>
      </c>
      <c r="C160" t="s">
        <v>24</v>
      </c>
      <c r="D160" s="1">
        <v>45951</v>
      </c>
      <c r="E160" s="1"/>
      <c r="F160" s="1"/>
      <c r="G160" s="1"/>
      <c r="H160" t="s">
        <v>25</v>
      </c>
      <c r="I160" t="s">
        <v>28</v>
      </c>
      <c r="J160" s="1"/>
      <c r="P160" t="b">
        <f>IF(EPe_BA_intern_assesment_Raw_data___Sheet13[[#This Row],[Customer Rating]]&gt;8,EPe_BA_intern_assesment_Raw_data___Sheet13[[#This Row],[Customer Rating]])</f>
        <v>0</v>
      </c>
      <c r="Q160" t="str">
        <f>IF(AND(EPe_BA_intern_assesment_Raw_data___Sheet13[[#This Row],[Customer Rating]]&gt;6,EPe_BA_intern_assesment_Raw_data___Sheet13[[#This Row],[Customer Rating]]&lt;9), EPe_BA_intern_assesment_Raw_data___Sheet13[[#This Row],[Customer Rating]], "")</f>
        <v/>
      </c>
      <c r="R160">
        <f>IF(EPe_BA_intern_assesment_Raw_data___Sheet13[[#This Row],[Customer Rating]]&lt;7,EPe_BA_intern_assesment_Raw_data___Sheet13[[#This Row],[Customer Rating]])</f>
        <v>0</v>
      </c>
    </row>
    <row r="161" spans="1:18" x14ac:dyDescent="0.3">
      <c r="A161" t="s">
        <v>189</v>
      </c>
      <c r="B161" t="s">
        <v>34</v>
      </c>
      <c r="C161" t="s">
        <v>32</v>
      </c>
      <c r="D161" s="1">
        <v>45958</v>
      </c>
      <c r="E161" s="1">
        <v>45960</v>
      </c>
      <c r="F161" s="1">
        <v>45964</v>
      </c>
      <c r="G161" s="1">
        <v>45969</v>
      </c>
      <c r="H161" t="s">
        <v>18</v>
      </c>
      <c r="I161" t="s">
        <v>19</v>
      </c>
      <c r="J161" s="1">
        <v>45981</v>
      </c>
      <c r="K161">
        <v>2</v>
      </c>
      <c r="L161">
        <v>4</v>
      </c>
      <c r="M161">
        <v>5</v>
      </c>
      <c r="N161">
        <v>5</v>
      </c>
      <c r="O161">
        <v>11</v>
      </c>
      <c r="P161" t="b">
        <f>IF(EPe_BA_intern_assesment_Raw_data___Sheet13[[#This Row],[Customer Rating]]&gt;8,EPe_BA_intern_assesment_Raw_data___Sheet13[[#This Row],[Customer Rating]])</f>
        <v>0</v>
      </c>
      <c r="Q161" t="str">
        <f>IF(AND(EPe_BA_intern_assesment_Raw_data___Sheet13[[#This Row],[Customer Rating]]&gt;6,EPe_BA_intern_assesment_Raw_data___Sheet13[[#This Row],[Customer Rating]]&lt;9), EPe_BA_intern_assesment_Raw_data___Sheet13[[#This Row],[Customer Rating]], "")</f>
        <v/>
      </c>
      <c r="R161">
        <f>IF(EPe_BA_intern_assesment_Raw_data___Sheet13[[#This Row],[Customer Rating]]&lt;7,EPe_BA_intern_assesment_Raw_data___Sheet13[[#This Row],[Customer Rating]])</f>
        <v>5</v>
      </c>
    </row>
    <row r="162" spans="1:18" x14ac:dyDescent="0.3">
      <c r="A162" t="s">
        <v>190</v>
      </c>
      <c r="B162" t="s">
        <v>23</v>
      </c>
      <c r="C162" t="s">
        <v>17</v>
      </c>
      <c r="D162" s="1">
        <v>45955</v>
      </c>
      <c r="E162" s="1">
        <v>45957</v>
      </c>
      <c r="F162" s="1">
        <v>45959</v>
      </c>
      <c r="G162" s="1">
        <v>45965</v>
      </c>
      <c r="H162" t="s">
        <v>18</v>
      </c>
      <c r="I162" t="s">
        <v>19</v>
      </c>
      <c r="J162" s="1">
        <v>45976</v>
      </c>
      <c r="K162">
        <v>2</v>
      </c>
      <c r="L162">
        <v>2</v>
      </c>
      <c r="M162">
        <v>6</v>
      </c>
      <c r="N162">
        <v>3</v>
      </c>
      <c r="O162">
        <v>10</v>
      </c>
      <c r="P162" t="b">
        <f>IF(EPe_BA_intern_assesment_Raw_data___Sheet13[[#This Row],[Customer Rating]]&gt;8,EPe_BA_intern_assesment_Raw_data___Sheet13[[#This Row],[Customer Rating]])</f>
        <v>0</v>
      </c>
      <c r="Q162" t="str">
        <f>IF(AND(EPe_BA_intern_assesment_Raw_data___Sheet13[[#This Row],[Customer Rating]]&gt;6,EPe_BA_intern_assesment_Raw_data___Sheet13[[#This Row],[Customer Rating]]&lt;9), EPe_BA_intern_assesment_Raw_data___Sheet13[[#This Row],[Customer Rating]], "")</f>
        <v/>
      </c>
      <c r="R162">
        <f>IF(EPe_BA_intern_assesment_Raw_data___Sheet13[[#This Row],[Customer Rating]]&lt;7,EPe_BA_intern_assesment_Raw_data___Sheet13[[#This Row],[Customer Rating]])</f>
        <v>3</v>
      </c>
    </row>
    <row r="163" spans="1:18" x14ac:dyDescent="0.3">
      <c r="A163" t="s">
        <v>191</v>
      </c>
      <c r="B163" t="s">
        <v>23</v>
      </c>
      <c r="C163" t="s">
        <v>17</v>
      </c>
      <c r="D163" s="1">
        <v>45946</v>
      </c>
      <c r="E163" s="1">
        <v>45949</v>
      </c>
      <c r="F163" s="1">
        <v>45952</v>
      </c>
      <c r="G163" s="1">
        <v>45959</v>
      </c>
      <c r="H163" t="s">
        <v>18</v>
      </c>
      <c r="I163" t="s">
        <v>19</v>
      </c>
      <c r="J163" s="1">
        <v>45978</v>
      </c>
      <c r="K163">
        <v>3</v>
      </c>
      <c r="L163">
        <v>3</v>
      </c>
      <c r="M163">
        <v>7</v>
      </c>
      <c r="N163">
        <v>2</v>
      </c>
      <c r="O163">
        <v>13</v>
      </c>
      <c r="P163" t="b">
        <f>IF(EPe_BA_intern_assesment_Raw_data___Sheet13[[#This Row],[Customer Rating]]&gt;8,EPe_BA_intern_assesment_Raw_data___Sheet13[[#This Row],[Customer Rating]])</f>
        <v>0</v>
      </c>
      <c r="Q163" t="str">
        <f>IF(AND(EPe_BA_intern_assesment_Raw_data___Sheet13[[#This Row],[Customer Rating]]&gt;6,EPe_BA_intern_assesment_Raw_data___Sheet13[[#This Row],[Customer Rating]]&lt;9), EPe_BA_intern_assesment_Raw_data___Sheet13[[#This Row],[Customer Rating]], "")</f>
        <v/>
      </c>
      <c r="R163">
        <f>IF(EPe_BA_intern_assesment_Raw_data___Sheet13[[#This Row],[Customer Rating]]&lt;7,EPe_BA_intern_assesment_Raw_data___Sheet13[[#This Row],[Customer Rating]])</f>
        <v>2</v>
      </c>
    </row>
    <row r="164" spans="1:18" x14ac:dyDescent="0.3">
      <c r="A164" t="s">
        <v>192</v>
      </c>
      <c r="B164" t="s">
        <v>23</v>
      </c>
      <c r="C164" t="s">
        <v>32</v>
      </c>
      <c r="D164" s="1">
        <v>45934</v>
      </c>
      <c r="E164" s="1">
        <v>45937</v>
      </c>
      <c r="F164" s="1">
        <v>45940</v>
      </c>
      <c r="G164" s="1">
        <v>45945</v>
      </c>
      <c r="H164" t="s">
        <v>18</v>
      </c>
      <c r="I164" t="s">
        <v>19</v>
      </c>
      <c r="J164" s="1">
        <v>45955</v>
      </c>
      <c r="K164">
        <v>3</v>
      </c>
      <c r="L164">
        <v>3</v>
      </c>
      <c r="M164">
        <v>5</v>
      </c>
      <c r="N164">
        <v>7</v>
      </c>
      <c r="O164">
        <v>11</v>
      </c>
      <c r="P164" t="b">
        <f>IF(EPe_BA_intern_assesment_Raw_data___Sheet13[[#This Row],[Customer Rating]]&gt;8,EPe_BA_intern_assesment_Raw_data___Sheet13[[#This Row],[Customer Rating]])</f>
        <v>0</v>
      </c>
      <c r="Q164">
        <f>IF(AND(EPe_BA_intern_assesment_Raw_data___Sheet13[[#This Row],[Customer Rating]]&gt;6,EPe_BA_intern_assesment_Raw_data___Sheet13[[#This Row],[Customer Rating]]&lt;9), EPe_BA_intern_assesment_Raw_data___Sheet13[[#This Row],[Customer Rating]], "")</f>
        <v>7</v>
      </c>
      <c r="R164" t="b">
        <f>IF(EPe_BA_intern_assesment_Raw_data___Sheet13[[#This Row],[Customer Rating]]&lt;7,EPe_BA_intern_assesment_Raw_data___Sheet13[[#This Row],[Customer Rating]])</f>
        <v>0</v>
      </c>
    </row>
    <row r="165" spans="1:18" x14ac:dyDescent="0.3">
      <c r="A165" t="s">
        <v>193</v>
      </c>
      <c r="B165" t="s">
        <v>16</v>
      </c>
      <c r="C165" t="s">
        <v>32</v>
      </c>
      <c r="D165" s="1">
        <v>45958</v>
      </c>
      <c r="E165" s="1">
        <v>45961</v>
      </c>
      <c r="F165" s="1">
        <v>45964</v>
      </c>
      <c r="G165" s="1">
        <v>45970</v>
      </c>
      <c r="H165" t="s">
        <v>18</v>
      </c>
      <c r="I165" t="s">
        <v>19</v>
      </c>
      <c r="J165" s="1">
        <v>45990</v>
      </c>
      <c r="K165">
        <v>3</v>
      </c>
      <c r="L165">
        <v>3</v>
      </c>
      <c r="M165">
        <v>6</v>
      </c>
      <c r="N165">
        <v>5</v>
      </c>
      <c r="O165">
        <v>12</v>
      </c>
      <c r="P165" t="b">
        <f>IF(EPe_BA_intern_assesment_Raw_data___Sheet13[[#This Row],[Customer Rating]]&gt;8,EPe_BA_intern_assesment_Raw_data___Sheet13[[#This Row],[Customer Rating]])</f>
        <v>0</v>
      </c>
      <c r="Q165" t="str">
        <f>IF(AND(EPe_BA_intern_assesment_Raw_data___Sheet13[[#This Row],[Customer Rating]]&gt;6,EPe_BA_intern_assesment_Raw_data___Sheet13[[#This Row],[Customer Rating]]&lt;9), EPe_BA_intern_assesment_Raw_data___Sheet13[[#This Row],[Customer Rating]], "")</f>
        <v/>
      </c>
      <c r="R165">
        <f>IF(EPe_BA_intern_assesment_Raw_data___Sheet13[[#This Row],[Customer Rating]]&lt;7,EPe_BA_intern_assesment_Raw_data___Sheet13[[#This Row],[Customer Rating]])</f>
        <v>5</v>
      </c>
    </row>
    <row r="166" spans="1:18" x14ac:dyDescent="0.3">
      <c r="A166" t="s">
        <v>194</v>
      </c>
      <c r="B166" t="s">
        <v>23</v>
      </c>
      <c r="C166" t="s">
        <v>32</v>
      </c>
      <c r="D166" s="1">
        <v>45931</v>
      </c>
      <c r="E166" s="1">
        <v>45932</v>
      </c>
      <c r="F166" s="1">
        <v>45933</v>
      </c>
      <c r="G166" s="1">
        <v>45939</v>
      </c>
      <c r="H166" t="s">
        <v>18</v>
      </c>
      <c r="I166" t="s">
        <v>19</v>
      </c>
      <c r="J166" s="1">
        <v>45957</v>
      </c>
      <c r="K166">
        <v>1</v>
      </c>
      <c r="L166">
        <v>1</v>
      </c>
      <c r="M166">
        <v>6</v>
      </c>
      <c r="N166">
        <v>6</v>
      </c>
      <c r="O166">
        <v>8</v>
      </c>
      <c r="P166" t="b">
        <f>IF(EPe_BA_intern_assesment_Raw_data___Sheet13[[#This Row],[Customer Rating]]&gt;8,EPe_BA_intern_assesment_Raw_data___Sheet13[[#This Row],[Customer Rating]])</f>
        <v>0</v>
      </c>
      <c r="Q166" t="str">
        <f>IF(AND(EPe_BA_intern_assesment_Raw_data___Sheet13[[#This Row],[Customer Rating]]&gt;6,EPe_BA_intern_assesment_Raw_data___Sheet13[[#This Row],[Customer Rating]]&lt;9), EPe_BA_intern_assesment_Raw_data___Sheet13[[#This Row],[Customer Rating]], "")</f>
        <v/>
      </c>
      <c r="R166">
        <f>IF(EPe_BA_intern_assesment_Raw_data___Sheet13[[#This Row],[Customer Rating]]&lt;7,EPe_BA_intern_assesment_Raw_data___Sheet13[[#This Row],[Customer Rating]])</f>
        <v>6</v>
      </c>
    </row>
    <row r="167" spans="1:18" x14ac:dyDescent="0.3">
      <c r="A167" t="s">
        <v>195</v>
      </c>
      <c r="B167" t="s">
        <v>23</v>
      </c>
      <c r="C167" t="s">
        <v>17</v>
      </c>
      <c r="D167" s="1">
        <v>45949</v>
      </c>
      <c r="E167" s="1">
        <v>45950</v>
      </c>
      <c r="F167" s="1">
        <v>45951</v>
      </c>
      <c r="G167" s="1">
        <v>45953</v>
      </c>
      <c r="H167" t="s">
        <v>18</v>
      </c>
      <c r="I167" t="s">
        <v>19</v>
      </c>
      <c r="J167" s="1">
        <v>45966</v>
      </c>
      <c r="K167">
        <v>1</v>
      </c>
      <c r="L167">
        <v>1</v>
      </c>
      <c r="M167">
        <v>2</v>
      </c>
      <c r="N167">
        <v>2</v>
      </c>
      <c r="O167">
        <v>4</v>
      </c>
      <c r="P167" t="b">
        <f>IF(EPe_BA_intern_assesment_Raw_data___Sheet13[[#This Row],[Customer Rating]]&gt;8,EPe_BA_intern_assesment_Raw_data___Sheet13[[#This Row],[Customer Rating]])</f>
        <v>0</v>
      </c>
      <c r="Q167" t="str">
        <f>IF(AND(EPe_BA_intern_assesment_Raw_data___Sheet13[[#This Row],[Customer Rating]]&gt;6,EPe_BA_intern_assesment_Raw_data___Sheet13[[#This Row],[Customer Rating]]&lt;9), EPe_BA_intern_assesment_Raw_data___Sheet13[[#This Row],[Customer Rating]], "")</f>
        <v/>
      </c>
      <c r="R167">
        <f>IF(EPe_BA_intern_assesment_Raw_data___Sheet13[[#This Row],[Customer Rating]]&lt;7,EPe_BA_intern_assesment_Raw_data___Sheet13[[#This Row],[Customer Rating]])</f>
        <v>2</v>
      </c>
    </row>
    <row r="168" spans="1:18" x14ac:dyDescent="0.3">
      <c r="A168" t="s">
        <v>196</v>
      </c>
      <c r="B168" t="s">
        <v>34</v>
      </c>
      <c r="C168" t="s">
        <v>17</v>
      </c>
      <c r="D168" s="1">
        <v>45940</v>
      </c>
      <c r="E168" s="1">
        <v>45944</v>
      </c>
      <c r="F168" s="1">
        <v>45949</v>
      </c>
      <c r="G168" s="1">
        <v>45955</v>
      </c>
      <c r="H168" t="s">
        <v>25</v>
      </c>
      <c r="I168" t="s">
        <v>35</v>
      </c>
      <c r="J168" s="1"/>
      <c r="K168">
        <v>4</v>
      </c>
      <c r="L168">
        <v>5</v>
      </c>
      <c r="M168">
        <v>6</v>
      </c>
      <c r="O168">
        <v>15</v>
      </c>
      <c r="P168" t="b">
        <f>IF(EPe_BA_intern_assesment_Raw_data___Sheet13[[#This Row],[Customer Rating]]&gt;8,EPe_BA_intern_assesment_Raw_data___Sheet13[[#This Row],[Customer Rating]])</f>
        <v>0</v>
      </c>
      <c r="Q168" t="str">
        <f>IF(AND(EPe_BA_intern_assesment_Raw_data___Sheet13[[#This Row],[Customer Rating]]&gt;6,EPe_BA_intern_assesment_Raw_data___Sheet13[[#This Row],[Customer Rating]]&lt;9), EPe_BA_intern_assesment_Raw_data___Sheet13[[#This Row],[Customer Rating]], "")</f>
        <v/>
      </c>
      <c r="R168">
        <f>IF(EPe_BA_intern_assesment_Raw_data___Sheet13[[#This Row],[Customer Rating]]&lt;7,EPe_BA_intern_assesment_Raw_data___Sheet13[[#This Row],[Customer Rating]])</f>
        <v>0</v>
      </c>
    </row>
    <row r="169" spans="1:18" x14ac:dyDescent="0.3">
      <c r="A169" t="s">
        <v>197</v>
      </c>
      <c r="B169" t="s">
        <v>23</v>
      </c>
      <c r="C169" t="s">
        <v>32</v>
      </c>
      <c r="D169" s="1">
        <v>45946</v>
      </c>
      <c r="E169" s="1">
        <v>45950</v>
      </c>
      <c r="F169" s="1">
        <v>45952</v>
      </c>
      <c r="G169" s="1">
        <v>45954</v>
      </c>
      <c r="H169" t="s">
        <v>25</v>
      </c>
      <c r="I169" t="s">
        <v>103</v>
      </c>
      <c r="J169" s="1"/>
      <c r="K169">
        <v>4</v>
      </c>
      <c r="L169">
        <v>2</v>
      </c>
      <c r="M169">
        <v>2</v>
      </c>
      <c r="O169">
        <v>8</v>
      </c>
      <c r="P169" t="b">
        <f>IF(EPe_BA_intern_assesment_Raw_data___Sheet13[[#This Row],[Customer Rating]]&gt;8,EPe_BA_intern_assesment_Raw_data___Sheet13[[#This Row],[Customer Rating]])</f>
        <v>0</v>
      </c>
      <c r="Q169" t="str">
        <f>IF(AND(EPe_BA_intern_assesment_Raw_data___Sheet13[[#This Row],[Customer Rating]]&gt;6,EPe_BA_intern_assesment_Raw_data___Sheet13[[#This Row],[Customer Rating]]&lt;9), EPe_BA_intern_assesment_Raw_data___Sheet13[[#This Row],[Customer Rating]], "")</f>
        <v/>
      </c>
      <c r="R169">
        <f>IF(EPe_BA_intern_assesment_Raw_data___Sheet13[[#This Row],[Customer Rating]]&lt;7,EPe_BA_intern_assesment_Raw_data___Sheet13[[#This Row],[Customer Rating]])</f>
        <v>0</v>
      </c>
    </row>
    <row r="170" spans="1:18" x14ac:dyDescent="0.3">
      <c r="A170" t="s">
        <v>198</v>
      </c>
      <c r="B170" t="s">
        <v>23</v>
      </c>
      <c r="C170" t="s">
        <v>17</v>
      </c>
      <c r="D170" s="1">
        <v>45946</v>
      </c>
      <c r="E170" s="1">
        <v>45948</v>
      </c>
      <c r="F170" s="1">
        <v>45953</v>
      </c>
      <c r="G170" s="1">
        <v>45957</v>
      </c>
      <c r="H170" t="s">
        <v>18</v>
      </c>
      <c r="I170" t="s">
        <v>19</v>
      </c>
      <c r="J170" s="1">
        <v>45969</v>
      </c>
      <c r="K170">
        <v>2</v>
      </c>
      <c r="L170">
        <v>5</v>
      </c>
      <c r="M170">
        <v>4</v>
      </c>
      <c r="N170">
        <v>5</v>
      </c>
      <c r="O170">
        <v>11</v>
      </c>
      <c r="P170" t="b">
        <f>IF(EPe_BA_intern_assesment_Raw_data___Sheet13[[#This Row],[Customer Rating]]&gt;8,EPe_BA_intern_assesment_Raw_data___Sheet13[[#This Row],[Customer Rating]])</f>
        <v>0</v>
      </c>
      <c r="Q170" t="str">
        <f>IF(AND(EPe_BA_intern_assesment_Raw_data___Sheet13[[#This Row],[Customer Rating]]&gt;6,EPe_BA_intern_assesment_Raw_data___Sheet13[[#This Row],[Customer Rating]]&lt;9), EPe_BA_intern_assesment_Raw_data___Sheet13[[#This Row],[Customer Rating]], "")</f>
        <v/>
      </c>
      <c r="R170">
        <f>IF(EPe_BA_intern_assesment_Raw_data___Sheet13[[#This Row],[Customer Rating]]&lt;7,EPe_BA_intern_assesment_Raw_data___Sheet13[[#This Row],[Customer Rating]])</f>
        <v>5</v>
      </c>
    </row>
    <row r="171" spans="1:18" x14ac:dyDescent="0.3">
      <c r="A171" t="s">
        <v>199</v>
      </c>
      <c r="B171" t="s">
        <v>21</v>
      </c>
      <c r="C171" t="s">
        <v>32</v>
      </c>
      <c r="D171" s="1">
        <v>45945</v>
      </c>
      <c r="E171" s="1">
        <v>45947</v>
      </c>
      <c r="F171" s="1">
        <v>45948</v>
      </c>
      <c r="G171" s="1">
        <v>45954</v>
      </c>
      <c r="H171" t="s">
        <v>18</v>
      </c>
      <c r="I171" t="s">
        <v>19</v>
      </c>
      <c r="J171" s="1">
        <v>45974</v>
      </c>
      <c r="K171">
        <v>2</v>
      </c>
      <c r="L171">
        <v>1</v>
      </c>
      <c r="M171">
        <v>6</v>
      </c>
      <c r="N171">
        <v>2</v>
      </c>
      <c r="O171">
        <v>9</v>
      </c>
      <c r="P171" t="b">
        <f>IF(EPe_BA_intern_assesment_Raw_data___Sheet13[[#This Row],[Customer Rating]]&gt;8,EPe_BA_intern_assesment_Raw_data___Sheet13[[#This Row],[Customer Rating]])</f>
        <v>0</v>
      </c>
      <c r="Q171" t="str">
        <f>IF(AND(EPe_BA_intern_assesment_Raw_data___Sheet13[[#This Row],[Customer Rating]]&gt;6,EPe_BA_intern_assesment_Raw_data___Sheet13[[#This Row],[Customer Rating]]&lt;9), EPe_BA_intern_assesment_Raw_data___Sheet13[[#This Row],[Customer Rating]], "")</f>
        <v/>
      </c>
      <c r="R171">
        <f>IF(EPe_BA_intern_assesment_Raw_data___Sheet13[[#This Row],[Customer Rating]]&lt;7,EPe_BA_intern_assesment_Raw_data___Sheet13[[#This Row],[Customer Rating]])</f>
        <v>2</v>
      </c>
    </row>
    <row r="172" spans="1:18" x14ac:dyDescent="0.3">
      <c r="A172" t="s">
        <v>200</v>
      </c>
      <c r="B172" t="s">
        <v>34</v>
      </c>
      <c r="C172" t="s">
        <v>24</v>
      </c>
      <c r="D172" s="1">
        <v>45941</v>
      </c>
      <c r="E172" s="1"/>
      <c r="F172" s="1"/>
      <c r="G172" s="1"/>
      <c r="H172" t="s">
        <v>25</v>
      </c>
      <c r="I172" t="s">
        <v>28</v>
      </c>
      <c r="J172" s="1"/>
      <c r="P172" t="b">
        <f>IF(EPe_BA_intern_assesment_Raw_data___Sheet13[[#This Row],[Customer Rating]]&gt;8,EPe_BA_intern_assesment_Raw_data___Sheet13[[#This Row],[Customer Rating]])</f>
        <v>0</v>
      </c>
      <c r="Q172" t="str">
        <f>IF(AND(EPe_BA_intern_assesment_Raw_data___Sheet13[[#This Row],[Customer Rating]]&gt;6,EPe_BA_intern_assesment_Raw_data___Sheet13[[#This Row],[Customer Rating]]&lt;9), EPe_BA_intern_assesment_Raw_data___Sheet13[[#This Row],[Customer Rating]], "")</f>
        <v/>
      </c>
      <c r="R172">
        <f>IF(EPe_BA_intern_assesment_Raw_data___Sheet13[[#This Row],[Customer Rating]]&lt;7,EPe_BA_intern_assesment_Raw_data___Sheet13[[#This Row],[Customer Rating]])</f>
        <v>0</v>
      </c>
    </row>
    <row r="173" spans="1:18" x14ac:dyDescent="0.3">
      <c r="A173" t="s">
        <v>201</v>
      </c>
      <c r="B173" t="s">
        <v>34</v>
      </c>
      <c r="C173" t="s">
        <v>32</v>
      </c>
      <c r="D173" s="1">
        <v>45936</v>
      </c>
      <c r="E173" s="1">
        <v>45940</v>
      </c>
      <c r="F173" s="1">
        <v>45942</v>
      </c>
      <c r="G173" s="1">
        <v>45946</v>
      </c>
      <c r="H173" t="s">
        <v>18</v>
      </c>
      <c r="I173" t="s">
        <v>19</v>
      </c>
      <c r="J173" s="1">
        <v>45961</v>
      </c>
      <c r="K173">
        <v>4</v>
      </c>
      <c r="L173">
        <v>2</v>
      </c>
      <c r="M173">
        <v>4</v>
      </c>
      <c r="N173">
        <v>1</v>
      </c>
      <c r="O173">
        <v>10</v>
      </c>
      <c r="P173" t="b">
        <f>IF(EPe_BA_intern_assesment_Raw_data___Sheet13[[#This Row],[Customer Rating]]&gt;8,EPe_BA_intern_assesment_Raw_data___Sheet13[[#This Row],[Customer Rating]])</f>
        <v>0</v>
      </c>
      <c r="Q173" t="str">
        <f>IF(AND(EPe_BA_intern_assesment_Raw_data___Sheet13[[#This Row],[Customer Rating]]&gt;6,EPe_BA_intern_assesment_Raw_data___Sheet13[[#This Row],[Customer Rating]]&lt;9), EPe_BA_intern_assesment_Raw_data___Sheet13[[#This Row],[Customer Rating]], "")</f>
        <v/>
      </c>
      <c r="R173">
        <f>IF(EPe_BA_intern_assesment_Raw_data___Sheet13[[#This Row],[Customer Rating]]&lt;7,EPe_BA_intern_assesment_Raw_data___Sheet13[[#This Row],[Customer Rating]])</f>
        <v>1</v>
      </c>
    </row>
    <row r="174" spans="1:18" x14ac:dyDescent="0.3">
      <c r="A174" t="s">
        <v>202</v>
      </c>
      <c r="B174" t="s">
        <v>34</v>
      </c>
      <c r="C174" t="s">
        <v>32</v>
      </c>
      <c r="D174" s="1">
        <v>45961</v>
      </c>
      <c r="E174" s="1">
        <v>45966</v>
      </c>
      <c r="F174" s="1">
        <v>45970</v>
      </c>
      <c r="G174" s="1">
        <v>45976</v>
      </c>
      <c r="H174" t="s">
        <v>18</v>
      </c>
      <c r="I174" t="s">
        <v>19</v>
      </c>
      <c r="J174" s="1">
        <v>45998</v>
      </c>
      <c r="K174">
        <v>5</v>
      </c>
      <c r="L174">
        <v>4</v>
      </c>
      <c r="M174">
        <v>6</v>
      </c>
      <c r="N174">
        <v>8</v>
      </c>
      <c r="O174">
        <v>15</v>
      </c>
      <c r="P174" t="b">
        <f>IF(EPe_BA_intern_assesment_Raw_data___Sheet13[[#This Row],[Customer Rating]]&gt;8,EPe_BA_intern_assesment_Raw_data___Sheet13[[#This Row],[Customer Rating]])</f>
        <v>0</v>
      </c>
      <c r="Q174">
        <f>IF(AND(EPe_BA_intern_assesment_Raw_data___Sheet13[[#This Row],[Customer Rating]]&gt;6,EPe_BA_intern_assesment_Raw_data___Sheet13[[#This Row],[Customer Rating]]&lt;9), EPe_BA_intern_assesment_Raw_data___Sheet13[[#This Row],[Customer Rating]], "")</f>
        <v>8</v>
      </c>
      <c r="R174" t="b">
        <f>IF(EPe_BA_intern_assesment_Raw_data___Sheet13[[#This Row],[Customer Rating]]&lt;7,EPe_BA_intern_assesment_Raw_data___Sheet13[[#This Row],[Customer Rating]])</f>
        <v>0</v>
      </c>
    </row>
    <row r="175" spans="1:18" x14ac:dyDescent="0.3">
      <c r="A175" t="s">
        <v>203</v>
      </c>
      <c r="B175" t="s">
        <v>34</v>
      </c>
      <c r="C175" t="s">
        <v>32</v>
      </c>
      <c r="D175" s="1">
        <v>45932</v>
      </c>
      <c r="E175" s="1">
        <v>45934</v>
      </c>
      <c r="F175" s="1">
        <v>45936</v>
      </c>
      <c r="G175" s="1">
        <v>45938</v>
      </c>
      <c r="H175" t="s">
        <v>18</v>
      </c>
      <c r="I175" t="s">
        <v>19</v>
      </c>
      <c r="J175" s="1">
        <v>45953</v>
      </c>
      <c r="K175">
        <v>2</v>
      </c>
      <c r="L175">
        <v>2</v>
      </c>
      <c r="M175">
        <v>2</v>
      </c>
      <c r="N175">
        <v>6</v>
      </c>
      <c r="O175">
        <v>6</v>
      </c>
      <c r="P175" t="b">
        <f>IF(EPe_BA_intern_assesment_Raw_data___Sheet13[[#This Row],[Customer Rating]]&gt;8,EPe_BA_intern_assesment_Raw_data___Sheet13[[#This Row],[Customer Rating]])</f>
        <v>0</v>
      </c>
      <c r="Q175" t="str">
        <f>IF(AND(EPe_BA_intern_assesment_Raw_data___Sheet13[[#This Row],[Customer Rating]]&gt;6,EPe_BA_intern_assesment_Raw_data___Sheet13[[#This Row],[Customer Rating]]&lt;9), EPe_BA_intern_assesment_Raw_data___Sheet13[[#This Row],[Customer Rating]], "")</f>
        <v/>
      </c>
      <c r="R175">
        <f>IF(EPe_BA_intern_assesment_Raw_data___Sheet13[[#This Row],[Customer Rating]]&lt;7,EPe_BA_intern_assesment_Raw_data___Sheet13[[#This Row],[Customer Rating]])</f>
        <v>6</v>
      </c>
    </row>
    <row r="176" spans="1:18" x14ac:dyDescent="0.3">
      <c r="A176" t="s">
        <v>204</v>
      </c>
      <c r="B176" t="s">
        <v>34</v>
      </c>
      <c r="C176" t="s">
        <v>17</v>
      </c>
      <c r="D176" s="1">
        <v>45939</v>
      </c>
      <c r="E176" s="1">
        <v>45944</v>
      </c>
      <c r="F176" s="1">
        <v>45945</v>
      </c>
      <c r="G176" s="1">
        <v>45952</v>
      </c>
      <c r="H176" t="s">
        <v>18</v>
      </c>
      <c r="I176" t="s">
        <v>19</v>
      </c>
      <c r="J176" s="1">
        <v>45964</v>
      </c>
      <c r="K176">
        <v>5</v>
      </c>
      <c r="L176">
        <v>1</v>
      </c>
      <c r="M176">
        <v>7</v>
      </c>
      <c r="N176">
        <v>6</v>
      </c>
      <c r="O176">
        <v>13</v>
      </c>
      <c r="P176" t="b">
        <f>IF(EPe_BA_intern_assesment_Raw_data___Sheet13[[#This Row],[Customer Rating]]&gt;8,EPe_BA_intern_assesment_Raw_data___Sheet13[[#This Row],[Customer Rating]])</f>
        <v>0</v>
      </c>
      <c r="Q176" t="str">
        <f>IF(AND(EPe_BA_intern_assesment_Raw_data___Sheet13[[#This Row],[Customer Rating]]&gt;6,EPe_BA_intern_assesment_Raw_data___Sheet13[[#This Row],[Customer Rating]]&lt;9), EPe_BA_intern_assesment_Raw_data___Sheet13[[#This Row],[Customer Rating]], "")</f>
        <v/>
      </c>
      <c r="R176">
        <f>IF(EPe_BA_intern_assesment_Raw_data___Sheet13[[#This Row],[Customer Rating]]&lt;7,EPe_BA_intern_assesment_Raw_data___Sheet13[[#This Row],[Customer Rating]])</f>
        <v>6</v>
      </c>
    </row>
    <row r="177" spans="1:18" x14ac:dyDescent="0.3">
      <c r="A177" t="s">
        <v>205</v>
      </c>
      <c r="B177" t="s">
        <v>34</v>
      </c>
      <c r="C177" t="s">
        <v>24</v>
      </c>
      <c r="D177" s="1">
        <v>45961</v>
      </c>
      <c r="E177" s="1"/>
      <c r="F177" s="1"/>
      <c r="G177" s="1"/>
      <c r="H177" t="s">
        <v>25</v>
      </c>
      <c r="I177" t="s">
        <v>103</v>
      </c>
      <c r="J177" s="1"/>
      <c r="P177" t="b">
        <f>IF(EPe_BA_intern_assesment_Raw_data___Sheet13[[#This Row],[Customer Rating]]&gt;8,EPe_BA_intern_assesment_Raw_data___Sheet13[[#This Row],[Customer Rating]])</f>
        <v>0</v>
      </c>
      <c r="Q177" t="str">
        <f>IF(AND(EPe_BA_intern_assesment_Raw_data___Sheet13[[#This Row],[Customer Rating]]&gt;6,EPe_BA_intern_assesment_Raw_data___Sheet13[[#This Row],[Customer Rating]]&lt;9), EPe_BA_intern_assesment_Raw_data___Sheet13[[#This Row],[Customer Rating]], "")</f>
        <v/>
      </c>
      <c r="R177">
        <f>IF(EPe_BA_intern_assesment_Raw_data___Sheet13[[#This Row],[Customer Rating]]&lt;7,EPe_BA_intern_assesment_Raw_data___Sheet13[[#This Row],[Customer Rating]])</f>
        <v>0</v>
      </c>
    </row>
    <row r="178" spans="1:18" x14ac:dyDescent="0.3">
      <c r="A178" t="s">
        <v>206</v>
      </c>
      <c r="B178" t="s">
        <v>16</v>
      </c>
      <c r="C178" t="s">
        <v>17</v>
      </c>
      <c r="D178" s="1">
        <v>45958</v>
      </c>
      <c r="E178" s="1">
        <v>45963</v>
      </c>
      <c r="F178" s="1">
        <v>45967</v>
      </c>
      <c r="G178" s="1">
        <v>45972</v>
      </c>
      <c r="H178" t="s">
        <v>18</v>
      </c>
      <c r="I178" t="s">
        <v>19</v>
      </c>
      <c r="J178" s="1">
        <v>45999</v>
      </c>
      <c r="K178">
        <v>5</v>
      </c>
      <c r="L178">
        <v>4</v>
      </c>
      <c r="M178">
        <v>5</v>
      </c>
      <c r="N178">
        <v>3</v>
      </c>
      <c r="O178">
        <v>14</v>
      </c>
      <c r="P178" t="b">
        <f>IF(EPe_BA_intern_assesment_Raw_data___Sheet13[[#This Row],[Customer Rating]]&gt;8,EPe_BA_intern_assesment_Raw_data___Sheet13[[#This Row],[Customer Rating]])</f>
        <v>0</v>
      </c>
      <c r="Q178" t="str">
        <f>IF(AND(EPe_BA_intern_assesment_Raw_data___Sheet13[[#This Row],[Customer Rating]]&gt;6,EPe_BA_intern_assesment_Raw_data___Sheet13[[#This Row],[Customer Rating]]&lt;9), EPe_BA_intern_assesment_Raw_data___Sheet13[[#This Row],[Customer Rating]], "")</f>
        <v/>
      </c>
      <c r="R178">
        <f>IF(EPe_BA_intern_assesment_Raw_data___Sheet13[[#This Row],[Customer Rating]]&lt;7,EPe_BA_intern_assesment_Raw_data___Sheet13[[#This Row],[Customer Rating]])</f>
        <v>3</v>
      </c>
    </row>
    <row r="179" spans="1:18" x14ac:dyDescent="0.3">
      <c r="A179" t="s">
        <v>207</v>
      </c>
      <c r="B179" t="s">
        <v>23</v>
      </c>
      <c r="C179" t="s">
        <v>32</v>
      </c>
      <c r="D179" s="1">
        <v>45946</v>
      </c>
      <c r="E179" s="1">
        <v>45949</v>
      </c>
      <c r="F179" s="1">
        <v>45953</v>
      </c>
      <c r="G179" s="1">
        <v>45959</v>
      </c>
      <c r="H179" t="s">
        <v>18</v>
      </c>
      <c r="I179" t="s">
        <v>19</v>
      </c>
      <c r="J179" s="1">
        <v>45971</v>
      </c>
      <c r="K179">
        <v>3</v>
      </c>
      <c r="L179">
        <v>4</v>
      </c>
      <c r="M179">
        <v>6</v>
      </c>
      <c r="N179">
        <v>5</v>
      </c>
      <c r="O179">
        <v>13</v>
      </c>
      <c r="P179" t="b">
        <f>IF(EPe_BA_intern_assesment_Raw_data___Sheet13[[#This Row],[Customer Rating]]&gt;8,EPe_BA_intern_assesment_Raw_data___Sheet13[[#This Row],[Customer Rating]])</f>
        <v>0</v>
      </c>
      <c r="Q179" t="str">
        <f>IF(AND(EPe_BA_intern_assesment_Raw_data___Sheet13[[#This Row],[Customer Rating]]&gt;6,EPe_BA_intern_assesment_Raw_data___Sheet13[[#This Row],[Customer Rating]]&lt;9), EPe_BA_intern_assesment_Raw_data___Sheet13[[#This Row],[Customer Rating]], "")</f>
        <v/>
      </c>
      <c r="R179">
        <f>IF(EPe_BA_intern_assesment_Raw_data___Sheet13[[#This Row],[Customer Rating]]&lt;7,EPe_BA_intern_assesment_Raw_data___Sheet13[[#This Row],[Customer Rating]])</f>
        <v>5</v>
      </c>
    </row>
    <row r="180" spans="1:18" x14ac:dyDescent="0.3">
      <c r="A180" t="s">
        <v>208</v>
      </c>
      <c r="B180" t="s">
        <v>34</v>
      </c>
      <c r="C180" t="s">
        <v>17</v>
      </c>
      <c r="D180" s="1">
        <v>45934</v>
      </c>
      <c r="E180" s="1">
        <v>45935</v>
      </c>
      <c r="F180" s="1">
        <v>45937</v>
      </c>
      <c r="G180" s="1">
        <v>45940</v>
      </c>
      <c r="H180" t="s">
        <v>18</v>
      </c>
      <c r="I180" t="s">
        <v>19</v>
      </c>
      <c r="J180" s="1">
        <v>45960</v>
      </c>
      <c r="K180">
        <v>1</v>
      </c>
      <c r="L180">
        <v>2</v>
      </c>
      <c r="M180">
        <v>3</v>
      </c>
      <c r="N180">
        <v>9</v>
      </c>
      <c r="O180">
        <v>6</v>
      </c>
      <c r="P180">
        <f>IF(EPe_BA_intern_assesment_Raw_data___Sheet13[[#This Row],[Customer Rating]]&gt;8,EPe_BA_intern_assesment_Raw_data___Sheet13[[#This Row],[Customer Rating]])</f>
        <v>9</v>
      </c>
      <c r="Q180" t="str">
        <f>IF(AND(EPe_BA_intern_assesment_Raw_data___Sheet13[[#This Row],[Customer Rating]]&gt;6,EPe_BA_intern_assesment_Raw_data___Sheet13[[#This Row],[Customer Rating]]&lt;9), EPe_BA_intern_assesment_Raw_data___Sheet13[[#This Row],[Customer Rating]], "")</f>
        <v/>
      </c>
      <c r="R180" t="b">
        <f>IF(EPe_BA_intern_assesment_Raw_data___Sheet13[[#This Row],[Customer Rating]]&lt;7,EPe_BA_intern_assesment_Raw_data___Sheet13[[#This Row],[Customer Rating]])</f>
        <v>0</v>
      </c>
    </row>
    <row r="181" spans="1:18" x14ac:dyDescent="0.3">
      <c r="A181" t="s">
        <v>209</v>
      </c>
      <c r="B181" t="s">
        <v>23</v>
      </c>
      <c r="C181" t="s">
        <v>17</v>
      </c>
      <c r="D181" s="1">
        <v>45957</v>
      </c>
      <c r="E181" s="1">
        <v>45961</v>
      </c>
      <c r="F181" s="1">
        <v>45964</v>
      </c>
      <c r="G181" s="1">
        <v>45969</v>
      </c>
      <c r="H181" t="s">
        <v>18</v>
      </c>
      <c r="I181" t="s">
        <v>19</v>
      </c>
      <c r="J181" s="1">
        <v>45998</v>
      </c>
      <c r="K181">
        <v>4</v>
      </c>
      <c r="L181">
        <v>3</v>
      </c>
      <c r="M181">
        <v>5</v>
      </c>
      <c r="N181">
        <v>4</v>
      </c>
      <c r="O181">
        <v>12</v>
      </c>
      <c r="P181" t="b">
        <f>IF(EPe_BA_intern_assesment_Raw_data___Sheet13[[#This Row],[Customer Rating]]&gt;8,EPe_BA_intern_assesment_Raw_data___Sheet13[[#This Row],[Customer Rating]])</f>
        <v>0</v>
      </c>
      <c r="Q181" t="str">
        <f>IF(AND(EPe_BA_intern_assesment_Raw_data___Sheet13[[#This Row],[Customer Rating]]&gt;6,EPe_BA_intern_assesment_Raw_data___Sheet13[[#This Row],[Customer Rating]]&lt;9), EPe_BA_intern_assesment_Raw_data___Sheet13[[#This Row],[Customer Rating]], "")</f>
        <v/>
      </c>
      <c r="R181">
        <f>IF(EPe_BA_intern_assesment_Raw_data___Sheet13[[#This Row],[Customer Rating]]&lt;7,EPe_BA_intern_assesment_Raw_data___Sheet13[[#This Row],[Customer Rating]])</f>
        <v>4</v>
      </c>
    </row>
    <row r="182" spans="1:18" x14ac:dyDescent="0.3">
      <c r="A182" t="s">
        <v>210</v>
      </c>
      <c r="B182" t="s">
        <v>23</v>
      </c>
      <c r="C182" t="s">
        <v>32</v>
      </c>
      <c r="D182" s="1">
        <v>45933</v>
      </c>
      <c r="E182" s="1">
        <v>45934</v>
      </c>
      <c r="F182" s="1">
        <v>45935</v>
      </c>
      <c r="G182" s="1">
        <v>45937</v>
      </c>
      <c r="H182" t="s">
        <v>18</v>
      </c>
      <c r="I182" t="s">
        <v>19</v>
      </c>
      <c r="J182" s="1">
        <v>45966</v>
      </c>
      <c r="K182">
        <v>1</v>
      </c>
      <c r="L182">
        <v>1</v>
      </c>
      <c r="M182">
        <v>2</v>
      </c>
      <c r="N182">
        <v>1</v>
      </c>
      <c r="O182">
        <v>4</v>
      </c>
      <c r="P182" t="b">
        <f>IF(EPe_BA_intern_assesment_Raw_data___Sheet13[[#This Row],[Customer Rating]]&gt;8,EPe_BA_intern_assesment_Raw_data___Sheet13[[#This Row],[Customer Rating]])</f>
        <v>0</v>
      </c>
      <c r="Q182" t="str">
        <f>IF(AND(EPe_BA_intern_assesment_Raw_data___Sheet13[[#This Row],[Customer Rating]]&gt;6,EPe_BA_intern_assesment_Raw_data___Sheet13[[#This Row],[Customer Rating]]&lt;9), EPe_BA_intern_assesment_Raw_data___Sheet13[[#This Row],[Customer Rating]], "")</f>
        <v/>
      </c>
      <c r="R182">
        <f>IF(EPe_BA_intern_assesment_Raw_data___Sheet13[[#This Row],[Customer Rating]]&lt;7,EPe_BA_intern_assesment_Raw_data___Sheet13[[#This Row],[Customer Rating]])</f>
        <v>1</v>
      </c>
    </row>
    <row r="183" spans="1:18" x14ac:dyDescent="0.3">
      <c r="A183" t="s">
        <v>211</v>
      </c>
      <c r="B183" t="s">
        <v>16</v>
      </c>
      <c r="C183" t="s">
        <v>17</v>
      </c>
      <c r="D183" s="1">
        <v>45943</v>
      </c>
      <c r="E183" s="1">
        <v>45947</v>
      </c>
      <c r="F183" s="1">
        <v>45948</v>
      </c>
      <c r="G183" s="1">
        <v>45955</v>
      </c>
      <c r="H183" t="s">
        <v>18</v>
      </c>
      <c r="I183" t="s">
        <v>19</v>
      </c>
      <c r="J183" s="1">
        <v>45980</v>
      </c>
      <c r="K183">
        <v>4</v>
      </c>
      <c r="L183">
        <v>1</v>
      </c>
      <c r="M183">
        <v>7</v>
      </c>
      <c r="N183">
        <v>4</v>
      </c>
      <c r="O183">
        <v>12</v>
      </c>
      <c r="P183" t="b">
        <f>IF(EPe_BA_intern_assesment_Raw_data___Sheet13[[#This Row],[Customer Rating]]&gt;8,EPe_BA_intern_assesment_Raw_data___Sheet13[[#This Row],[Customer Rating]])</f>
        <v>0</v>
      </c>
      <c r="Q183" t="str">
        <f>IF(AND(EPe_BA_intern_assesment_Raw_data___Sheet13[[#This Row],[Customer Rating]]&gt;6,EPe_BA_intern_assesment_Raw_data___Sheet13[[#This Row],[Customer Rating]]&lt;9), EPe_BA_intern_assesment_Raw_data___Sheet13[[#This Row],[Customer Rating]], "")</f>
        <v/>
      </c>
      <c r="R183">
        <f>IF(EPe_BA_intern_assesment_Raw_data___Sheet13[[#This Row],[Customer Rating]]&lt;7,EPe_BA_intern_assesment_Raw_data___Sheet13[[#This Row],[Customer Rating]])</f>
        <v>4</v>
      </c>
    </row>
    <row r="184" spans="1:18" x14ac:dyDescent="0.3">
      <c r="A184" t="s">
        <v>212</v>
      </c>
      <c r="B184" t="s">
        <v>34</v>
      </c>
      <c r="C184" t="s">
        <v>24</v>
      </c>
      <c r="D184" s="1">
        <v>45946</v>
      </c>
      <c r="E184" s="1"/>
      <c r="F184" s="1"/>
      <c r="G184" s="1"/>
      <c r="H184" t="s">
        <v>25</v>
      </c>
      <c r="I184" t="s">
        <v>28</v>
      </c>
      <c r="J184" s="1"/>
      <c r="P184" t="b">
        <f>IF(EPe_BA_intern_assesment_Raw_data___Sheet13[[#This Row],[Customer Rating]]&gt;8,EPe_BA_intern_assesment_Raw_data___Sheet13[[#This Row],[Customer Rating]])</f>
        <v>0</v>
      </c>
      <c r="Q184" t="str">
        <f>IF(AND(EPe_BA_intern_assesment_Raw_data___Sheet13[[#This Row],[Customer Rating]]&gt;6,EPe_BA_intern_assesment_Raw_data___Sheet13[[#This Row],[Customer Rating]]&lt;9), EPe_BA_intern_assesment_Raw_data___Sheet13[[#This Row],[Customer Rating]], "")</f>
        <v/>
      </c>
      <c r="R184">
        <f>IF(EPe_BA_intern_assesment_Raw_data___Sheet13[[#This Row],[Customer Rating]]&lt;7,EPe_BA_intern_assesment_Raw_data___Sheet13[[#This Row],[Customer Rating]])</f>
        <v>0</v>
      </c>
    </row>
    <row r="185" spans="1:18" x14ac:dyDescent="0.3">
      <c r="A185" t="s">
        <v>213</v>
      </c>
      <c r="B185" t="s">
        <v>21</v>
      </c>
      <c r="C185" t="s">
        <v>32</v>
      </c>
      <c r="D185" s="1">
        <v>45933</v>
      </c>
      <c r="E185" s="1">
        <v>45934</v>
      </c>
      <c r="F185" s="1">
        <v>45937</v>
      </c>
      <c r="G185" s="1">
        <v>45944</v>
      </c>
      <c r="H185" t="s">
        <v>18</v>
      </c>
      <c r="I185" t="s">
        <v>19</v>
      </c>
      <c r="J185" s="1">
        <v>45954</v>
      </c>
      <c r="K185">
        <v>1</v>
      </c>
      <c r="L185">
        <v>3</v>
      </c>
      <c r="M185">
        <v>7</v>
      </c>
      <c r="N185">
        <v>6</v>
      </c>
      <c r="O185">
        <v>11</v>
      </c>
      <c r="P185" t="b">
        <f>IF(EPe_BA_intern_assesment_Raw_data___Sheet13[[#This Row],[Customer Rating]]&gt;8,EPe_BA_intern_assesment_Raw_data___Sheet13[[#This Row],[Customer Rating]])</f>
        <v>0</v>
      </c>
      <c r="Q185" t="str">
        <f>IF(AND(EPe_BA_intern_assesment_Raw_data___Sheet13[[#This Row],[Customer Rating]]&gt;6,EPe_BA_intern_assesment_Raw_data___Sheet13[[#This Row],[Customer Rating]]&lt;9), EPe_BA_intern_assesment_Raw_data___Sheet13[[#This Row],[Customer Rating]], "")</f>
        <v/>
      </c>
      <c r="R185">
        <f>IF(EPe_BA_intern_assesment_Raw_data___Sheet13[[#This Row],[Customer Rating]]&lt;7,EPe_BA_intern_assesment_Raw_data___Sheet13[[#This Row],[Customer Rating]])</f>
        <v>6</v>
      </c>
    </row>
    <row r="186" spans="1:18" x14ac:dyDescent="0.3">
      <c r="A186" t="s">
        <v>214</v>
      </c>
      <c r="B186" t="s">
        <v>16</v>
      </c>
      <c r="C186" t="s">
        <v>17</v>
      </c>
      <c r="D186" s="1">
        <v>45949</v>
      </c>
      <c r="E186" s="1">
        <v>45953</v>
      </c>
      <c r="F186" s="1">
        <v>45958</v>
      </c>
      <c r="G186" s="1">
        <v>45961</v>
      </c>
      <c r="H186" t="s">
        <v>18</v>
      </c>
      <c r="I186" t="s">
        <v>19</v>
      </c>
      <c r="J186" s="1">
        <v>45984</v>
      </c>
      <c r="K186">
        <v>4</v>
      </c>
      <c r="L186">
        <v>5</v>
      </c>
      <c r="M186">
        <v>3</v>
      </c>
      <c r="N186">
        <v>3</v>
      </c>
      <c r="O186">
        <v>12</v>
      </c>
      <c r="P186" t="b">
        <f>IF(EPe_BA_intern_assesment_Raw_data___Sheet13[[#This Row],[Customer Rating]]&gt;8,EPe_BA_intern_assesment_Raw_data___Sheet13[[#This Row],[Customer Rating]])</f>
        <v>0</v>
      </c>
      <c r="Q186" t="str">
        <f>IF(AND(EPe_BA_intern_assesment_Raw_data___Sheet13[[#This Row],[Customer Rating]]&gt;6,EPe_BA_intern_assesment_Raw_data___Sheet13[[#This Row],[Customer Rating]]&lt;9), EPe_BA_intern_assesment_Raw_data___Sheet13[[#This Row],[Customer Rating]], "")</f>
        <v/>
      </c>
      <c r="R186">
        <f>IF(EPe_BA_intern_assesment_Raw_data___Sheet13[[#This Row],[Customer Rating]]&lt;7,EPe_BA_intern_assesment_Raw_data___Sheet13[[#This Row],[Customer Rating]])</f>
        <v>3</v>
      </c>
    </row>
    <row r="187" spans="1:18" x14ac:dyDescent="0.3">
      <c r="A187" t="s">
        <v>215</v>
      </c>
      <c r="B187" t="s">
        <v>21</v>
      </c>
      <c r="C187" t="s">
        <v>17</v>
      </c>
      <c r="D187" s="1">
        <v>45951</v>
      </c>
      <c r="E187" s="1">
        <v>45952</v>
      </c>
      <c r="F187" s="1">
        <v>45957</v>
      </c>
      <c r="G187" s="1">
        <v>45961</v>
      </c>
      <c r="H187" t="s">
        <v>18</v>
      </c>
      <c r="I187" t="s">
        <v>19</v>
      </c>
      <c r="J187" s="1">
        <v>45991</v>
      </c>
      <c r="K187">
        <v>1</v>
      </c>
      <c r="L187">
        <v>5</v>
      </c>
      <c r="M187">
        <v>4</v>
      </c>
      <c r="N187">
        <v>2</v>
      </c>
      <c r="O187">
        <v>10</v>
      </c>
      <c r="P187" t="b">
        <f>IF(EPe_BA_intern_assesment_Raw_data___Sheet13[[#This Row],[Customer Rating]]&gt;8,EPe_BA_intern_assesment_Raw_data___Sheet13[[#This Row],[Customer Rating]])</f>
        <v>0</v>
      </c>
      <c r="Q187" t="str">
        <f>IF(AND(EPe_BA_intern_assesment_Raw_data___Sheet13[[#This Row],[Customer Rating]]&gt;6,EPe_BA_intern_assesment_Raw_data___Sheet13[[#This Row],[Customer Rating]]&lt;9), EPe_BA_intern_assesment_Raw_data___Sheet13[[#This Row],[Customer Rating]], "")</f>
        <v/>
      </c>
      <c r="R187">
        <f>IF(EPe_BA_intern_assesment_Raw_data___Sheet13[[#This Row],[Customer Rating]]&lt;7,EPe_BA_intern_assesment_Raw_data___Sheet13[[#This Row],[Customer Rating]])</f>
        <v>2</v>
      </c>
    </row>
    <row r="188" spans="1:18" x14ac:dyDescent="0.3">
      <c r="A188" t="s">
        <v>216</v>
      </c>
      <c r="B188" t="s">
        <v>23</v>
      </c>
      <c r="C188" t="s">
        <v>17</v>
      </c>
      <c r="D188" s="1">
        <v>45952</v>
      </c>
      <c r="E188" s="1">
        <v>45955</v>
      </c>
      <c r="F188" s="1">
        <v>45956</v>
      </c>
      <c r="G188" s="1">
        <v>45958</v>
      </c>
      <c r="H188" t="s">
        <v>18</v>
      </c>
      <c r="I188" t="s">
        <v>19</v>
      </c>
      <c r="J188" s="1">
        <v>45973</v>
      </c>
      <c r="K188">
        <v>3</v>
      </c>
      <c r="L188">
        <v>1</v>
      </c>
      <c r="M188">
        <v>2</v>
      </c>
      <c r="N188">
        <v>3</v>
      </c>
      <c r="O188">
        <v>6</v>
      </c>
      <c r="P188" t="b">
        <f>IF(EPe_BA_intern_assesment_Raw_data___Sheet13[[#This Row],[Customer Rating]]&gt;8,EPe_BA_intern_assesment_Raw_data___Sheet13[[#This Row],[Customer Rating]])</f>
        <v>0</v>
      </c>
      <c r="Q188" t="str">
        <f>IF(AND(EPe_BA_intern_assesment_Raw_data___Sheet13[[#This Row],[Customer Rating]]&gt;6,EPe_BA_intern_assesment_Raw_data___Sheet13[[#This Row],[Customer Rating]]&lt;9), EPe_BA_intern_assesment_Raw_data___Sheet13[[#This Row],[Customer Rating]], "")</f>
        <v/>
      </c>
      <c r="R188">
        <f>IF(EPe_BA_intern_assesment_Raw_data___Sheet13[[#This Row],[Customer Rating]]&lt;7,EPe_BA_intern_assesment_Raw_data___Sheet13[[#This Row],[Customer Rating]])</f>
        <v>3</v>
      </c>
    </row>
    <row r="189" spans="1:18" x14ac:dyDescent="0.3">
      <c r="A189" t="s">
        <v>217</v>
      </c>
      <c r="B189" t="s">
        <v>23</v>
      </c>
      <c r="C189" t="s">
        <v>32</v>
      </c>
      <c r="D189" s="1">
        <v>45932</v>
      </c>
      <c r="E189" s="1">
        <v>45937</v>
      </c>
      <c r="F189" s="1">
        <v>45940</v>
      </c>
      <c r="G189" s="1">
        <v>45945</v>
      </c>
      <c r="H189" t="s">
        <v>18</v>
      </c>
      <c r="I189" t="s">
        <v>19</v>
      </c>
      <c r="J189" s="1">
        <v>45974</v>
      </c>
      <c r="K189">
        <v>5</v>
      </c>
      <c r="L189">
        <v>3</v>
      </c>
      <c r="M189">
        <v>5</v>
      </c>
      <c r="N189">
        <v>7</v>
      </c>
      <c r="O189">
        <v>13</v>
      </c>
      <c r="P189" t="b">
        <f>IF(EPe_BA_intern_assesment_Raw_data___Sheet13[[#This Row],[Customer Rating]]&gt;8,EPe_BA_intern_assesment_Raw_data___Sheet13[[#This Row],[Customer Rating]])</f>
        <v>0</v>
      </c>
      <c r="Q189">
        <f>IF(AND(EPe_BA_intern_assesment_Raw_data___Sheet13[[#This Row],[Customer Rating]]&gt;6,EPe_BA_intern_assesment_Raw_data___Sheet13[[#This Row],[Customer Rating]]&lt;9), EPe_BA_intern_assesment_Raw_data___Sheet13[[#This Row],[Customer Rating]], "")</f>
        <v>7</v>
      </c>
      <c r="R189" t="b">
        <f>IF(EPe_BA_intern_assesment_Raw_data___Sheet13[[#This Row],[Customer Rating]]&lt;7,EPe_BA_intern_assesment_Raw_data___Sheet13[[#This Row],[Customer Rating]])</f>
        <v>0</v>
      </c>
    </row>
    <row r="190" spans="1:18" x14ac:dyDescent="0.3">
      <c r="A190" t="s">
        <v>218</v>
      </c>
      <c r="B190" t="s">
        <v>16</v>
      </c>
      <c r="C190" t="s">
        <v>32</v>
      </c>
      <c r="D190" s="1">
        <v>45935</v>
      </c>
      <c r="E190" s="1">
        <v>45939</v>
      </c>
      <c r="F190" s="1">
        <v>45942</v>
      </c>
      <c r="G190" s="1">
        <v>45946</v>
      </c>
      <c r="H190" t="s">
        <v>18</v>
      </c>
      <c r="I190" t="s">
        <v>19</v>
      </c>
      <c r="J190" s="1">
        <v>45969</v>
      </c>
      <c r="K190">
        <v>4</v>
      </c>
      <c r="L190">
        <v>3</v>
      </c>
      <c r="M190">
        <v>4</v>
      </c>
      <c r="N190">
        <v>9</v>
      </c>
      <c r="O190">
        <v>11</v>
      </c>
      <c r="P190">
        <f>IF(EPe_BA_intern_assesment_Raw_data___Sheet13[[#This Row],[Customer Rating]]&gt;8,EPe_BA_intern_assesment_Raw_data___Sheet13[[#This Row],[Customer Rating]])</f>
        <v>9</v>
      </c>
      <c r="Q190" t="str">
        <f>IF(AND(EPe_BA_intern_assesment_Raw_data___Sheet13[[#This Row],[Customer Rating]]&gt;6,EPe_BA_intern_assesment_Raw_data___Sheet13[[#This Row],[Customer Rating]]&lt;9), EPe_BA_intern_assesment_Raw_data___Sheet13[[#This Row],[Customer Rating]], "")</f>
        <v/>
      </c>
      <c r="R190" t="b">
        <f>IF(EPe_BA_intern_assesment_Raw_data___Sheet13[[#This Row],[Customer Rating]]&lt;7,EPe_BA_intern_assesment_Raw_data___Sheet13[[#This Row],[Customer Rating]])</f>
        <v>0</v>
      </c>
    </row>
    <row r="191" spans="1:18" x14ac:dyDescent="0.3">
      <c r="A191" t="s">
        <v>219</v>
      </c>
      <c r="B191" t="s">
        <v>16</v>
      </c>
      <c r="C191" t="s">
        <v>24</v>
      </c>
      <c r="D191" s="1">
        <v>45935</v>
      </c>
      <c r="E191" s="1"/>
      <c r="F191" s="1"/>
      <c r="G191" s="1"/>
      <c r="H191" t="s">
        <v>25</v>
      </c>
      <c r="I191" t="s">
        <v>28</v>
      </c>
      <c r="J191" s="1"/>
      <c r="P191" t="b">
        <f>IF(EPe_BA_intern_assesment_Raw_data___Sheet13[[#This Row],[Customer Rating]]&gt;8,EPe_BA_intern_assesment_Raw_data___Sheet13[[#This Row],[Customer Rating]])</f>
        <v>0</v>
      </c>
      <c r="Q191" t="str">
        <f>IF(AND(EPe_BA_intern_assesment_Raw_data___Sheet13[[#This Row],[Customer Rating]]&gt;6,EPe_BA_intern_assesment_Raw_data___Sheet13[[#This Row],[Customer Rating]]&lt;9), EPe_BA_intern_assesment_Raw_data___Sheet13[[#This Row],[Customer Rating]], "")</f>
        <v/>
      </c>
      <c r="R191">
        <f>IF(EPe_BA_intern_assesment_Raw_data___Sheet13[[#This Row],[Customer Rating]]&lt;7,EPe_BA_intern_assesment_Raw_data___Sheet13[[#This Row],[Customer Rating]])</f>
        <v>0</v>
      </c>
    </row>
    <row r="192" spans="1:18" x14ac:dyDescent="0.3">
      <c r="A192" t="s">
        <v>220</v>
      </c>
      <c r="B192" t="s">
        <v>21</v>
      </c>
      <c r="C192" t="s">
        <v>24</v>
      </c>
      <c r="D192" s="1">
        <v>45956</v>
      </c>
      <c r="E192" s="1"/>
      <c r="F192" s="1"/>
      <c r="G192" s="1"/>
      <c r="H192" t="s">
        <v>25</v>
      </c>
      <c r="I192" t="s">
        <v>26</v>
      </c>
      <c r="J192" s="1"/>
      <c r="P192" t="b">
        <f>IF(EPe_BA_intern_assesment_Raw_data___Sheet13[[#This Row],[Customer Rating]]&gt;8,EPe_BA_intern_assesment_Raw_data___Sheet13[[#This Row],[Customer Rating]])</f>
        <v>0</v>
      </c>
      <c r="Q192" t="str">
        <f>IF(AND(EPe_BA_intern_assesment_Raw_data___Sheet13[[#This Row],[Customer Rating]]&gt;6,EPe_BA_intern_assesment_Raw_data___Sheet13[[#This Row],[Customer Rating]]&lt;9), EPe_BA_intern_assesment_Raw_data___Sheet13[[#This Row],[Customer Rating]], "")</f>
        <v/>
      </c>
      <c r="R192">
        <f>IF(EPe_BA_intern_assesment_Raw_data___Sheet13[[#This Row],[Customer Rating]]&lt;7,EPe_BA_intern_assesment_Raw_data___Sheet13[[#This Row],[Customer Rating]])</f>
        <v>0</v>
      </c>
    </row>
    <row r="193" spans="1:18" x14ac:dyDescent="0.3">
      <c r="A193" t="s">
        <v>221</v>
      </c>
      <c r="B193" t="s">
        <v>34</v>
      </c>
      <c r="C193" t="s">
        <v>17</v>
      </c>
      <c r="D193" s="1">
        <v>45949</v>
      </c>
      <c r="E193" s="1">
        <v>45954</v>
      </c>
      <c r="F193" s="1">
        <v>45958</v>
      </c>
      <c r="G193" s="1">
        <v>45962</v>
      </c>
      <c r="H193" t="s">
        <v>18</v>
      </c>
      <c r="I193" t="s">
        <v>19</v>
      </c>
      <c r="J193" s="1">
        <v>45977</v>
      </c>
      <c r="K193">
        <v>5</v>
      </c>
      <c r="L193">
        <v>4</v>
      </c>
      <c r="M193">
        <v>4</v>
      </c>
      <c r="N193">
        <v>10</v>
      </c>
      <c r="O193">
        <v>13</v>
      </c>
      <c r="P193">
        <f>IF(EPe_BA_intern_assesment_Raw_data___Sheet13[[#This Row],[Customer Rating]]&gt;8,EPe_BA_intern_assesment_Raw_data___Sheet13[[#This Row],[Customer Rating]])</f>
        <v>10</v>
      </c>
      <c r="Q193" t="str">
        <f>IF(AND(EPe_BA_intern_assesment_Raw_data___Sheet13[[#This Row],[Customer Rating]]&gt;6,EPe_BA_intern_assesment_Raw_data___Sheet13[[#This Row],[Customer Rating]]&lt;9), EPe_BA_intern_assesment_Raw_data___Sheet13[[#This Row],[Customer Rating]], "")</f>
        <v/>
      </c>
      <c r="R193" t="b">
        <f>IF(EPe_BA_intern_assesment_Raw_data___Sheet13[[#This Row],[Customer Rating]]&lt;7,EPe_BA_intern_assesment_Raw_data___Sheet13[[#This Row],[Customer Rating]])</f>
        <v>0</v>
      </c>
    </row>
    <row r="194" spans="1:18" x14ac:dyDescent="0.3">
      <c r="A194" t="s">
        <v>222</v>
      </c>
      <c r="B194" t="s">
        <v>21</v>
      </c>
      <c r="C194" t="s">
        <v>17</v>
      </c>
      <c r="D194" s="1">
        <v>45961</v>
      </c>
      <c r="E194" s="1">
        <v>45965</v>
      </c>
      <c r="F194" s="1">
        <v>45970</v>
      </c>
      <c r="G194" s="1">
        <v>45972</v>
      </c>
      <c r="H194" t="s">
        <v>25</v>
      </c>
      <c r="I194" t="s">
        <v>35</v>
      </c>
      <c r="J194" s="1"/>
      <c r="K194">
        <v>4</v>
      </c>
      <c r="L194">
        <v>5</v>
      </c>
      <c r="M194">
        <v>2</v>
      </c>
      <c r="O194">
        <v>11</v>
      </c>
      <c r="P194" t="b">
        <f>IF(EPe_BA_intern_assesment_Raw_data___Sheet13[[#This Row],[Customer Rating]]&gt;8,EPe_BA_intern_assesment_Raw_data___Sheet13[[#This Row],[Customer Rating]])</f>
        <v>0</v>
      </c>
      <c r="Q194" t="str">
        <f>IF(AND(EPe_BA_intern_assesment_Raw_data___Sheet13[[#This Row],[Customer Rating]]&gt;6,EPe_BA_intern_assesment_Raw_data___Sheet13[[#This Row],[Customer Rating]]&lt;9), EPe_BA_intern_assesment_Raw_data___Sheet13[[#This Row],[Customer Rating]], "")</f>
        <v/>
      </c>
      <c r="R194">
        <f>IF(EPe_BA_intern_assesment_Raw_data___Sheet13[[#This Row],[Customer Rating]]&lt;7,EPe_BA_intern_assesment_Raw_data___Sheet13[[#This Row],[Customer Rating]])</f>
        <v>0</v>
      </c>
    </row>
    <row r="195" spans="1:18" x14ac:dyDescent="0.3">
      <c r="A195" t="s">
        <v>223</v>
      </c>
      <c r="B195" t="s">
        <v>16</v>
      </c>
      <c r="C195" t="s">
        <v>17</v>
      </c>
      <c r="D195" s="1">
        <v>45940</v>
      </c>
      <c r="E195" s="1">
        <v>45944</v>
      </c>
      <c r="F195" s="1">
        <v>45949</v>
      </c>
      <c r="G195" s="1">
        <v>45954</v>
      </c>
      <c r="H195" t="s">
        <v>18</v>
      </c>
      <c r="I195" t="s">
        <v>19</v>
      </c>
      <c r="J195" s="1">
        <v>45965</v>
      </c>
      <c r="K195">
        <v>4</v>
      </c>
      <c r="L195">
        <v>5</v>
      </c>
      <c r="M195">
        <v>5</v>
      </c>
      <c r="N195">
        <v>5</v>
      </c>
      <c r="O195">
        <v>14</v>
      </c>
      <c r="P195" t="b">
        <f>IF(EPe_BA_intern_assesment_Raw_data___Sheet13[[#This Row],[Customer Rating]]&gt;8,EPe_BA_intern_assesment_Raw_data___Sheet13[[#This Row],[Customer Rating]])</f>
        <v>0</v>
      </c>
      <c r="Q195" t="str">
        <f>IF(AND(EPe_BA_intern_assesment_Raw_data___Sheet13[[#This Row],[Customer Rating]]&gt;6,EPe_BA_intern_assesment_Raw_data___Sheet13[[#This Row],[Customer Rating]]&lt;9), EPe_BA_intern_assesment_Raw_data___Sheet13[[#This Row],[Customer Rating]], "")</f>
        <v/>
      </c>
      <c r="R195">
        <f>IF(EPe_BA_intern_assesment_Raw_data___Sheet13[[#This Row],[Customer Rating]]&lt;7,EPe_BA_intern_assesment_Raw_data___Sheet13[[#This Row],[Customer Rating]])</f>
        <v>5</v>
      </c>
    </row>
    <row r="196" spans="1:18" x14ac:dyDescent="0.3">
      <c r="A196" t="s">
        <v>224</v>
      </c>
      <c r="B196" t="s">
        <v>21</v>
      </c>
      <c r="C196" t="s">
        <v>17</v>
      </c>
      <c r="D196" s="1">
        <v>45933</v>
      </c>
      <c r="E196" s="1">
        <v>45936</v>
      </c>
      <c r="F196" s="1">
        <v>45940</v>
      </c>
      <c r="G196" s="1">
        <v>45942</v>
      </c>
      <c r="H196" t="s">
        <v>18</v>
      </c>
      <c r="I196" t="s">
        <v>19</v>
      </c>
      <c r="J196" s="1">
        <v>45955</v>
      </c>
      <c r="K196">
        <v>3</v>
      </c>
      <c r="L196">
        <v>4</v>
      </c>
      <c r="M196">
        <v>2</v>
      </c>
      <c r="N196">
        <v>3</v>
      </c>
      <c r="O196">
        <v>9</v>
      </c>
      <c r="P196" t="b">
        <f>IF(EPe_BA_intern_assesment_Raw_data___Sheet13[[#This Row],[Customer Rating]]&gt;8,EPe_BA_intern_assesment_Raw_data___Sheet13[[#This Row],[Customer Rating]])</f>
        <v>0</v>
      </c>
      <c r="Q196" t="str">
        <f>IF(AND(EPe_BA_intern_assesment_Raw_data___Sheet13[[#This Row],[Customer Rating]]&gt;6,EPe_BA_intern_assesment_Raw_data___Sheet13[[#This Row],[Customer Rating]]&lt;9), EPe_BA_intern_assesment_Raw_data___Sheet13[[#This Row],[Customer Rating]], "")</f>
        <v/>
      </c>
      <c r="R196">
        <f>IF(EPe_BA_intern_assesment_Raw_data___Sheet13[[#This Row],[Customer Rating]]&lt;7,EPe_BA_intern_assesment_Raw_data___Sheet13[[#This Row],[Customer Rating]])</f>
        <v>3</v>
      </c>
    </row>
    <row r="197" spans="1:18" x14ac:dyDescent="0.3">
      <c r="A197" t="s">
        <v>225</v>
      </c>
      <c r="B197" t="s">
        <v>16</v>
      </c>
      <c r="C197" t="s">
        <v>17</v>
      </c>
      <c r="D197" s="1">
        <v>45938</v>
      </c>
      <c r="E197" s="1">
        <v>45939</v>
      </c>
      <c r="F197" s="1">
        <v>45941</v>
      </c>
      <c r="G197" s="1">
        <v>45944</v>
      </c>
      <c r="H197" t="s">
        <v>18</v>
      </c>
      <c r="I197" t="s">
        <v>19</v>
      </c>
      <c r="J197" s="1">
        <v>45964</v>
      </c>
      <c r="K197">
        <v>1</v>
      </c>
      <c r="L197">
        <v>2</v>
      </c>
      <c r="M197">
        <v>3</v>
      </c>
      <c r="N197">
        <v>9</v>
      </c>
      <c r="O197">
        <v>6</v>
      </c>
      <c r="P197">
        <f>IF(EPe_BA_intern_assesment_Raw_data___Sheet13[[#This Row],[Customer Rating]]&gt;8,EPe_BA_intern_assesment_Raw_data___Sheet13[[#This Row],[Customer Rating]])</f>
        <v>9</v>
      </c>
      <c r="Q197" t="str">
        <f>IF(AND(EPe_BA_intern_assesment_Raw_data___Sheet13[[#This Row],[Customer Rating]]&gt;6,EPe_BA_intern_assesment_Raw_data___Sheet13[[#This Row],[Customer Rating]]&lt;9), EPe_BA_intern_assesment_Raw_data___Sheet13[[#This Row],[Customer Rating]], "")</f>
        <v/>
      </c>
      <c r="R197" t="b">
        <f>IF(EPe_BA_intern_assesment_Raw_data___Sheet13[[#This Row],[Customer Rating]]&lt;7,EPe_BA_intern_assesment_Raw_data___Sheet13[[#This Row],[Customer Rating]])</f>
        <v>0</v>
      </c>
    </row>
    <row r="198" spans="1:18" x14ac:dyDescent="0.3">
      <c r="A198" t="s">
        <v>226</v>
      </c>
      <c r="B198" t="s">
        <v>21</v>
      </c>
      <c r="C198" t="s">
        <v>32</v>
      </c>
      <c r="D198" s="1">
        <v>45934</v>
      </c>
      <c r="E198" s="1">
        <v>45938</v>
      </c>
      <c r="F198" s="1">
        <v>45943</v>
      </c>
      <c r="G198" s="1">
        <v>45946</v>
      </c>
      <c r="H198" t="s">
        <v>18</v>
      </c>
      <c r="I198" t="s">
        <v>19</v>
      </c>
      <c r="J198" s="1">
        <v>45962</v>
      </c>
      <c r="K198">
        <v>4</v>
      </c>
      <c r="L198">
        <v>5</v>
      </c>
      <c r="M198">
        <v>3</v>
      </c>
      <c r="N198">
        <v>10</v>
      </c>
      <c r="O198">
        <v>12</v>
      </c>
      <c r="P198">
        <f>IF(EPe_BA_intern_assesment_Raw_data___Sheet13[[#This Row],[Customer Rating]]&gt;8,EPe_BA_intern_assesment_Raw_data___Sheet13[[#This Row],[Customer Rating]])</f>
        <v>10</v>
      </c>
      <c r="Q198" t="str">
        <f>IF(AND(EPe_BA_intern_assesment_Raw_data___Sheet13[[#This Row],[Customer Rating]]&gt;6,EPe_BA_intern_assesment_Raw_data___Sheet13[[#This Row],[Customer Rating]]&lt;9), EPe_BA_intern_assesment_Raw_data___Sheet13[[#This Row],[Customer Rating]], "")</f>
        <v/>
      </c>
      <c r="R198" t="b">
        <f>IF(EPe_BA_intern_assesment_Raw_data___Sheet13[[#This Row],[Customer Rating]]&lt;7,EPe_BA_intern_assesment_Raw_data___Sheet13[[#This Row],[Customer Rating]])</f>
        <v>0</v>
      </c>
    </row>
    <row r="199" spans="1:18" x14ac:dyDescent="0.3">
      <c r="A199" t="s">
        <v>227</v>
      </c>
      <c r="B199" t="s">
        <v>16</v>
      </c>
      <c r="C199" t="s">
        <v>24</v>
      </c>
      <c r="D199" s="1">
        <v>45948</v>
      </c>
      <c r="E199" s="1"/>
      <c r="F199" s="1"/>
      <c r="G199" s="1"/>
      <c r="H199" t="s">
        <v>25</v>
      </c>
      <c r="I199" t="s">
        <v>35</v>
      </c>
      <c r="J199" s="1"/>
      <c r="P199" t="b">
        <f>IF(EPe_BA_intern_assesment_Raw_data___Sheet13[[#This Row],[Customer Rating]]&gt;8,EPe_BA_intern_assesment_Raw_data___Sheet13[[#This Row],[Customer Rating]])</f>
        <v>0</v>
      </c>
      <c r="Q199" t="str">
        <f>IF(AND(EPe_BA_intern_assesment_Raw_data___Sheet13[[#This Row],[Customer Rating]]&gt;6,EPe_BA_intern_assesment_Raw_data___Sheet13[[#This Row],[Customer Rating]]&lt;9), EPe_BA_intern_assesment_Raw_data___Sheet13[[#This Row],[Customer Rating]], "")</f>
        <v/>
      </c>
      <c r="R199">
        <f>IF(EPe_BA_intern_assesment_Raw_data___Sheet13[[#This Row],[Customer Rating]]&lt;7,EPe_BA_intern_assesment_Raw_data___Sheet13[[#This Row],[Customer Rating]])</f>
        <v>0</v>
      </c>
    </row>
    <row r="200" spans="1:18" x14ac:dyDescent="0.3">
      <c r="A200" t="s">
        <v>228</v>
      </c>
      <c r="B200" t="s">
        <v>16</v>
      </c>
      <c r="C200" t="s">
        <v>17</v>
      </c>
      <c r="D200" s="1">
        <v>45955</v>
      </c>
      <c r="E200" s="1">
        <v>45956</v>
      </c>
      <c r="F200" s="1">
        <v>45960</v>
      </c>
      <c r="G200" s="1">
        <v>45967</v>
      </c>
      <c r="H200" t="s">
        <v>18</v>
      </c>
      <c r="I200" t="s">
        <v>19</v>
      </c>
      <c r="J200" s="1">
        <v>45983</v>
      </c>
      <c r="K200">
        <v>1</v>
      </c>
      <c r="L200">
        <v>4</v>
      </c>
      <c r="M200">
        <v>7</v>
      </c>
      <c r="N200">
        <v>8</v>
      </c>
      <c r="O200">
        <v>12</v>
      </c>
      <c r="P200" t="b">
        <f>IF(EPe_BA_intern_assesment_Raw_data___Sheet13[[#This Row],[Customer Rating]]&gt;8,EPe_BA_intern_assesment_Raw_data___Sheet13[[#This Row],[Customer Rating]])</f>
        <v>0</v>
      </c>
      <c r="Q200">
        <f>IF(AND(EPe_BA_intern_assesment_Raw_data___Sheet13[[#This Row],[Customer Rating]]&gt;6,EPe_BA_intern_assesment_Raw_data___Sheet13[[#This Row],[Customer Rating]]&lt;9), EPe_BA_intern_assesment_Raw_data___Sheet13[[#This Row],[Customer Rating]], "")</f>
        <v>8</v>
      </c>
      <c r="R200" t="b">
        <f>IF(EPe_BA_intern_assesment_Raw_data___Sheet13[[#This Row],[Customer Rating]]&lt;7,EPe_BA_intern_assesment_Raw_data___Sheet13[[#This Row],[Customer Rating]])</f>
        <v>0</v>
      </c>
    </row>
    <row r="201" spans="1:18" x14ac:dyDescent="0.3">
      <c r="A201" t="s">
        <v>229</v>
      </c>
      <c r="B201" t="s">
        <v>16</v>
      </c>
      <c r="C201" t="s">
        <v>24</v>
      </c>
      <c r="D201" s="1">
        <v>45944</v>
      </c>
      <c r="E201" s="1"/>
      <c r="F201" s="1"/>
      <c r="G201" s="1"/>
      <c r="H201" t="s">
        <v>25</v>
      </c>
      <c r="I201" t="s">
        <v>28</v>
      </c>
      <c r="J201" s="1"/>
      <c r="P201" t="b">
        <f>IF(EPe_BA_intern_assesment_Raw_data___Sheet13[[#This Row],[Customer Rating]]&gt;8,EPe_BA_intern_assesment_Raw_data___Sheet13[[#This Row],[Customer Rating]])</f>
        <v>0</v>
      </c>
      <c r="Q201" t="str">
        <f>IF(AND(EPe_BA_intern_assesment_Raw_data___Sheet13[[#This Row],[Customer Rating]]&gt;6,EPe_BA_intern_assesment_Raw_data___Sheet13[[#This Row],[Customer Rating]]&lt;9), EPe_BA_intern_assesment_Raw_data___Sheet13[[#This Row],[Customer Rating]], "")</f>
        <v/>
      </c>
      <c r="R201">
        <f>IF(EPe_BA_intern_assesment_Raw_data___Sheet13[[#This Row],[Customer Rating]]&lt;7,EPe_BA_intern_assesment_Raw_data___Sheet13[[#This Row],[Customer Rating]])</f>
        <v>0</v>
      </c>
    </row>
    <row r="202" spans="1:18" x14ac:dyDescent="0.3">
      <c r="A202" t="s">
        <v>230</v>
      </c>
      <c r="B202" t="s">
        <v>34</v>
      </c>
      <c r="C202" t="s">
        <v>32</v>
      </c>
      <c r="D202" s="1">
        <v>45950</v>
      </c>
      <c r="E202" s="1">
        <v>45953</v>
      </c>
      <c r="F202" s="1">
        <v>45956</v>
      </c>
      <c r="G202" s="1">
        <v>45962</v>
      </c>
      <c r="H202" t="s">
        <v>18</v>
      </c>
      <c r="I202" t="s">
        <v>19</v>
      </c>
      <c r="J202" s="1">
        <v>45985</v>
      </c>
      <c r="K202">
        <v>3</v>
      </c>
      <c r="L202">
        <v>3</v>
      </c>
      <c r="M202">
        <v>6</v>
      </c>
      <c r="N202">
        <v>6</v>
      </c>
      <c r="O202">
        <v>12</v>
      </c>
      <c r="P202" t="b">
        <f>IF(EPe_BA_intern_assesment_Raw_data___Sheet13[[#This Row],[Customer Rating]]&gt;8,EPe_BA_intern_assesment_Raw_data___Sheet13[[#This Row],[Customer Rating]])</f>
        <v>0</v>
      </c>
      <c r="Q202" t="str">
        <f>IF(AND(EPe_BA_intern_assesment_Raw_data___Sheet13[[#This Row],[Customer Rating]]&gt;6,EPe_BA_intern_assesment_Raw_data___Sheet13[[#This Row],[Customer Rating]]&lt;9), EPe_BA_intern_assesment_Raw_data___Sheet13[[#This Row],[Customer Rating]], "")</f>
        <v/>
      </c>
      <c r="R202">
        <f>IF(EPe_BA_intern_assesment_Raw_data___Sheet13[[#This Row],[Customer Rating]]&lt;7,EPe_BA_intern_assesment_Raw_data___Sheet13[[#This Row],[Customer Rating]])</f>
        <v>6</v>
      </c>
    </row>
    <row r="203" spans="1:18" x14ac:dyDescent="0.3">
      <c r="A203" t="s">
        <v>231</v>
      </c>
      <c r="B203" t="s">
        <v>21</v>
      </c>
      <c r="C203" t="s">
        <v>32</v>
      </c>
      <c r="D203" s="1">
        <v>45950</v>
      </c>
      <c r="E203" s="1">
        <v>45952</v>
      </c>
      <c r="F203" s="1">
        <v>45954</v>
      </c>
      <c r="G203" s="1">
        <v>45961</v>
      </c>
      <c r="H203" t="s">
        <v>18</v>
      </c>
      <c r="I203" t="s">
        <v>19</v>
      </c>
      <c r="J203" s="1">
        <v>45988</v>
      </c>
      <c r="K203">
        <v>2</v>
      </c>
      <c r="L203">
        <v>2</v>
      </c>
      <c r="M203">
        <v>7</v>
      </c>
      <c r="N203">
        <v>2</v>
      </c>
      <c r="O203">
        <v>11</v>
      </c>
      <c r="P203" t="b">
        <f>IF(EPe_BA_intern_assesment_Raw_data___Sheet13[[#This Row],[Customer Rating]]&gt;8,EPe_BA_intern_assesment_Raw_data___Sheet13[[#This Row],[Customer Rating]])</f>
        <v>0</v>
      </c>
      <c r="Q203" t="str">
        <f>IF(AND(EPe_BA_intern_assesment_Raw_data___Sheet13[[#This Row],[Customer Rating]]&gt;6,EPe_BA_intern_assesment_Raw_data___Sheet13[[#This Row],[Customer Rating]]&lt;9), EPe_BA_intern_assesment_Raw_data___Sheet13[[#This Row],[Customer Rating]], "")</f>
        <v/>
      </c>
      <c r="R203">
        <f>IF(EPe_BA_intern_assesment_Raw_data___Sheet13[[#This Row],[Customer Rating]]&lt;7,EPe_BA_intern_assesment_Raw_data___Sheet13[[#This Row],[Customer Rating]])</f>
        <v>2</v>
      </c>
    </row>
    <row r="204" spans="1:18" x14ac:dyDescent="0.3">
      <c r="A204" t="s">
        <v>232</v>
      </c>
      <c r="B204" t="s">
        <v>21</v>
      </c>
      <c r="C204" t="s">
        <v>32</v>
      </c>
      <c r="D204" s="1">
        <v>45956</v>
      </c>
      <c r="E204" s="1">
        <v>45961</v>
      </c>
      <c r="F204" s="1">
        <v>45962</v>
      </c>
      <c r="G204" s="1">
        <v>45966</v>
      </c>
      <c r="H204" t="s">
        <v>18</v>
      </c>
      <c r="I204" t="s">
        <v>19</v>
      </c>
      <c r="J204" s="1">
        <v>45993</v>
      </c>
      <c r="K204">
        <v>5</v>
      </c>
      <c r="L204">
        <v>1</v>
      </c>
      <c r="M204">
        <v>4</v>
      </c>
      <c r="N204">
        <v>2</v>
      </c>
      <c r="O204">
        <v>10</v>
      </c>
      <c r="P204" t="b">
        <f>IF(EPe_BA_intern_assesment_Raw_data___Sheet13[[#This Row],[Customer Rating]]&gt;8,EPe_BA_intern_assesment_Raw_data___Sheet13[[#This Row],[Customer Rating]])</f>
        <v>0</v>
      </c>
      <c r="Q204" t="str">
        <f>IF(AND(EPe_BA_intern_assesment_Raw_data___Sheet13[[#This Row],[Customer Rating]]&gt;6,EPe_BA_intern_assesment_Raw_data___Sheet13[[#This Row],[Customer Rating]]&lt;9), EPe_BA_intern_assesment_Raw_data___Sheet13[[#This Row],[Customer Rating]], "")</f>
        <v/>
      </c>
      <c r="R204">
        <f>IF(EPe_BA_intern_assesment_Raw_data___Sheet13[[#This Row],[Customer Rating]]&lt;7,EPe_BA_intern_assesment_Raw_data___Sheet13[[#This Row],[Customer Rating]])</f>
        <v>2</v>
      </c>
    </row>
    <row r="205" spans="1:18" x14ac:dyDescent="0.3">
      <c r="A205" t="s">
        <v>233</v>
      </c>
      <c r="B205" t="s">
        <v>21</v>
      </c>
      <c r="C205" t="s">
        <v>17</v>
      </c>
      <c r="D205" s="1">
        <v>45950</v>
      </c>
      <c r="E205" s="1">
        <v>45954</v>
      </c>
      <c r="F205" s="1">
        <v>45957</v>
      </c>
      <c r="G205" s="1">
        <v>45964</v>
      </c>
      <c r="H205" t="s">
        <v>18</v>
      </c>
      <c r="I205" t="s">
        <v>19</v>
      </c>
      <c r="J205" s="1">
        <v>45982</v>
      </c>
      <c r="K205">
        <v>4</v>
      </c>
      <c r="L205">
        <v>3</v>
      </c>
      <c r="M205">
        <v>7</v>
      </c>
      <c r="N205">
        <v>9</v>
      </c>
      <c r="O205">
        <v>14</v>
      </c>
      <c r="P205">
        <f>IF(EPe_BA_intern_assesment_Raw_data___Sheet13[[#This Row],[Customer Rating]]&gt;8,EPe_BA_intern_assesment_Raw_data___Sheet13[[#This Row],[Customer Rating]])</f>
        <v>9</v>
      </c>
      <c r="Q205" t="str">
        <f>IF(AND(EPe_BA_intern_assesment_Raw_data___Sheet13[[#This Row],[Customer Rating]]&gt;6,EPe_BA_intern_assesment_Raw_data___Sheet13[[#This Row],[Customer Rating]]&lt;9), EPe_BA_intern_assesment_Raw_data___Sheet13[[#This Row],[Customer Rating]], "")</f>
        <v/>
      </c>
      <c r="R205" t="b">
        <f>IF(EPe_BA_intern_assesment_Raw_data___Sheet13[[#This Row],[Customer Rating]]&lt;7,EPe_BA_intern_assesment_Raw_data___Sheet13[[#This Row],[Customer Rating]])</f>
        <v>0</v>
      </c>
    </row>
    <row r="206" spans="1:18" x14ac:dyDescent="0.3">
      <c r="A206" t="s">
        <v>234</v>
      </c>
      <c r="B206" t="s">
        <v>16</v>
      </c>
      <c r="C206" t="s">
        <v>24</v>
      </c>
      <c r="D206" s="1">
        <v>45938</v>
      </c>
      <c r="E206" s="1"/>
      <c r="F206" s="1"/>
      <c r="G206" s="1"/>
      <c r="H206" t="s">
        <v>25</v>
      </c>
      <c r="I206" t="s">
        <v>65</v>
      </c>
      <c r="J206" s="1"/>
      <c r="P206" t="b">
        <f>IF(EPe_BA_intern_assesment_Raw_data___Sheet13[[#This Row],[Customer Rating]]&gt;8,EPe_BA_intern_assesment_Raw_data___Sheet13[[#This Row],[Customer Rating]])</f>
        <v>0</v>
      </c>
      <c r="Q206" t="str">
        <f>IF(AND(EPe_BA_intern_assesment_Raw_data___Sheet13[[#This Row],[Customer Rating]]&gt;6,EPe_BA_intern_assesment_Raw_data___Sheet13[[#This Row],[Customer Rating]]&lt;9), EPe_BA_intern_assesment_Raw_data___Sheet13[[#This Row],[Customer Rating]], "")</f>
        <v/>
      </c>
      <c r="R206">
        <f>IF(EPe_BA_intern_assesment_Raw_data___Sheet13[[#This Row],[Customer Rating]]&lt;7,EPe_BA_intern_assesment_Raw_data___Sheet13[[#This Row],[Customer Rating]])</f>
        <v>0</v>
      </c>
    </row>
    <row r="207" spans="1:18" x14ac:dyDescent="0.3">
      <c r="A207" t="s">
        <v>235</v>
      </c>
      <c r="B207" t="s">
        <v>21</v>
      </c>
      <c r="C207" t="s">
        <v>32</v>
      </c>
      <c r="D207" s="1">
        <v>45955</v>
      </c>
      <c r="E207" s="1">
        <v>45958</v>
      </c>
      <c r="F207" s="1">
        <v>45960</v>
      </c>
      <c r="G207" s="1">
        <v>45966</v>
      </c>
      <c r="H207" t="s">
        <v>18</v>
      </c>
      <c r="I207" t="s">
        <v>19</v>
      </c>
      <c r="J207" s="1">
        <v>45985</v>
      </c>
      <c r="K207">
        <v>3</v>
      </c>
      <c r="L207">
        <v>2</v>
      </c>
      <c r="M207">
        <v>6</v>
      </c>
      <c r="N207">
        <v>2</v>
      </c>
      <c r="O207">
        <v>11</v>
      </c>
      <c r="P207" t="b">
        <f>IF(EPe_BA_intern_assesment_Raw_data___Sheet13[[#This Row],[Customer Rating]]&gt;8,EPe_BA_intern_assesment_Raw_data___Sheet13[[#This Row],[Customer Rating]])</f>
        <v>0</v>
      </c>
      <c r="Q207" t="str">
        <f>IF(AND(EPe_BA_intern_assesment_Raw_data___Sheet13[[#This Row],[Customer Rating]]&gt;6,EPe_BA_intern_assesment_Raw_data___Sheet13[[#This Row],[Customer Rating]]&lt;9), EPe_BA_intern_assesment_Raw_data___Sheet13[[#This Row],[Customer Rating]], "")</f>
        <v/>
      </c>
      <c r="R207">
        <f>IF(EPe_BA_intern_assesment_Raw_data___Sheet13[[#This Row],[Customer Rating]]&lt;7,EPe_BA_intern_assesment_Raw_data___Sheet13[[#This Row],[Customer Rating]])</f>
        <v>2</v>
      </c>
    </row>
    <row r="208" spans="1:18" x14ac:dyDescent="0.3">
      <c r="A208" t="s">
        <v>236</v>
      </c>
      <c r="B208" t="s">
        <v>21</v>
      </c>
      <c r="C208" t="s">
        <v>24</v>
      </c>
      <c r="D208" s="1">
        <v>45947</v>
      </c>
      <c r="E208" s="1"/>
      <c r="F208" s="1"/>
      <c r="G208" s="1"/>
      <c r="H208" t="s">
        <v>25</v>
      </c>
      <c r="I208" t="s">
        <v>65</v>
      </c>
      <c r="J208" s="1"/>
      <c r="P208" t="b">
        <f>IF(EPe_BA_intern_assesment_Raw_data___Sheet13[[#This Row],[Customer Rating]]&gt;8,EPe_BA_intern_assesment_Raw_data___Sheet13[[#This Row],[Customer Rating]])</f>
        <v>0</v>
      </c>
      <c r="Q208" t="str">
        <f>IF(AND(EPe_BA_intern_assesment_Raw_data___Sheet13[[#This Row],[Customer Rating]]&gt;6,EPe_BA_intern_assesment_Raw_data___Sheet13[[#This Row],[Customer Rating]]&lt;9), EPe_BA_intern_assesment_Raw_data___Sheet13[[#This Row],[Customer Rating]], "")</f>
        <v/>
      </c>
      <c r="R208">
        <f>IF(EPe_BA_intern_assesment_Raw_data___Sheet13[[#This Row],[Customer Rating]]&lt;7,EPe_BA_intern_assesment_Raw_data___Sheet13[[#This Row],[Customer Rating]])</f>
        <v>0</v>
      </c>
    </row>
    <row r="209" spans="1:18" x14ac:dyDescent="0.3">
      <c r="A209" t="s">
        <v>237</v>
      </c>
      <c r="B209" t="s">
        <v>16</v>
      </c>
      <c r="C209" t="s">
        <v>17</v>
      </c>
      <c r="D209" s="1">
        <v>45943</v>
      </c>
      <c r="E209" s="1">
        <v>45944</v>
      </c>
      <c r="F209" s="1">
        <v>45948</v>
      </c>
      <c r="G209" s="1">
        <v>45955</v>
      </c>
      <c r="H209" t="s">
        <v>18</v>
      </c>
      <c r="I209" t="s">
        <v>19</v>
      </c>
      <c r="J209" s="1">
        <v>45974</v>
      </c>
      <c r="K209">
        <v>1</v>
      </c>
      <c r="L209">
        <v>4</v>
      </c>
      <c r="M209">
        <v>7</v>
      </c>
      <c r="N209">
        <v>7</v>
      </c>
      <c r="O209">
        <v>12</v>
      </c>
      <c r="P209" t="b">
        <f>IF(EPe_BA_intern_assesment_Raw_data___Sheet13[[#This Row],[Customer Rating]]&gt;8,EPe_BA_intern_assesment_Raw_data___Sheet13[[#This Row],[Customer Rating]])</f>
        <v>0</v>
      </c>
      <c r="Q209">
        <f>IF(AND(EPe_BA_intern_assesment_Raw_data___Sheet13[[#This Row],[Customer Rating]]&gt;6,EPe_BA_intern_assesment_Raw_data___Sheet13[[#This Row],[Customer Rating]]&lt;9), EPe_BA_intern_assesment_Raw_data___Sheet13[[#This Row],[Customer Rating]], "")</f>
        <v>7</v>
      </c>
      <c r="R209" t="b">
        <f>IF(EPe_BA_intern_assesment_Raw_data___Sheet13[[#This Row],[Customer Rating]]&lt;7,EPe_BA_intern_assesment_Raw_data___Sheet13[[#This Row],[Customer Rating]])</f>
        <v>0</v>
      </c>
    </row>
    <row r="210" spans="1:18" x14ac:dyDescent="0.3">
      <c r="A210" t="s">
        <v>238</v>
      </c>
      <c r="B210" t="s">
        <v>23</v>
      </c>
      <c r="C210" t="s">
        <v>24</v>
      </c>
      <c r="D210" s="1">
        <v>45945</v>
      </c>
      <c r="E210" s="1"/>
      <c r="F210" s="1"/>
      <c r="G210" s="1"/>
      <c r="H210" t="s">
        <v>25</v>
      </c>
      <c r="I210" t="s">
        <v>103</v>
      </c>
      <c r="J210" s="1"/>
      <c r="P210" t="b">
        <f>IF(EPe_BA_intern_assesment_Raw_data___Sheet13[[#This Row],[Customer Rating]]&gt;8,EPe_BA_intern_assesment_Raw_data___Sheet13[[#This Row],[Customer Rating]])</f>
        <v>0</v>
      </c>
      <c r="Q210" t="str">
        <f>IF(AND(EPe_BA_intern_assesment_Raw_data___Sheet13[[#This Row],[Customer Rating]]&gt;6,EPe_BA_intern_assesment_Raw_data___Sheet13[[#This Row],[Customer Rating]]&lt;9), EPe_BA_intern_assesment_Raw_data___Sheet13[[#This Row],[Customer Rating]], "")</f>
        <v/>
      </c>
      <c r="R210">
        <f>IF(EPe_BA_intern_assesment_Raw_data___Sheet13[[#This Row],[Customer Rating]]&lt;7,EPe_BA_intern_assesment_Raw_data___Sheet13[[#This Row],[Customer Rating]])</f>
        <v>0</v>
      </c>
    </row>
    <row r="211" spans="1:18" x14ac:dyDescent="0.3">
      <c r="A211" t="s">
        <v>239</v>
      </c>
      <c r="B211" t="s">
        <v>16</v>
      </c>
      <c r="C211" t="s">
        <v>32</v>
      </c>
      <c r="D211" s="1">
        <v>45960</v>
      </c>
      <c r="E211" s="1">
        <v>45964</v>
      </c>
      <c r="F211" s="1">
        <v>45967</v>
      </c>
      <c r="G211" s="1">
        <v>45972</v>
      </c>
      <c r="H211" t="s">
        <v>18</v>
      </c>
      <c r="I211" t="s">
        <v>19</v>
      </c>
      <c r="J211" s="1">
        <v>45989</v>
      </c>
      <c r="K211">
        <v>4</v>
      </c>
      <c r="L211">
        <v>3</v>
      </c>
      <c r="M211">
        <v>5</v>
      </c>
      <c r="N211">
        <v>9</v>
      </c>
      <c r="O211">
        <v>12</v>
      </c>
      <c r="P211">
        <f>IF(EPe_BA_intern_assesment_Raw_data___Sheet13[[#This Row],[Customer Rating]]&gt;8,EPe_BA_intern_assesment_Raw_data___Sheet13[[#This Row],[Customer Rating]])</f>
        <v>9</v>
      </c>
      <c r="Q211" t="str">
        <f>IF(AND(EPe_BA_intern_assesment_Raw_data___Sheet13[[#This Row],[Customer Rating]]&gt;6,EPe_BA_intern_assesment_Raw_data___Sheet13[[#This Row],[Customer Rating]]&lt;9), EPe_BA_intern_assesment_Raw_data___Sheet13[[#This Row],[Customer Rating]], "")</f>
        <v/>
      </c>
      <c r="R211" t="b">
        <f>IF(EPe_BA_intern_assesment_Raw_data___Sheet13[[#This Row],[Customer Rating]]&lt;7,EPe_BA_intern_assesment_Raw_data___Sheet13[[#This Row],[Customer Rating]])</f>
        <v>0</v>
      </c>
    </row>
    <row r="212" spans="1:18" x14ac:dyDescent="0.3">
      <c r="A212" t="s">
        <v>240</v>
      </c>
      <c r="B212" t="s">
        <v>21</v>
      </c>
      <c r="C212" t="s">
        <v>24</v>
      </c>
      <c r="D212" s="1">
        <v>45945</v>
      </c>
      <c r="E212" s="1"/>
      <c r="F212" s="1"/>
      <c r="G212" s="1"/>
      <c r="H212" t="s">
        <v>25</v>
      </c>
      <c r="I212" t="s">
        <v>103</v>
      </c>
      <c r="J212" s="1"/>
      <c r="P212" t="b">
        <f>IF(EPe_BA_intern_assesment_Raw_data___Sheet13[[#This Row],[Customer Rating]]&gt;8,EPe_BA_intern_assesment_Raw_data___Sheet13[[#This Row],[Customer Rating]])</f>
        <v>0</v>
      </c>
      <c r="Q212" t="str">
        <f>IF(AND(EPe_BA_intern_assesment_Raw_data___Sheet13[[#This Row],[Customer Rating]]&gt;6,EPe_BA_intern_assesment_Raw_data___Sheet13[[#This Row],[Customer Rating]]&lt;9), EPe_BA_intern_assesment_Raw_data___Sheet13[[#This Row],[Customer Rating]], "")</f>
        <v/>
      </c>
      <c r="R212">
        <f>IF(EPe_BA_intern_assesment_Raw_data___Sheet13[[#This Row],[Customer Rating]]&lt;7,EPe_BA_intern_assesment_Raw_data___Sheet13[[#This Row],[Customer Rating]])</f>
        <v>0</v>
      </c>
    </row>
    <row r="213" spans="1:18" x14ac:dyDescent="0.3">
      <c r="A213" t="s">
        <v>241</v>
      </c>
      <c r="B213" t="s">
        <v>16</v>
      </c>
      <c r="C213" t="s">
        <v>17</v>
      </c>
      <c r="D213" s="1">
        <v>45940</v>
      </c>
      <c r="E213" s="1">
        <v>45941</v>
      </c>
      <c r="F213" s="1">
        <v>45943</v>
      </c>
      <c r="G213" s="1">
        <v>45946</v>
      </c>
      <c r="H213" t="s">
        <v>25</v>
      </c>
      <c r="I213" t="s">
        <v>26</v>
      </c>
      <c r="J213" s="1"/>
      <c r="K213">
        <v>1</v>
      </c>
      <c r="L213">
        <v>2</v>
      </c>
      <c r="M213">
        <v>3</v>
      </c>
      <c r="O213">
        <v>6</v>
      </c>
      <c r="P213" t="b">
        <f>IF(EPe_BA_intern_assesment_Raw_data___Sheet13[[#This Row],[Customer Rating]]&gt;8,EPe_BA_intern_assesment_Raw_data___Sheet13[[#This Row],[Customer Rating]])</f>
        <v>0</v>
      </c>
      <c r="Q213" t="str">
        <f>IF(AND(EPe_BA_intern_assesment_Raw_data___Sheet13[[#This Row],[Customer Rating]]&gt;6,EPe_BA_intern_assesment_Raw_data___Sheet13[[#This Row],[Customer Rating]]&lt;9), EPe_BA_intern_assesment_Raw_data___Sheet13[[#This Row],[Customer Rating]], "")</f>
        <v/>
      </c>
      <c r="R213">
        <f>IF(EPe_BA_intern_assesment_Raw_data___Sheet13[[#This Row],[Customer Rating]]&lt;7,EPe_BA_intern_assesment_Raw_data___Sheet13[[#This Row],[Customer Rating]])</f>
        <v>0</v>
      </c>
    </row>
    <row r="214" spans="1:18" x14ac:dyDescent="0.3">
      <c r="A214" t="s">
        <v>242</v>
      </c>
      <c r="B214" t="s">
        <v>23</v>
      </c>
      <c r="C214" t="s">
        <v>32</v>
      </c>
      <c r="D214" s="1">
        <v>45958</v>
      </c>
      <c r="E214" s="1">
        <v>45960</v>
      </c>
      <c r="F214" s="1">
        <v>45961</v>
      </c>
      <c r="G214" s="1">
        <v>45967</v>
      </c>
      <c r="H214" t="s">
        <v>18</v>
      </c>
      <c r="I214" t="s">
        <v>19</v>
      </c>
      <c r="J214" s="1">
        <v>45980</v>
      </c>
      <c r="K214">
        <v>2</v>
      </c>
      <c r="L214">
        <v>1</v>
      </c>
      <c r="M214">
        <v>6</v>
      </c>
      <c r="N214">
        <v>4</v>
      </c>
      <c r="O214">
        <v>9</v>
      </c>
      <c r="P214" t="b">
        <f>IF(EPe_BA_intern_assesment_Raw_data___Sheet13[[#This Row],[Customer Rating]]&gt;8,EPe_BA_intern_assesment_Raw_data___Sheet13[[#This Row],[Customer Rating]])</f>
        <v>0</v>
      </c>
      <c r="Q214" t="str">
        <f>IF(AND(EPe_BA_intern_assesment_Raw_data___Sheet13[[#This Row],[Customer Rating]]&gt;6,EPe_BA_intern_assesment_Raw_data___Sheet13[[#This Row],[Customer Rating]]&lt;9), EPe_BA_intern_assesment_Raw_data___Sheet13[[#This Row],[Customer Rating]], "")</f>
        <v/>
      </c>
      <c r="R214">
        <f>IF(EPe_BA_intern_assesment_Raw_data___Sheet13[[#This Row],[Customer Rating]]&lt;7,EPe_BA_intern_assesment_Raw_data___Sheet13[[#This Row],[Customer Rating]])</f>
        <v>4</v>
      </c>
    </row>
    <row r="215" spans="1:18" x14ac:dyDescent="0.3">
      <c r="A215" t="s">
        <v>243</v>
      </c>
      <c r="B215" t="s">
        <v>16</v>
      </c>
      <c r="C215" t="s">
        <v>32</v>
      </c>
      <c r="D215" s="1">
        <v>45949</v>
      </c>
      <c r="E215" s="1">
        <v>45953</v>
      </c>
      <c r="F215" s="1">
        <v>45956</v>
      </c>
      <c r="G215" s="1">
        <v>45959</v>
      </c>
      <c r="H215" t="s">
        <v>18</v>
      </c>
      <c r="I215" t="s">
        <v>19</v>
      </c>
      <c r="J215" s="1">
        <v>45970</v>
      </c>
      <c r="K215">
        <v>4</v>
      </c>
      <c r="L215">
        <v>3</v>
      </c>
      <c r="M215">
        <v>3</v>
      </c>
      <c r="N215">
        <v>2</v>
      </c>
      <c r="O215">
        <v>10</v>
      </c>
      <c r="P215" t="b">
        <f>IF(EPe_BA_intern_assesment_Raw_data___Sheet13[[#This Row],[Customer Rating]]&gt;8,EPe_BA_intern_assesment_Raw_data___Sheet13[[#This Row],[Customer Rating]])</f>
        <v>0</v>
      </c>
      <c r="Q215" t="str">
        <f>IF(AND(EPe_BA_intern_assesment_Raw_data___Sheet13[[#This Row],[Customer Rating]]&gt;6,EPe_BA_intern_assesment_Raw_data___Sheet13[[#This Row],[Customer Rating]]&lt;9), EPe_BA_intern_assesment_Raw_data___Sheet13[[#This Row],[Customer Rating]], "")</f>
        <v/>
      </c>
      <c r="R215">
        <f>IF(EPe_BA_intern_assesment_Raw_data___Sheet13[[#This Row],[Customer Rating]]&lt;7,EPe_BA_intern_assesment_Raw_data___Sheet13[[#This Row],[Customer Rating]])</f>
        <v>2</v>
      </c>
    </row>
    <row r="216" spans="1:18" x14ac:dyDescent="0.3">
      <c r="A216" t="s">
        <v>244</v>
      </c>
      <c r="B216" t="s">
        <v>21</v>
      </c>
      <c r="C216" t="s">
        <v>24</v>
      </c>
      <c r="D216" s="1">
        <v>45944</v>
      </c>
      <c r="E216" s="1"/>
      <c r="F216" s="1"/>
      <c r="G216" s="1"/>
      <c r="H216" t="s">
        <v>25</v>
      </c>
      <c r="I216" t="s">
        <v>28</v>
      </c>
      <c r="J216" s="1"/>
      <c r="P216" t="b">
        <f>IF(EPe_BA_intern_assesment_Raw_data___Sheet13[[#This Row],[Customer Rating]]&gt;8,EPe_BA_intern_assesment_Raw_data___Sheet13[[#This Row],[Customer Rating]])</f>
        <v>0</v>
      </c>
      <c r="Q216" t="str">
        <f>IF(AND(EPe_BA_intern_assesment_Raw_data___Sheet13[[#This Row],[Customer Rating]]&gt;6,EPe_BA_intern_assesment_Raw_data___Sheet13[[#This Row],[Customer Rating]]&lt;9), EPe_BA_intern_assesment_Raw_data___Sheet13[[#This Row],[Customer Rating]], "")</f>
        <v/>
      </c>
      <c r="R216">
        <f>IF(EPe_BA_intern_assesment_Raw_data___Sheet13[[#This Row],[Customer Rating]]&lt;7,EPe_BA_intern_assesment_Raw_data___Sheet13[[#This Row],[Customer Rating]])</f>
        <v>0</v>
      </c>
    </row>
    <row r="217" spans="1:18" x14ac:dyDescent="0.3">
      <c r="A217" t="s">
        <v>245</v>
      </c>
      <c r="B217" t="s">
        <v>23</v>
      </c>
      <c r="C217" t="s">
        <v>24</v>
      </c>
      <c r="D217" s="1">
        <v>45940</v>
      </c>
      <c r="E217" s="1"/>
      <c r="F217" s="1"/>
      <c r="G217" s="1"/>
      <c r="H217" t="s">
        <v>25</v>
      </c>
      <c r="I217" t="s">
        <v>103</v>
      </c>
      <c r="J217" s="1"/>
      <c r="P217" t="b">
        <f>IF(EPe_BA_intern_assesment_Raw_data___Sheet13[[#This Row],[Customer Rating]]&gt;8,EPe_BA_intern_assesment_Raw_data___Sheet13[[#This Row],[Customer Rating]])</f>
        <v>0</v>
      </c>
      <c r="Q217" t="str">
        <f>IF(AND(EPe_BA_intern_assesment_Raw_data___Sheet13[[#This Row],[Customer Rating]]&gt;6,EPe_BA_intern_assesment_Raw_data___Sheet13[[#This Row],[Customer Rating]]&lt;9), EPe_BA_intern_assesment_Raw_data___Sheet13[[#This Row],[Customer Rating]], "")</f>
        <v/>
      </c>
      <c r="R217">
        <f>IF(EPe_BA_intern_assesment_Raw_data___Sheet13[[#This Row],[Customer Rating]]&lt;7,EPe_BA_intern_assesment_Raw_data___Sheet13[[#This Row],[Customer Rating]])</f>
        <v>0</v>
      </c>
    </row>
    <row r="218" spans="1:18" x14ac:dyDescent="0.3">
      <c r="A218" t="s">
        <v>246</v>
      </c>
      <c r="B218" t="s">
        <v>34</v>
      </c>
      <c r="C218" t="s">
        <v>32</v>
      </c>
      <c r="D218" s="1">
        <v>45949</v>
      </c>
      <c r="E218" s="1">
        <v>45954</v>
      </c>
      <c r="F218" s="1">
        <v>45957</v>
      </c>
      <c r="G218" s="1">
        <v>45960</v>
      </c>
      <c r="H218" t="s">
        <v>18</v>
      </c>
      <c r="I218" t="s">
        <v>19</v>
      </c>
      <c r="J218" s="1">
        <v>45982</v>
      </c>
      <c r="K218">
        <v>5</v>
      </c>
      <c r="L218">
        <v>3</v>
      </c>
      <c r="M218">
        <v>3</v>
      </c>
      <c r="N218">
        <v>0</v>
      </c>
      <c r="O218">
        <v>11</v>
      </c>
      <c r="P218" t="b">
        <f>IF(EPe_BA_intern_assesment_Raw_data___Sheet13[[#This Row],[Customer Rating]]&gt;8,EPe_BA_intern_assesment_Raw_data___Sheet13[[#This Row],[Customer Rating]])</f>
        <v>0</v>
      </c>
      <c r="Q218" t="str">
        <f>IF(AND(EPe_BA_intern_assesment_Raw_data___Sheet13[[#This Row],[Customer Rating]]&gt;6,EPe_BA_intern_assesment_Raw_data___Sheet13[[#This Row],[Customer Rating]]&lt;9), EPe_BA_intern_assesment_Raw_data___Sheet13[[#This Row],[Customer Rating]], "")</f>
        <v/>
      </c>
      <c r="R218">
        <f>IF(EPe_BA_intern_assesment_Raw_data___Sheet13[[#This Row],[Customer Rating]]&lt;7,EPe_BA_intern_assesment_Raw_data___Sheet13[[#This Row],[Customer Rating]])</f>
        <v>0</v>
      </c>
    </row>
    <row r="219" spans="1:18" x14ac:dyDescent="0.3">
      <c r="A219" t="s">
        <v>247</v>
      </c>
      <c r="B219" t="s">
        <v>21</v>
      </c>
      <c r="C219" t="s">
        <v>17</v>
      </c>
      <c r="D219" s="1">
        <v>45950</v>
      </c>
      <c r="E219" s="1">
        <v>45954</v>
      </c>
      <c r="F219" s="1">
        <v>45959</v>
      </c>
      <c r="G219" s="1">
        <v>45962</v>
      </c>
      <c r="H219" t="s">
        <v>25</v>
      </c>
      <c r="I219" t="s">
        <v>103</v>
      </c>
      <c r="J219" s="1"/>
      <c r="K219">
        <v>4</v>
      </c>
      <c r="L219">
        <v>5</v>
      </c>
      <c r="M219">
        <v>3</v>
      </c>
      <c r="O219">
        <v>12</v>
      </c>
      <c r="P219" t="b">
        <f>IF(EPe_BA_intern_assesment_Raw_data___Sheet13[[#This Row],[Customer Rating]]&gt;8,EPe_BA_intern_assesment_Raw_data___Sheet13[[#This Row],[Customer Rating]])</f>
        <v>0</v>
      </c>
      <c r="Q219" t="str">
        <f>IF(AND(EPe_BA_intern_assesment_Raw_data___Sheet13[[#This Row],[Customer Rating]]&gt;6,EPe_BA_intern_assesment_Raw_data___Sheet13[[#This Row],[Customer Rating]]&lt;9), EPe_BA_intern_assesment_Raw_data___Sheet13[[#This Row],[Customer Rating]], "")</f>
        <v/>
      </c>
      <c r="R219">
        <f>IF(EPe_BA_intern_assesment_Raw_data___Sheet13[[#This Row],[Customer Rating]]&lt;7,EPe_BA_intern_assesment_Raw_data___Sheet13[[#This Row],[Customer Rating]])</f>
        <v>0</v>
      </c>
    </row>
    <row r="220" spans="1:18" x14ac:dyDescent="0.3">
      <c r="A220" t="s">
        <v>248</v>
      </c>
      <c r="B220" t="s">
        <v>23</v>
      </c>
      <c r="C220" t="s">
        <v>24</v>
      </c>
      <c r="D220" s="1">
        <v>45932</v>
      </c>
      <c r="E220" s="1"/>
      <c r="F220" s="1"/>
      <c r="G220" s="1"/>
      <c r="H220" t="s">
        <v>25</v>
      </c>
      <c r="I220" t="s">
        <v>28</v>
      </c>
      <c r="J220" s="1"/>
      <c r="P220" t="b">
        <f>IF(EPe_BA_intern_assesment_Raw_data___Sheet13[[#This Row],[Customer Rating]]&gt;8,EPe_BA_intern_assesment_Raw_data___Sheet13[[#This Row],[Customer Rating]])</f>
        <v>0</v>
      </c>
      <c r="Q220" t="str">
        <f>IF(AND(EPe_BA_intern_assesment_Raw_data___Sheet13[[#This Row],[Customer Rating]]&gt;6,EPe_BA_intern_assesment_Raw_data___Sheet13[[#This Row],[Customer Rating]]&lt;9), EPe_BA_intern_assesment_Raw_data___Sheet13[[#This Row],[Customer Rating]], "")</f>
        <v/>
      </c>
      <c r="R220">
        <f>IF(EPe_BA_intern_assesment_Raw_data___Sheet13[[#This Row],[Customer Rating]]&lt;7,EPe_BA_intern_assesment_Raw_data___Sheet13[[#This Row],[Customer Rating]])</f>
        <v>0</v>
      </c>
    </row>
    <row r="221" spans="1:18" x14ac:dyDescent="0.3">
      <c r="A221" t="s">
        <v>249</v>
      </c>
      <c r="B221" t="s">
        <v>23</v>
      </c>
      <c r="C221" t="s">
        <v>24</v>
      </c>
      <c r="D221" s="1">
        <v>45950</v>
      </c>
      <c r="E221" s="1"/>
      <c r="F221" s="1"/>
      <c r="G221" s="1"/>
      <c r="H221" t="s">
        <v>25</v>
      </c>
      <c r="I221" t="s">
        <v>26</v>
      </c>
      <c r="J221" s="1"/>
      <c r="P221" t="b">
        <f>IF(EPe_BA_intern_assesment_Raw_data___Sheet13[[#This Row],[Customer Rating]]&gt;8,EPe_BA_intern_assesment_Raw_data___Sheet13[[#This Row],[Customer Rating]])</f>
        <v>0</v>
      </c>
      <c r="Q221" t="str">
        <f>IF(AND(EPe_BA_intern_assesment_Raw_data___Sheet13[[#This Row],[Customer Rating]]&gt;6,EPe_BA_intern_assesment_Raw_data___Sheet13[[#This Row],[Customer Rating]]&lt;9), EPe_BA_intern_assesment_Raw_data___Sheet13[[#This Row],[Customer Rating]], "")</f>
        <v/>
      </c>
      <c r="R221">
        <f>IF(EPe_BA_intern_assesment_Raw_data___Sheet13[[#This Row],[Customer Rating]]&lt;7,EPe_BA_intern_assesment_Raw_data___Sheet13[[#This Row],[Customer Rating]])</f>
        <v>0</v>
      </c>
    </row>
    <row r="222" spans="1:18" x14ac:dyDescent="0.3">
      <c r="A222" t="s">
        <v>250</v>
      </c>
      <c r="B222" t="s">
        <v>34</v>
      </c>
      <c r="C222" t="s">
        <v>24</v>
      </c>
      <c r="D222" s="1">
        <v>45961</v>
      </c>
      <c r="E222" s="1"/>
      <c r="F222" s="1"/>
      <c r="G222" s="1"/>
      <c r="H222" t="s">
        <v>25</v>
      </c>
      <c r="I222" t="s">
        <v>103</v>
      </c>
      <c r="J222" s="1"/>
      <c r="P222" t="b">
        <f>IF(EPe_BA_intern_assesment_Raw_data___Sheet13[[#This Row],[Customer Rating]]&gt;8,EPe_BA_intern_assesment_Raw_data___Sheet13[[#This Row],[Customer Rating]])</f>
        <v>0</v>
      </c>
      <c r="Q222" t="str">
        <f>IF(AND(EPe_BA_intern_assesment_Raw_data___Sheet13[[#This Row],[Customer Rating]]&gt;6,EPe_BA_intern_assesment_Raw_data___Sheet13[[#This Row],[Customer Rating]]&lt;9), EPe_BA_intern_assesment_Raw_data___Sheet13[[#This Row],[Customer Rating]], "")</f>
        <v/>
      </c>
      <c r="R222">
        <f>IF(EPe_BA_intern_assesment_Raw_data___Sheet13[[#This Row],[Customer Rating]]&lt;7,EPe_BA_intern_assesment_Raw_data___Sheet13[[#This Row],[Customer Rating]])</f>
        <v>0</v>
      </c>
    </row>
    <row r="223" spans="1:18" x14ac:dyDescent="0.3">
      <c r="A223" t="s">
        <v>251</v>
      </c>
      <c r="B223" t="s">
        <v>16</v>
      </c>
      <c r="C223" t="s">
        <v>17</v>
      </c>
      <c r="D223" s="1">
        <v>45954</v>
      </c>
      <c r="E223" s="1">
        <v>45959</v>
      </c>
      <c r="F223" s="1">
        <v>45961</v>
      </c>
      <c r="G223" s="1">
        <v>45963</v>
      </c>
      <c r="H223" t="s">
        <v>18</v>
      </c>
      <c r="I223" t="s">
        <v>19</v>
      </c>
      <c r="J223" s="1">
        <v>45991</v>
      </c>
      <c r="K223">
        <v>5</v>
      </c>
      <c r="L223">
        <v>2</v>
      </c>
      <c r="M223">
        <v>2</v>
      </c>
      <c r="N223">
        <v>3</v>
      </c>
      <c r="O223">
        <v>9</v>
      </c>
      <c r="P223" t="b">
        <f>IF(EPe_BA_intern_assesment_Raw_data___Sheet13[[#This Row],[Customer Rating]]&gt;8,EPe_BA_intern_assesment_Raw_data___Sheet13[[#This Row],[Customer Rating]])</f>
        <v>0</v>
      </c>
      <c r="Q223" t="str">
        <f>IF(AND(EPe_BA_intern_assesment_Raw_data___Sheet13[[#This Row],[Customer Rating]]&gt;6,EPe_BA_intern_assesment_Raw_data___Sheet13[[#This Row],[Customer Rating]]&lt;9), EPe_BA_intern_assesment_Raw_data___Sheet13[[#This Row],[Customer Rating]], "")</f>
        <v/>
      </c>
      <c r="R223">
        <f>IF(EPe_BA_intern_assesment_Raw_data___Sheet13[[#This Row],[Customer Rating]]&lt;7,EPe_BA_intern_assesment_Raw_data___Sheet13[[#This Row],[Customer Rating]])</f>
        <v>3</v>
      </c>
    </row>
    <row r="224" spans="1:18" x14ac:dyDescent="0.3">
      <c r="A224" t="s">
        <v>252</v>
      </c>
      <c r="B224" t="s">
        <v>16</v>
      </c>
      <c r="C224" t="s">
        <v>17</v>
      </c>
      <c r="D224" s="1">
        <v>45934</v>
      </c>
      <c r="E224" s="1">
        <v>45935</v>
      </c>
      <c r="F224" s="1">
        <v>45937</v>
      </c>
      <c r="G224" s="1">
        <v>45943</v>
      </c>
      <c r="H224" t="s">
        <v>18</v>
      </c>
      <c r="I224" t="s">
        <v>19</v>
      </c>
      <c r="J224" s="1">
        <v>45970</v>
      </c>
      <c r="K224">
        <v>1</v>
      </c>
      <c r="L224">
        <v>2</v>
      </c>
      <c r="M224">
        <v>6</v>
      </c>
      <c r="N224">
        <v>1</v>
      </c>
      <c r="O224">
        <v>9</v>
      </c>
      <c r="P224" t="b">
        <f>IF(EPe_BA_intern_assesment_Raw_data___Sheet13[[#This Row],[Customer Rating]]&gt;8,EPe_BA_intern_assesment_Raw_data___Sheet13[[#This Row],[Customer Rating]])</f>
        <v>0</v>
      </c>
      <c r="Q224" t="str">
        <f>IF(AND(EPe_BA_intern_assesment_Raw_data___Sheet13[[#This Row],[Customer Rating]]&gt;6,EPe_BA_intern_assesment_Raw_data___Sheet13[[#This Row],[Customer Rating]]&lt;9), EPe_BA_intern_assesment_Raw_data___Sheet13[[#This Row],[Customer Rating]], "")</f>
        <v/>
      </c>
      <c r="R224">
        <f>IF(EPe_BA_intern_assesment_Raw_data___Sheet13[[#This Row],[Customer Rating]]&lt;7,EPe_BA_intern_assesment_Raw_data___Sheet13[[#This Row],[Customer Rating]])</f>
        <v>1</v>
      </c>
    </row>
    <row r="225" spans="1:18" x14ac:dyDescent="0.3">
      <c r="A225" t="s">
        <v>253</v>
      </c>
      <c r="B225" t="s">
        <v>21</v>
      </c>
      <c r="C225" t="s">
        <v>17</v>
      </c>
      <c r="D225" s="1">
        <v>45961</v>
      </c>
      <c r="E225" s="1">
        <v>45965</v>
      </c>
      <c r="F225" s="1">
        <v>45970</v>
      </c>
      <c r="G225" s="1">
        <v>45974</v>
      </c>
      <c r="H225" t="s">
        <v>18</v>
      </c>
      <c r="I225" t="s">
        <v>19</v>
      </c>
      <c r="J225" s="1">
        <v>45999</v>
      </c>
      <c r="K225">
        <v>4</v>
      </c>
      <c r="L225">
        <v>5</v>
      </c>
      <c r="M225">
        <v>4</v>
      </c>
      <c r="N225">
        <v>7</v>
      </c>
      <c r="O225">
        <v>13</v>
      </c>
      <c r="P225" t="b">
        <f>IF(EPe_BA_intern_assesment_Raw_data___Sheet13[[#This Row],[Customer Rating]]&gt;8,EPe_BA_intern_assesment_Raw_data___Sheet13[[#This Row],[Customer Rating]])</f>
        <v>0</v>
      </c>
      <c r="Q225">
        <f>IF(AND(EPe_BA_intern_assesment_Raw_data___Sheet13[[#This Row],[Customer Rating]]&gt;6,EPe_BA_intern_assesment_Raw_data___Sheet13[[#This Row],[Customer Rating]]&lt;9), EPe_BA_intern_assesment_Raw_data___Sheet13[[#This Row],[Customer Rating]], "")</f>
        <v>7</v>
      </c>
      <c r="R225" t="b">
        <f>IF(EPe_BA_intern_assesment_Raw_data___Sheet13[[#This Row],[Customer Rating]]&lt;7,EPe_BA_intern_assesment_Raw_data___Sheet13[[#This Row],[Customer Rating]])</f>
        <v>0</v>
      </c>
    </row>
    <row r="226" spans="1:18" x14ac:dyDescent="0.3">
      <c r="A226" t="s">
        <v>254</v>
      </c>
      <c r="B226" t="s">
        <v>34</v>
      </c>
      <c r="C226" t="s">
        <v>17</v>
      </c>
      <c r="D226" s="1">
        <v>45955</v>
      </c>
      <c r="E226" s="1">
        <v>45958</v>
      </c>
      <c r="F226" s="1">
        <v>45962</v>
      </c>
      <c r="G226" s="1">
        <v>45968</v>
      </c>
      <c r="H226" t="s">
        <v>18</v>
      </c>
      <c r="I226" t="s">
        <v>19</v>
      </c>
      <c r="J226" s="1">
        <v>45982</v>
      </c>
      <c r="K226">
        <v>3</v>
      </c>
      <c r="L226">
        <v>4</v>
      </c>
      <c r="M226">
        <v>6</v>
      </c>
      <c r="N226">
        <v>3</v>
      </c>
      <c r="O226">
        <v>13</v>
      </c>
      <c r="P226" t="b">
        <f>IF(EPe_BA_intern_assesment_Raw_data___Sheet13[[#This Row],[Customer Rating]]&gt;8,EPe_BA_intern_assesment_Raw_data___Sheet13[[#This Row],[Customer Rating]])</f>
        <v>0</v>
      </c>
      <c r="Q226" t="str">
        <f>IF(AND(EPe_BA_intern_assesment_Raw_data___Sheet13[[#This Row],[Customer Rating]]&gt;6,EPe_BA_intern_assesment_Raw_data___Sheet13[[#This Row],[Customer Rating]]&lt;9), EPe_BA_intern_assesment_Raw_data___Sheet13[[#This Row],[Customer Rating]], "")</f>
        <v/>
      </c>
      <c r="R226">
        <f>IF(EPe_BA_intern_assesment_Raw_data___Sheet13[[#This Row],[Customer Rating]]&lt;7,EPe_BA_intern_assesment_Raw_data___Sheet13[[#This Row],[Customer Rating]])</f>
        <v>3</v>
      </c>
    </row>
    <row r="227" spans="1:18" x14ac:dyDescent="0.3">
      <c r="A227" t="s">
        <v>255</v>
      </c>
      <c r="B227" t="s">
        <v>16</v>
      </c>
      <c r="C227" t="s">
        <v>17</v>
      </c>
      <c r="D227" s="1">
        <v>45937</v>
      </c>
      <c r="E227" s="1">
        <v>45940</v>
      </c>
      <c r="F227" s="1">
        <v>45944</v>
      </c>
      <c r="G227" s="1">
        <v>45948</v>
      </c>
      <c r="H227" t="s">
        <v>25</v>
      </c>
      <c r="I227" t="s">
        <v>26</v>
      </c>
      <c r="J227" s="1"/>
      <c r="K227">
        <v>3</v>
      </c>
      <c r="L227">
        <v>4</v>
      </c>
      <c r="M227">
        <v>4</v>
      </c>
      <c r="O227">
        <v>11</v>
      </c>
      <c r="P227" t="b">
        <f>IF(EPe_BA_intern_assesment_Raw_data___Sheet13[[#This Row],[Customer Rating]]&gt;8,EPe_BA_intern_assesment_Raw_data___Sheet13[[#This Row],[Customer Rating]])</f>
        <v>0</v>
      </c>
      <c r="Q227" t="str">
        <f>IF(AND(EPe_BA_intern_assesment_Raw_data___Sheet13[[#This Row],[Customer Rating]]&gt;6,EPe_BA_intern_assesment_Raw_data___Sheet13[[#This Row],[Customer Rating]]&lt;9), EPe_BA_intern_assesment_Raw_data___Sheet13[[#This Row],[Customer Rating]], "")</f>
        <v/>
      </c>
      <c r="R227">
        <f>IF(EPe_BA_intern_assesment_Raw_data___Sheet13[[#This Row],[Customer Rating]]&lt;7,EPe_BA_intern_assesment_Raw_data___Sheet13[[#This Row],[Customer Rating]])</f>
        <v>0</v>
      </c>
    </row>
    <row r="228" spans="1:18" x14ac:dyDescent="0.3">
      <c r="A228" t="s">
        <v>256</v>
      </c>
      <c r="B228" t="s">
        <v>34</v>
      </c>
      <c r="C228" t="s">
        <v>17</v>
      </c>
      <c r="D228" s="1">
        <v>45951</v>
      </c>
      <c r="E228" s="1">
        <v>45953</v>
      </c>
      <c r="F228" s="1">
        <v>45958</v>
      </c>
      <c r="G228" s="1">
        <v>45964</v>
      </c>
      <c r="H228" t="s">
        <v>25</v>
      </c>
      <c r="I228" t="s">
        <v>35</v>
      </c>
      <c r="J228" s="1"/>
      <c r="K228">
        <v>2</v>
      </c>
      <c r="L228">
        <v>5</v>
      </c>
      <c r="M228">
        <v>6</v>
      </c>
      <c r="O228">
        <v>13</v>
      </c>
      <c r="P228" t="b">
        <f>IF(EPe_BA_intern_assesment_Raw_data___Sheet13[[#This Row],[Customer Rating]]&gt;8,EPe_BA_intern_assesment_Raw_data___Sheet13[[#This Row],[Customer Rating]])</f>
        <v>0</v>
      </c>
      <c r="Q228" t="str">
        <f>IF(AND(EPe_BA_intern_assesment_Raw_data___Sheet13[[#This Row],[Customer Rating]]&gt;6,EPe_BA_intern_assesment_Raw_data___Sheet13[[#This Row],[Customer Rating]]&lt;9), EPe_BA_intern_assesment_Raw_data___Sheet13[[#This Row],[Customer Rating]], "")</f>
        <v/>
      </c>
      <c r="R228">
        <f>IF(EPe_BA_intern_assesment_Raw_data___Sheet13[[#This Row],[Customer Rating]]&lt;7,EPe_BA_intern_assesment_Raw_data___Sheet13[[#This Row],[Customer Rating]])</f>
        <v>0</v>
      </c>
    </row>
    <row r="229" spans="1:18" x14ac:dyDescent="0.3">
      <c r="A229" t="s">
        <v>257</v>
      </c>
      <c r="B229" t="s">
        <v>16</v>
      </c>
      <c r="C229" t="s">
        <v>32</v>
      </c>
      <c r="D229" s="1">
        <v>45937</v>
      </c>
      <c r="E229" s="1">
        <v>45940</v>
      </c>
      <c r="F229" s="1">
        <v>45943</v>
      </c>
      <c r="G229" s="1">
        <v>45949</v>
      </c>
      <c r="H229" t="s">
        <v>18</v>
      </c>
      <c r="I229" t="s">
        <v>19</v>
      </c>
      <c r="J229" s="1">
        <v>45960</v>
      </c>
      <c r="K229">
        <v>3</v>
      </c>
      <c r="L229">
        <v>3</v>
      </c>
      <c r="M229">
        <v>6</v>
      </c>
      <c r="N229">
        <v>4</v>
      </c>
      <c r="O229">
        <v>12</v>
      </c>
      <c r="P229" t="b">
        <f>IF(EPe_BA_intern_assesment_Raw_data___Sheet13[[#This Row],[Customer Rating]]&gt;8,EPe_BA_intern_assesment_Raw_data___Sheet13[[#This Row],[Customer Rating]])</f>
        <v>0</v>
      </c>
      <c r="Q229" t="str">
        <f>IF(AND(EPe_BA_intern_assesment_Raw_data___Sheet13[[#This Row],[Customer Rating]]&gt;6,EPe_BA_intern_assesment_Raw_data___Sheet13[[#This Row],[Customer Rating]]&lt;9), EPe_BA_intern_assesment_Raw_data___Sheet13[[#This Row],[Customer Rating]], "")</f>
        <v/>
      </c>
      <c r="R229">
        <f>IF(EPe_BA_intern_assesment_Raw_data___Sheet13[[#This Row],[Customer Rating]]&lt;7,EPe_BA_intern_assesment_Raw_data___Sheet13[[#This Row],[Customer Rating]])</f>
        <v>4</v>
      </c>
    </row>
    <row r="230" spans="1:18" x14ac:dyDescent="0.3">
      <c r="A230" t="s">
        <v>258</v>
      </c>
      <c r="B230" t="s">
        <v>23</v>
      </c>
      <c r="C230" t="s">
        <v>24</v>
      </c>
      <c r="D230" s="1">
        <v>45939</v>
      </c>
      <c r="E230" s="1"/>
      <c r="F230" s="1"/>
      <c r="G230" s="1"/>
      <c r="H230" t="s">
        <v>25</v>
      </c>
      <c r="I230" t="s">
        <v>26</v>
      </c>
      <c r="J230" s="1"/>
      <c r="P230" t="b">
        <f>IF(EPe_BA_intern_assesment_Raw_data___Sheet13[[#This Row],[Customer Rating]]&gt;8,EPe_BA_intern_assesment_Raw_data___Sheet13[[#This Row],[Customer Rating]])</f>
        <v>0</v>
      </c>
      <c r="Q230" t="str">
        <f>IF(AND(EPe_BA_intern_assesment_Raw_data___Sheet13[[#This Row],[Customer Rating]]&gt;6,EPe_BA_intern_assesment_Raw_data___Sheet13[[#This Row],[Customer Rating]]&lt;9), EPe_BA_intern_assesment_Raw_data___Sheet13[[#This Row],[Customer Rating]], "")</f>
        <v/>
      </c>
      <c r="R230">
        <f>IF(EPe_BA_intern_assesment_Raw_data___Sheet13[[#This Row],[Customer Rating]]&lt;7,EPe_BA_intern_assesment_Raw_data___Sheet13[[#This Row],[Customer Rating]])</f>
        <v>0</v>
      </c>
    </row>
    <row r="231" spans="1:18" x14ac:dyDescent="0.3">
      <c r="A231" t="s">
        <v>259</v>
      </c>
      <c r="B231" t="s">
        <v>16</v>
      </c>
      <c r="C231" t="s">
        <v>17</v>
      </c>
      <c r="D231" s="1">
        <v>45952</v>
      </c>
      <c r="E231" s="1">
        <v>45954</v>
      </c>
      <c r="F231" s="1">
        <v>45955</v>
      </c>
      <c r="G231" s="1">
        <v>45958</v>
      </c>
      <c r="H231" t="s">
        <v>18</v>
      </c>
      <c r="I231" t="s">
        <v>19</v>
      </c>
      <c r="J231" s="1">
        <v>45979</v>
      </c>
      <c r="K231">
        <v>2</v>
      </c>
      <c r="L231">
        <v>1</v>
      </c>
      <c r="M231">
        <v>3</v>
      </c>
      <c r="N231">
        <v>2</v>
      </c>
      <c r="O231">
        <v>6</v>
      </c>
      <c r="P231" t="b">
        <f>IF(EPe_BA_intern_assesment_Raw_data___Sheet13[[#This Row],[Customer Rating]]&gt;8,EPe_BA_intern_assesment_Raw_data___Sheet13[[#This Row],[Customer Rating]])</f>
        <v>0</v>
      </c>
      <c r="Q231" t="str">
        <f>IF(AND(EPe_BA_intern_assesment_Raw_data___Sheet13[[#This Row],[Customer Rating]]&gt;6,EPe_BA_intern_assesment_Raw_data___Sheet13[[#This Row],[Customer Rating]]&lt;9), EPe_BA_intern_assesment_Raw_data___Sheet13[[#This Row],[Customer Rating]], "")</f>
        <v/>
      </c>
      <c r="R231">
        <f>IF(EPe_BA_intern_assesment_Raw_data___Sheet13[[#This Row],[Customer Rating]]&lt;7,EPe_BA_intern_assesment_Raw_data___Sheet13[[#This Row],[Customer Rating]])</f>
        <v>2</v>
      </c>
    </row>
    <row r="232" spans="1:18" x14ac:dyDescent="0.3">
      <c r="A232" t="s">
        <v>260</v>
      </c>
      <c r="B232" t="s">
        <v>34</v>
      </c>
      <c r="C232" t="s">
        <v>17</v>
      </c>
      <c r="D232" s="1">
        <v>45933</v>
      </c>
      <c r="E232" s="1">
        <v>45934</v>
      </c>
      <c r="F232" s="1">
        <v>45938</v>
      </c>
      <c r="G232" s="1">
        <v>45942</v>
      </c>
      <c r="H232" t="s">
        <v>18</v>
      </c>
      <c r="I232" t="s">
        <v>19</v>
      </c>
      <c r="J232" s="1">
        <v>45952</v>
      </c>
      <c r="K232">
        <v>1</v>
      </c>
      <c r="L232">
        <v>4</v>
      </c>
      <c r="M232">
        <v>4</v>
      </c>
      <c r="N232">
        <v>2</v>
      </c>
      <c r="O232">
        <v>9</v>
      </c>
      <c r="P232" t="b">
        <f>IF(EPe_BA_intern_assesment_Raw_data___Sheet13[[#This Row],[Customer Rating]]&gt;8,EPe_BA_intern_assesment_Raw_data___Sheet13[[#This Row],[Customer Rating]])</f>
        <v>0</v>
      </c>
      <c r="Q232" t="str">
        <f>IF(AND(EPe_BA_intern_assesment_Raw_data___Sheet13[[#This Row],[Customer Rating]]&gt;6,EPe_BA_intern_assesment_Raw_data___Sheet13[[#This Row],[Customer Rating]]&lt;9), EPe_BA_intern_assesment_Raw_data___Sheet13[[#This Row],[Customer Rating]], "")</f>
        <v/>
      </c>
      <c r="R232">
        <f>IF(EPe_BA_intern_assesment_Raw_data___Sheet13[[#This Row],[Customer Rating]]&lt;7,EPe_BA_intern_assesment_Raw_data___Sheet13[[#This Row],[Customer Rating]])</f>
        <v>2</v>
      </c>
    </row>
    <row r="233" spans="1:18" x14ac:dyDescent="0.3">
      <c r="A233" t="s">
        <v>261</v>
      </c>
      <c r="B233" t="s">
        <v>23</v>
      </c>
      <c r="C233" t="s">
        <v>17</v>
      </c>
      <c r="D233" s="1">
        <v>45936</v>
      </c>
      <c r="E233" s="1">
        <v>45941</v>
      </c>
      <c r="F233" s="1">
        <v>45942</v>
      </c>
      <c r="G233" s="1">
        <v>45949</v>
      </c>
      <c r="H233" t="s">
        <v>18</v>
      </c>
      <c r="I233" t="s">
        <v>19</v>
      </c>
      <c r="J233" s="1">
        <v>45972</v>
      </c>
      <c r="K233">
        <v>5</v>
      </c>
      <c r="L233">
        <v>1</v>
      </c>
      <c r="M233">
        <v>7</v>
      </c>
      <c r="N233">
        <v>8</v>
      </c>
      <c r="O233">
        <v>13</v>
      </c>
      <c r="P233" t="b">
        <f>IF(EPe_BA_intern_assesment_Raw_data___Sheet13[[#This Row],[Customer Rating]]&gt;8,EPe_BA_intern_assesment_Raw_data___Sheet13[[#This Row],[Customer Rating]])</f>
        <v>0</v>
      </c>
      <c r="Q233">
        <f>IF(AND(EPe_BA_intern_assesment_Raw_data___Sheet13[[#This Row],[Customer Rating]]&gt;6,EPe_BA_intern_assesment_Raw_data___Sheet13[[#This Row],[Customer Rating]]&lt;9), EPe_BA_intern_assesment_Raw_data___Sheet13[[#This Row],[Customer Rating]], "")</f>
        <v>8</v>
      </c>
      <c r="R233" t="b">
        <f>IF(EPe_BA_intern_assesment_Raw_data___Sheet13[[#This Row],[Customer Rating]]&lt;7,EPe_BA_intern_assesment_Raw_data___Sheet13[[#This Row],[Customer Rating]])</f>
        <v>0</v>
      </c>
    </row>
    <row r="234" spans="1:18" x14ac:dyDescent="0.3">
      <c r="A234" t="s">
        <v>262</v>
      </c>
      <c r="B234" t="s">
        <v>23</v>
      </c>
      <c r="C234" t="s">
        <v>17</v>
      </c>
      <c r="D234" s="1">
        <v>45938</v>
      </c>
      <c r="E234" s="1">
        <v>45939</v>
      </c>
      <c r="F234" s="1">
        <v>45941</v>
      </c>
      <c r="G234" s="1">
        <v>45945</v>
      </c>
      <c r="H234" t="s">
        <v>25</v>
      </c>
      <c r="I234" t="s">
        <v>65</v>
      </c>
      <c r="J234" s="1"/>
      <c r="K234">
        <v>1</v>
      </c>
      <c r="L234">
        <v>2</v>
      </c>
      <c r="M234">
        <v>4</v>
      </c>
      <c r="O234">
        <v>7</v>
      </c>
      <c r="P234" t="b">
        <f>IF(EPe_BA_intern_assesment_Raw_data___Sheet13[[#This Row],[Customer Rating]]&gt;8,EPe_BA_intern_assesment_Raw_data___Sheet13[[#This Row],[Customer Rating]])</f>
        <v>0</v>
      </c>
      <c r="Q234" t="str">
        <f>IF(AND(EPe_BA_intern_assesment_Raw_data___Sheet13[[#This Row],[Customer Rating]]&gt;6,EPe_BA_intern_assesment_Raw_data___Sheet13[[#This Row],[Customer Rating]]&lt;9), EPe_BA_intern_assesment_Raw_data___Sheet13[[#This Row],[Customer Rating]], "")</f>
        <v/>
      </c>
      <c r="R234">
        <f>IF(EPe_BA_intern_assesment_Raw_data___Sheet13[[#This Row],[Customer Rating]]&lt;7,EPe_BA_intern_assesment_Raw_data___Sheet13[[#This Row],[Customer Rating]])</f>
        <v>0</v>
      </c>
    </row>
    <row r="235" spans="1:18" x14ac:dyDescent="0.3">
      <c r="A235" t="s">
        <v>263</v>
      </c>
      <c r="B235" t="s">
        <v>23</v>
      </c>
      <c r="C235" t="s">
        <v>32</v>
      </c>
      <c r="D235" s="1">
        <v>45936</v>
      </c>
      <c r="E235" s="1">
        <v>45941</v>
      </c>
      <c r="F235" s="1">
        <v>45943</v>
      </c>
      <c r="G235" s="1">
        <v>45947</v>
      </c>
      <c r="H235" t="s">
        <v>18</v>
      </c>
      <c r="I235" t="s">
        <v>19</v>
      </c>
      <c r="J235" s="1">
        <v>45959</v>
      </c>
      <c r="K235">
        <v>5</v>
      </c>
      <c r="L235">
        <v>2</v>
      </c>
      <c r="M235">
        <v>4</v>
      </c>
      <c r="N235">
        <v>9</v>
      </c>
      <c r="O235">
        <v>11</v>
      </c>
      <c r="P235">
        <f>IF(EPe_BA_intern_assesment_Raw_data___Sheet13[[#This Row],[Customer Rating]]&gt;8,EPe_BA_intern_assesment_Raw_data___Sheet13[[#This Row],[Customer Rating]])</f>
        <v>9</v>
      </c>
      <c r="Q235" t="str">
        <f>IF(AND(EPe_BA_intern_assesment_Raw_data___Sheet13[[#This Row],[Customer Rating]]&gt;6,EPe_BA_intern_assesment_Raw_data___Sheet13[[#This Row],[Customer Rating]]&lt;9), EPe_BA_intern_assesment_Raw_data___Sheet13[[#This Row],[Customer Rating]], "")</f>
        <v/>
      </c>
      <c r="R235" t="b">
        <f>IF(EPe_BA_intern_assesment_Raw_data___Sheet13[[#This Row],[Customer Rating]]&lt;7,EPe_BA_intern_assesment_Raw_data___Sheet13[[#This Row],[Customer Rating]])</f>
        <v>0</v>
      </c>
    </row>
    <row r="236" spans="1:18" x14ac:dyDescent="0.3">
      <c r="A236" t="s">
        <v>264</v>
      </c>
      <c r="B236" t="s">
        <v>34</v>
      </c>
      <c r="C236" t="s">
        <v>32</v>
      </c>
      <c r="D236" s="1">
        <v>45948</v>
      </c>
      <c r="E236" s="1">
        <v>45953</v>
      </c>
      <c r="F236" s="1">
        <v>45957</v>
      </c>
      <c r="G236" s="1">
        <v>45963</v>
      </c>
      <c r="H236" t="s">
        <v>18</v>
      </c>
      <c r="I236" t="s">
        <v>19</v>
      </c>
      <c r="J236" s="1">
        <v>45982</v>
      </c>
      <c r="K236">
        <v>5</v>
      </c>
      <c r="L236">
        <v>4</v>
      </c>
      <c r="M236">
        <v>6</v>
      </c>
      <c r="N236">
        <v>4</v>
      </c>
      <c r="O236">
        <v>15</v>
      </c>
      <c r="P236" t="b">
        <f>IF(EPe_BA_intern_assesment_Raw_data___Sheet13[[#This Row],[Customer Rating]]&gt;8,EPe_BA_intern_assesment_Raw_data___Sheet13[[#This Row],[Customer Rating]])</f>
        <v>0</v>
      </c>
      <c r="Q236" t="str">
        <f>IF(AND(EPe_BA_intern_assesment_Raw_data___Sheet13[[#This Row],[Customer Rating]]&gt;6,EPe_BA_intern_assesment_Raw_data___Sheet13[[#This Row],[Customer Rating]]&lt;9), EPe_BA_intern_assesment_Raw_data___Sheet13[[#This Row],[Customer Rating]], "")</f>
        <v/>
      </c>
      <c r="R236">
        <f>IF(EPe_BA_intern_assesment_Raw_data___Sheet13[[#This Row],[Customer Rating]]&lt;7,EPe_BA_intern_assesment_Raw_data___Sheet13[[#This Row],[Customer Rating]])</f>
        <v>4</v>
      </c>
    </row>
    <row r="237" spans="1:18" x14ac:dyDescent="0.3">
      <c r="A237" t="s">
        <v>265</v>
      </c>
      <c r="B237" t="s">
        <v>21</v>
      </c>
      <c r="C237" t="s">
        <v>32</v>
      </c>
      <c r="D237" s="1">
        <v>45933</v>
      </c>
      <c r="E237" s="1">
        <v>45935</v>
      </c>
      <c r="F237" s="1">
        <v>45938</v>
      </c>
      <c r="G237" s="1">
        <v>45942</v>
      </c>
      <c r="H237" t="s">
        <v>18</v>
      </c>
      <c r="I237" t="s">
        <v>19</v>
      </c>
      <c r="J237" s="1">
        <v>45972</v>
      </c>
      <c r="K237">
        <v>2</v>
      </c>
      <c r="L237">
        <v>3</v>
      </c>
      <c r="M237">
        <v>4</v>
      </c>
      <c r="N237">
        <v>7</v>
      </c>
      <c r="O237">
        <v>9</v>
      </c>
      <c r="P237" t="b">
        <f>IF(EPe_BA_intern_assesment_Raw_data___Sheet13[[#This Row],[Customer Rating]]&gt;8,EPe_BA_intern_assesment_Raw_data___Sheet13[[#This Row],[Customer Rating]])</f>
        <v>0</v>
      </c>
      <c r="Q237">
        <f>IF(AND(EPe_BA_intern_assesment_Raw_data___Sheet13[[#This Row],[Customer Rating]]&gt;6,EPe_BA_intern_assesment_Raw_data___Sheet13[[#This Row],[Customer Rating]]&lt;9), EPe_BA_intern_assesment_Raw_data___Sheet13[[#This Row],[Customer Rating]], "")</f>
        <v>7</v>
      </c>
      <c r="R237" t="b">
        <f>IF(EPe_BA_intern_assesment_Raw_data___Sheet13[[#This Row],[Customer Rating]]&lt;7,EPe_BA_intern_assesment_Raw_data___Sheet13[[#This Row],[Customer Rating]])</f>
        <v>0</v>
      </c>
    </row>
    <row r="238" spans="1:18" x14ac:dyDescent="0.3">
      <c r="A238" t="s">
        <v>266</v>
      </c>
      <c r="B238" t="s">
        <v>21</v>
      </c>
      <c r="C238" t="s">
        <v>32</v>
      </c>
      <c r="D238" s="1">
        <v>45936</v>
      </c>
      <c r="E238" s="1">
        <v>45939</v>
      </c>
      <c r="F238" s="1">
        <v>45941</v>
      </c>
      <c r="G238" s="1">
        <v>45947</v>
      </c>
      <c r="H238" t="s">
        <v>18</v>
      </c>
      <c r="I238" t="s">
        <v>19</v>
      </c>
      <c r="J238" s="1">
        <v>45976</v>
      </c>
      <c r="K238">
        <v>3</v>
      </c>
      <c r="L238">
        <v>2</v>
      </c>
      <c r="M238">
        <v>6</v>
      </c>
      <c r="N238">
        <v>7</v>
      </c>
      <c r="O238">
        <v>11</v>
      </c>
      <c r="P238" t="b">
        <f>IF(EPe_BA_intern_assesment_Raw_data___Sheet13[[#This Row],[Customer Rating]]&gt;8,EPe_BA_intern_assesment_Raw_data___Sheet13[[#This Row],[Customer Rating]])</f>
        <v>0</v>
      </c>
      <c r="Q238">
        <f>IF(AND(EPe_BA_intern_assesment_Raw_data___Sheet13[[#This Row],[Customer Rating]]&gt;6,EPe_BA_intern_assesment_Raw_data___Sheet13[[#This Row],[Customer Rating]]&lt;9), EPe_BA_intern_assesment_Raw_data___Sheet13[[#This Row],[Customer Rating]], "")</f>
        <v>7</v>
      </c>
      <c r="R238" t="b">
        <f>IF(EPe_BA_intern_assesment_Raw_data___Sheet13[[#This Row],[Customer Rating]]&lt;7,EPe_BA_intern_assesment_Raw_data___Sheet13[[#This Row],[Customer Rating]])</f>
        <v>0</v>
      </c>
    </row>
    <row r="239" spans="1:18" x14ac:dyDescent="0.3">
      <c r="A239" t="s">
        <v>267</v>
      </c>
      <c r="B239" t="s">
        <v>21</v>
      </c>
      <c r="C239" t="s">
        <v>17</v>
      </c>
      <c r="D239" s="1">
        <v>45931</v>
      </c>
      <c r="E239" s="1">
        <v>45934</v>
      </c>
      <c r="F239" s="1">
        <v>45935</v>
      </c>
      <c r="G239" s="1">
        <v>45942</v>
      </c>
      <c r="H239" t="s">
        <v>18</v>
      </c>
      <c r="I239" t="s">
        <v>19</v>
      </c>
      <c r="J239" s="1">
        <v>45967</v>
      </c>
      <c r="K239">
        <v>3</v>
      </c>
      <c r="L239">
        <v>1</v>
      </c>
      <c r="M239">
        <v>7</v>
      </c>
      <c r="N239">
        <v>0</v>
      </c>
      <c r="O239">
        <v>11</v>
      </c>
      <c r="P239" t="b">
        <f>IF(EPe_BA_intern_assesment_Raw_data___Sheet13[[#This Row],[Customer Rating]]&gt;8,EPe_BA_intern_assesment_Raw_data___Sheet13[[#This Row],[Customer Rating]])</f>
        <v>0</v>
      </c>
      <c r="Q239" t="str">
        <f>IF(AND(EPe_BA_intern_assesment_Raw_data___Sheet13[[#This Row],[Customer Rating]]&gt;6,EPe_BA_intern_assesment_Raw_data___Sheet13[[#This Row],[Customer Rating]]&lt;9), EPe_BA_intern_assesment_Raw_data___Sheet13[[#This Row],[Customer Rating]], "")</f>
        <v/>
      </c>
      <c r="R239">
        <f>IF(EPe_BA_intern_assesment_Raw_data___Sheet13[[#This Row],[Customer Rating]]&lt;7,EPe_BA_intern_assesment_Raw_data___Sheet13[[#This Row],[Customer Rating]])</f>
        <v>0</v>
      </c>
    </row>
    <row r="240" spans="1:18" x14ac:dyDescent="0.3">
      <c r="A240" t="s">
        <v>268</v>
      </c>
      <c r="B240" t="s">
        <v>34</v>
      </c>
      <c r="C240" t="s">
        <v>17</v>
      </c>
      <c r="D240" s="1">
        <v>45944</v>
      </c>
      <c r="E240" s="1">
        <v>45946</v>
      </c>
      <c r="F240" s="1">
        <v>45949</v>
      </c>
      <c r="G240" s="1">
        <v>45951</v>
      </c>
      <c r="H240" t="s">
        <v>18</v>
      </c>
      <c r="I240" t="s">
        <v>19</v>
      </c>
      <c r="J240" s="1">
        <v>45967</v>
      </c>
      <c r="K240">
        <v>2</v>
      </c>
      <c r="L240">
        <v>3</v>
      </c>
      <c r="M240">
        <v>2</v>
      </c>
      <c r="N240">
        <v>1</v>
      </c>
      <c r="O240">
        <v>7</v>
      </c>
      <c r="P240" t="b">
        <f>IF(EPe_BA_intern_assesment_Raw_data___Sheet13[[#This Row],[Customer Rating]]&gt;8,EPe_BA_intern_assesment_Raw_data___Sheet13[[#This Row],[Customer Rating]])</f>
        <v>0</v>
      </c>
      <c r="Q240" t="str">
        <f>IF(AND(EPe_BA_intern_assesment_Raw_data___Sheet13[[#This Row],[Customer Rating]]&gt;6,EPe_BA_intern_assesment_Raw_data___Sheet13[[#This Row],[Customer Rating]]&lt;9), EPe_BA_intern_assesment_Raw_data___Sheet13[[#This Row],[Customer Rating]], "")</f>
        <v/>
      </c>
      <c r="R240">
        <f>IF(EPe_BA_intern_assesment_Raw_data___Sheet13[[#This Row],[Customer Rating]]&lt;7,EPe_BA_intern_assesment_Raw_data___Sheet13[[#This Row],[Customer Rating]])</f>
        <v>1</v>
      </c>
    </row>
    <row r="241" spans="1:18" x14ac:dyDescent="0.3">
      <c r="A241" t="s">
        <v>269</v>
      </c>
      <c r="B241" t="s">
        <v>23</v>
      </c>
      <c r="C241" t="s">
        <v>32</v>
      </c>
      <c r="D241" s="1">
        <v>45945</v>
      </c>
      <c r="E241" s="1">
        <v>45947</v>
      </c>
      <c r="F241" s="1">
        <v>45951</v>
      </c>
      <c r="G241" s="1">
        <v>45954</v>
      </c>
      <c r="H241" t="s">
        <v>25</v>
      </c>
      <c r="I241" t="s">
        <v>65</v>
      </c>
      <c r="J241" s="1"/>
      <c r="K241">
        <v>2</v>
      </c>
      <c r="L241">
        <v>4</v>
      </c>
      <c r="M241">
        <v>3</v>
      </c>
      <c r="O241">
        <v>9</v>
      </c>
      <c r="P241" t="b">
        <f>IF(EPe_BA_intern_assesment_Raw_data___Sheet13[[#This Row],[Customer Rating]]&gt;8,EPe_BA_intern_assesment_Raw_data___Sheet13[[#This Row],[Customer Rating]])</f>
        <v>0</v>
      </c>
      <c r="Q241" t="str">
        <f>IF(AND(EPe_BA_intern_assesment_Raw_data___Sheet13[[#This Row],[Customer Rating]]&gt;6,EPe_BA_intern_assesment_Raw_data___Sheet13[[#This Row],[Customer Rating]]&lt;9), EPe_BA_intern_assesment_Raw_data___Sheet13[[#This Row],[Customer Rating]], "")</f>
        <v/>
      </c>
      <c r="R241">
        <f>IF(EPe_BA_intern_assesment_Raw_data___Sheet13[[#This Row],[Customer Rating]]&lt;7,EPe_BA_intern_assesment_Raw_data___Sheet13[[#This Row],[Customer Rating]])</f>
        <v>0</v>
      </c>
    </row>
    <row r="242" spans="1:18" x14ac:dyDescent="0.3">
      <c r="A242" t="s">
        <v>270</v>
      </c>
      <c r="B242" t="s">
        <v>21</v>
      </c>
      <c r="C242" t="s">
        <v>17</v>
      </c>
      <c r="D242" s="1">
        <v>45953</v>
      </c>
      <c r="E242" s="1">
        <v>45954</v>
      </c>
      <c r="F242" s="1">
        <v>45956</v>
      </c>
      <c r="G242" s="1">
        <v>45961</v>
      </c>
      <c r="H242" t="s">
        <v>18</v>
      </c>
      <c r="I242" t="s">
        <v>19</v>
      </c>
      <c r="J242" s="1">
        <v>45974</v>
      </c>
      <c r="K242">
        <v>1</v>
      </c>
      <c r="L242">
        <v>2</v>
      </c>
      <c r="M242">
        <v>5</v>
      </c>
      <c r="N242">
        <v>9</v>
      </c>
      <c r="O242">
        <v>8</v>
      </c>
      <c r="P242">
        <f>IF(EPe_BA_intern_assesment_Raw_data___Sheet13[[#This Row],[Customer Rating]]&gt;8,EPe_BA_intern_assesment_Raw_data___Sheet13[[#This Row],[Customer Rating]])</f>
        <v>9</v>
      </c>
      <c r="Q242" t="str">
        <f>IF(AND(EPe_BA_intern_assesment_Raw_data___Sheet13[[#This Row],[Customer Rating]]&gt;6,EPe_BA_intern_assesment_Raw_data___Sheet13[[#This Row],[Customer Rating]]&lt;9), EPe_BA_intern_assesment_Raw_data___Sheet13[[#This Row],[Customer Rating]], "")</f>
        <v/>
      </c>
      <c r="R242" t="b">
        <f>IF(EPe_BA_intern_assesment_Raw_data___Sheet13[[#This Row],[Customer Rating]]&lt;7,EPe_BA_intern_assesment_Raw_data___Sheet13[[#This Row],[Customer Rating]])</f>
        <v>0</v>
      </c>
    </row>
    <row r="243" spans="1:18" x14ac:dyDescent="0.3">
      <c r="A243" t="s">
        <v>271</v>
      </c>
      <c r="B243" t="s">
        <v>34</v>
      </c>
      <c r="C243" t="s">
        <v>32</v>
      </c>
      <c r="D243" s="1">
        <v>45950</v>
      </c>
      <c r="E243" s="1">
        <v>45952</v>
      </c>
      <c r="F243" s="1">
        <v>45956</v>
      </c>
      <c r="G243" s="1">
        <v>45958</v>
      </c>
      <c r="H243" t="s">
        <v>18</v>
      </c>
      <c r="I243" t="s">
        <v>19</v>
      </c>
      <c r="J243" s="1">
        <v>45968</v>
      </c>
      <c r="K243">
        <v>2</v>
      </c>
      <c r="L243">
        <v>4</v>
      </c>
      <c r="M243">
        <v>2</v>
      </c>
      <c r="N243">
        <v>1</v>
      </c>
      <c r="O243">
        <v>8</v>
      </c>
      <c r="P243" t="b">
        <f>IF(EPe_BA_intern_assesment_Raw_data___Sheet13[[#This Row],[Customer Rating]]&gt;8,EPe_BA_intern_assesment_Raw_data___Sheet13[[#This Row],[Customer Rating]])</f>
        <v>0</v>
      </c>
      <c r="Q243" t="str">
        <f>IF(AND(EPe_BA_intern_assesment_Raw_data___Sheet13[[#This Row],[Customer Rating]]&gt;6,EPe_BA_intern_assesment_Raw_data___Sheet13[[#This Row],[Customer Rating]]&lt;9), EPe_BA_intern_assesment_Raw_data___Sheet13[[#This Row],[Customer Rating]], "")</f>
        <v/>
      </c>
      <c r="R243">
        <f>IF(EPe_BA_intern_assesment_Raw_data___Sheet13[[#This Row],[Customer Rating]]&lt;7,EPe_BA_intern_assesment_Raw_data___Sheet13[[#This Row],[Customer Rating]])</f>
        <v>1</v>
      </c>
    </row>
    <row r="244" spans="1:18" x14ac:dyDescent="0.3">
      <c r="A244" t="s">
        <v>272</v>
      </c>
      <c r="B244" t="s">
        <v>21</v>
      </c>
      <c r="C244" t="s">
        <v>24</v>
      </c>
      <c r="D244" s="1">
        <v>45946</v>
      </c>
      <c r="E244" s="1"/>
      <c r="F244" s="1"/>
      <c r="G244" s="1"/>
      <c r="H244" t="s">
        <v>25</v>
      </c>
      <c r="I244" t="s">
        <v>26</v>
      </c>
      <c r="J244" s="1"/>
      <c r="P244" t="b">
        <f>IF(EPe_BA_intern_assesment_Raw_data___Sheet13[[#This Row],[Customer Rating]]&gt;8,EPe_BA_intern_assesment_Raw_data___Sheet13[[#This Row],[Customer Rating]])</f>
        <v>0</v>
      </c>
      <c r="Q244" t="str">
        <f>IF(AND(EPe_BA_intern_assesment_Raw_data___Sheet13[[#This Row],[Customer Rating]]&gt;6,EPe_BA_intern_assesment_Raw_data___Sheet13[[#This Row],[Customer Rating]]&lt;9), EPe_BA_intern_assesment_Raw_data___Sheet13[[#This Row],[Customer Rating]], "")</f>
        <v/>
      </c>
      <c r="R244">
        <f>IF(EPe_BA_intern_assesment_Raw_data___Sheet13[[#This Row],[Customer Rating]]&lt;7,EPe_BA_intern_assesment_Raw_data___Sheet13[[#This Row],[Customer Rating]])</f>
        <v>0</v>
      </c>
    </row>
    <row r="245" spans="1:18" x14ac:dyDescent="0.3">
      <c r="A245" t="s">
        <v>273</v>
      </c>
      <c r="B245" t="s">
        <v>16</v>
      </c>
      <c r="C245" t="s">
        <v>24</v>
      </c>
      <c r="D245" s="1">
        <v>45940</v>
      </c>
      <c r="E245" s="1"/>
      <c r="F245" s="1"/>
      <c r="G245" s="1"/>
      <c r="H245" t="s">
        <v>25</v>
      </c>
      <c r="I245" t="s">
        <v>65</v>
      </c>
      <c r="J245" s="1"/>
      <c r="P245" t="b">
        <f>IF(EPe_BA_intern_assesment_Raw_data___Sheet13[[#This Row],[Customer Rating]]&gt;8,EPe_BA_intern_assesment_Raw_data___Sheet13[[#This Row],[Customer Rating]])</f>
        <v>0</v>
      </c>
      <c r="Q245" t="str">
        <f>IF(AND(EPe_BA_intern_assesment_Raw_data___Sheet13[[#This Row],[Customer Rating]]&gt;6,EPe_BA_intern_assesment_Raw_data___Sheet13[[#This Row],[Customer Rating]]&lt;9), EPe_BA_intern_assesment_Raw_data___Sheet13[[#This Row],[Customer Rating]], "")</f>
        <v/>
      </c>
      <c r="R245">
        <f>IF(EPe_BA_intern_assesment_Raw_data___Sheet13[[#This Row],[Customer Rating]]&lt;7,EPe_BA_intern_assesment_Raw_data___Sheet13[[#This Row],[Customer Rating]])</f>
        <v>0</v>
      </c>
    </row>
    <row r="246" spans="1:18" x14ac:dyDescent="0.3">
      <c r="A246" t="s">
        <v>274</v>
      </c>
      <c r="B246" t="s">
        <v>21</v>
      </c>
      <c r="C246" t="s">
        <v>32</v>
      </c>
      <c r="D246" s="1">
        <v>45932</v>
      </c>
      <c r="E246" s="1">
        <v>45935</v>
      </c>
      <c r="F246" s="1">
        <v>45938</v>
      </c>
      <c r="G246" s="1">
        <v>45942</v>
      </c>
      <c r="H246" t="s">
        <v>18</v>
      </c>
      <c r="I246" t="s">
        <v>19</v>
      </c>
      <c r="J246" s="1">
        <v>45958</v>
      </c>
      <c r="K246">
        <v>3</v>
      </c>
      <c r="L246">
        <v>3</v>
      </c>
      <c r="M246">
        <v>4</v>
      </c>
      <c r="N246">
        <v>6</v>
      </c>
      <c r="O246">
        <v>10</v>
      </c>
      <c r="P246" t="b">
        <f>IF(EPe_BA_intern_assesment_Raw_data___Sheet13[[#This Row],[Customer Rating]]&gt;8,EPe_BA_intern_assesment_Raw_data___Sheet13[[#This Row],[Customer Rating]])</f>
        <v>0</v>
      </c>
      <c r="Q246" t="str">
        <f>IF(AND(EPe_BA_intern_assesment_Raw_data___Sheet13[[#This Row],[Customer Rating]]&gt;6,EPe_BA_intern_assesment_Raw_data___Sheet13[[#This Row],[Customer Rating]]&lt;9), EPe_BA_intern_assesment_Raw_data___Sheet13[[#This Row],[Customer Rating]], "")</f>
        <v/>
      </c>
      <c r="R246">
        <f>IF(EPe_BA_intern_assesment_Raw_data___Sheet13[[#This Row],[Customer Rating]]&lt;7,EPe_BA_intern_assesment_Raw_data___Sheet13[[#This Row],[Customer Rating]])</f>
        <v>6</v>
      </c>
    </row>
    <row r="247" spans="1:18" x14ac:dyDescent="0.3">
      <c r="A247" t="s">
        <v>275</v>
      </c>
      <c r="B247" t="s">
        <v>21</v>
      </c>
      <c r="C247" t="s">
        <v>17</v>
      </c>
      <c r="D247" s="1">
        <v>45938</v>
      </c>
      <c r="E247" s="1">
        <v>45940</v>
      </c>
      <c r="F247" s="1">
        <v>45943</v>
      </c>
      <c r="G247" s="1">
        <v>45950</v>
      </c>
      <c r="H247" t="s">
        <v>25</v>
      </c>
      <c r="I247" t="s">
        <v>35</v>
      </c>
      <c r="J247" s="1"/>
      <c r="K247">
        <v>2</v>
      </c>
      <c r="L247">
        <v>3</v>
      </c>
      <c r="M247">
        <v>7</v>
      </c>
      <c r="O247">
        <v>12</v>
      </c>
      <c r="P247" t="b">
        <f>IF(EPe_BA_intern_assesment_Raw_data___Sheet13[[#This Row],[Customer Rating]]&gt;8,EPe_BA_intern_assesment_Raw_data___Sheet13[[#This Row],[Customer Rating]])</f>
        <v>0</v>
      </c>
      <c r="Q247" t="str">
        <f>IF(AND(EPe_BA_intern_assesment_Raw_data___Sheet13[[#This Row],[Customer Rating]]&gt;6,EPe_BA_intern_assesment_Raw_data___Sheet13[[#This Row],[Customer Rating]]&lt;9), EPe_BA_intern_assesment_Raw_data___Sheet13[[#This Row],[Customer Rating]], "")</f>
        <v/>
      </c>
      <c r="R247">
        <f>IF(EPe_BA_intern_assesment_Raw_data___Sheet13[[#This Row],[Customer Rating]]&lt;7,EPe_BA_intern_assesment_Raw_data___Sheet13[[#This Row],[Customer Rating]])</f>
        <v>0</v>
      </c>
    </row>
    <row r="248" spans="1:18" x14ac:dyDescent="0.3">
      <c r="A248" t="s">
        <v>276</v>
      </c>
      <c r="B248" t="s">
        <v>23</v>
      </c>
      <c r="C248" t="s">
        <v>32</v>
      </c>
      <c r="D248" s="1">
        <v>45940</v>
      </c>
      <c r="E248" s="1">
        <v>45942</v>
      </c>
      <c r="F248" s="1">
        <v>45945</v>
      </c>
      <c r="G248" s="1">
        <v>45948</v>
      </c>
      <c r="H248" t="s">
        <v>18</v>
      </c>
      <c r="I248" t="s">
        <v>19</v>
      </c>
      <c r="J248" s="1">
        <v>45963</v>
      </c>
      <c r="K248">
        <v>2</v>
      </c>
      <c r="L248">
        <v>3</v>
      </c>
      <c r="M248">
        <v>3</v>
      </c>
      <c r="N248">
        <v>6</v>
      </c>
      <c r="O248">
        <v>8</v>
      </c>
      <c r="P248" t="b">
        <f>IF(EPe_BA_intern_assesment_Raw_data___Sheet13[[#This Row],[Customer Rating]]&gt;8,EPe_BA_intern_assesment_Raw_data___Sheet13[[#This Row],[Customer Rating]])</f>
        <v>0</v>
      </c>
      <c r="Q248" t="str">
        <f>IF(AND(EPe_BA_intern_assesment_Raw_data___Sheet13[[#This Row],[Customer Rating]]&gt;6,EPe_BA_intern_assesment_Raw_data___Sheet13[[#This Row],[Customer Rating]]&lt;9), EPe_BA_intern_assesment_Raw_data___Sheet13[[#This Row],[Customer Rating]], "")</f>
        <v/>
      </c>
      <c r="R248">
        <f>IF(EPe_BA_intern_assesment_Raw_data___Sheet13[[#This Row],[Customer Rating]]&lt;7,EPe_BA_intern_assesment_Raw_data___Sheet13[[#This Row],[Customer Rating]])</f>
        <v>6</v>
      </c>
    </row>
    <row r="249" spans="1:18" x14ac:dyDescent="0.3">
      <c r="A249" t="s">
        <v>277</v>
      </c>
      <c r="B249" t="s">
        <v>34</v>
      </c>
      <c r="C249" t="s">
        <v>17</v>
      </c>
      <c r="D249" s="1">
        <v>45953</v>
      </c>
      <c r="E249" s="1">
        <v>45958</v>
      </c>
      <c r="F249" s="1">
        <v>45963</v>
      </c>
      <c r="G249" s="1">
        <v>45970</v>
      </c>
      <c r="H249" t="s">
        <v>18</v>
      </c>
      <c r="I249" t="s">
        <v>19</v>
      </c>
      <c r="J249" s="1">
        <v>46000</v>
      </c>
      <c r="K249">
        <v>5</v>
      </c>
      <c r="L249">
        <v>5</v>
      </c>
      <c r="M249">
        <v>7</v>
      </c>
      <c r="N249">
        <v>4</v>
      </c>
      <c r="O249">
        <v>17</v>
      </c>
      <c r="P249" t="b">
        <f>IF(EPe_BA_intern_assesment_Raw_data___Sheet13[[#This Row],[Customer Rating]]&gt;8,EPe_BA_intern_assesment_Raw_data___Sheet13[[#This Row],[Customer Rating]])</f>
        <v>0</v>
      </c>
      <c r="Q249" t="str">
        <f>IF(AND(EPe_BA_intern_assesment_Raw_data___Sheet13[[#This Row],[Customer Rating]]&gt;6,EPe_BA_intern_assesment_Raw_data___Sheet13[[#This Row],[Customer Rating]]&lt;9), EPe_BA_intern_assesment_Raw_data___Sheet13[[#This Row],[Customer Rating]], "")</f>
        <v/>
      </c>
      <c r="R249">
        <f>IF(EPe_BA_intern_assesment_Raw_data___Sheet13[[#This Row],[Customer Rating]]&lt;7,EPe_BA_intern_assesment_Raw_data___Sheet13[[#This Row],[Customer Rating]])</f>
        <v>4</v>
      </c>
    </row>
    <row r="250" spans="1:18" x14ac:dyDescent="0.3">
      <c r="A250" t="s">
        <v>278</v>
      </c>
      <c r="B250" t="s">
        <v>23</v>
      </c>
      <c r="C250" t="s">
        <v>17</v>
      </c>
      <c r="D250" s="1">
        <v>45940</v>
      </c>
      <c r="E250" s="1">
        <v>45942</v>
      </c>
      <c r="F250" s="1">
        <v>45947</v>
      </c>
      <c r="G250" s="1">
        <v>45950</v>
      </c>
      <c r="H250" t="s">
        <v>18</v>
      </c>
      <c r="I250" t="s">
        <v>19</v>
      </c>
      <c r="J250" s="1">
        <v>45969</v>
      </c>
      <c r="K250">
        <v>2</v>
      </c>
      <c r="L250">
        <v>5</v>
      </c>
      <c r="M250">
        <v>3</v>
      </c>
      <c r="N250">
        <v>7</v>
      </c>
      <c r="O250">
        <v>10</v>
      </c>
      <c r="P250" t="b">
        <f>IF(EPe_BA_intern_assesment_Raw_data___Sheet13[[#This Row],[Customer Rating]]&gt;8,EPe_BA_intern_assesment_Raw_data___Sheet13[[#This Row],[Customer Rating]])</f>
        <v>0</v>
      </c>
      <c r="Q250">
        <f>IF(AND(EPe_BA_intern_assesment_Raw_data___Sheet13[[#This Row],[Customer Rating]]&gt;6,EPe_BA_intern_assesment_Raw_data___Sheet13[[#This Row],[Customer Rating]]&lt;9), EPe_BA_intern_assesment_Raw_data___Sheet13[[#This Row],[Customer Rating]], "")</f>
        <v>7</v>
      </c>
      <c r="R250" t="b">
        <f>IF(EPe_BA_intern_assesment_Raw_data___Sheet13[[#This Row],[Customer Rating]]&lt;7,EPe_BA_intern_assesment_Raw_data___Sheet13[[#This Row],[Customer Rating]])</f>
        <v>0</v>
      </c>
    </row>
    <row r="251" spans="1:18" x14ac:dyDescent="0.3">
      <c r="A251" t="s">
        <v>279</v>
      </c>
      <c r="B251" t="s">
        <v>23</v>
      </c>
      <c r="C251" t="s">
        <v>32</v>
      </c>
      <c r="D251" s="1">
        <v>45953</v>
      </c>
      <c r="E251" s="1">
        <v>45954</v>
      </c>
      <c r="F251" s="1">
        <v>45955</v>
      </c>
      <c r="G251" s="1">
        <v>45958</v>
      </c>
      <c r="H251" t="s">
        <v>18</v>
      </c>
      <c r="I251" t="s">
        <v>19</v>
      </c>
      <c r="J251" s="1">
        <v>45970</v>
      </c>
      <c r="K251">
        <v>1</v>
      </c>
      <c r="L251">
        <v>1</v>
      </c>
      <c r="M251">
        <v>3</v>
      </c>
      <c r="N251">
        <v>3</v>
      </c>
      <c r="O251">
        <v>5</v>
      </c>
      <c r="P251" t="b">
        <f>IF(EPe_BA_intern_assesment_Raw_data___Sheet13[[#This Row],[Customer Rating]]&gt;8,EPe_BA_intern_assesment_Raw_data___Sheet13[[#This Row],[Customer Rating]])</f>
        <v>0</v>
      </c>
      <c r="Q251" t="str">
        <f>IF(AND(EPe_BA_intern_assesment_Raw_data___Sheet13[[#This Row],[Customer Rating]]&gt;6,EPe_BA_intern_assesment_Raw_data___Sheet13[[#This Row],[Customer Rating]]&lt;9), EPe_BA_intern_assesment_Raw_data___Sheet13[[#This Row],[Customer Rating]], "")</f>
        <v/>
      </c>
      <c r="R251">
        <f>IF(EPe_BA_intern_assesment_Raw_data___Sheet13[[#This Row],[Customer Rating]]&lt;7,EPe_BA_intern_assesment_Raw_data___Sheet13[[#This Row],[Customer Rating]])</f>
        <v>3</v>
      </c>
    </row>
    <row r="252" spans="1:18" x14ac:dyDescent="0.3">
      <c r="A252" t="s">
        <v>280</v>
      </c>
      <c r="B252" t="s">
        <v>23</v>
      </c>
      <c r="C252" t="s">
        <v>17</v>
      </c>
      <c r="D252" s="1">
        <v>45958</v>
      </c>
      <c r="E252" s="1">
        <v>45960</v>
      </c>
      <c r="F252" s="1">
        <v>45963</v>
      </c>
      <c r="G252" s="1">
        <v>45966</v>
      </c>
      <c r="H252" t="s">
        <v>18</v>
      </c>
      <c r="I252" t="s">
        <v>19</v>
      </c>
      <c r="J252" s="1">
        <v>45991</v>
      </c>
      <c r="K252">
        <v>2</v>
      </c>
      <c r="L252">
        <v>3</v>
      </c>
      <c r="M252">
        <v>3</v>
      </c>
      <c r="N252">
        <v>2</v>
      </c>
      <c r="O252">
        <v>8</v>
      </c>
      <c r="P252" t="b">
        <f>IF(EPe_BA_intern_assesment_Raw_data___Sheet13[[#This Row],[Customer Rating]]&gt;8,EPe_BA_intern_assesment_Raw_data___Sheet13[[#This Row],[Customer Rating]])</f>
        <v>0</v>
      </c>
      <c r="Q252" t="str">
        <f>IF(AND(EPe_BA_intern_assesment_Raw_data___Sheet13[[#This Row],[Customer Rating]]&gt;6,EPe_BA_intern_assesment_Raw_data___Sheet13[[#This Row],[Customer Rating]]&lt;9), EPe_BA_intern_assesment_Raw_data___Sheet13[[#This Row],[Customer Rating]], "")</f>
        <v/>
      </c>
      <c r="R252">
        <f>IF(EPe_BA_intern_assesment_Raw_data___Sheet13[[#This Row],[Customer Rating]]&lt;7,EPe_BA_intern_assesment_Raw_data___Sheet13[[#This Row],[Customer Rating]])</f>
        <v>2</v>
      </c>
    </row>
    <row r="253" spans="1:18" x14ac:dyDescent="0.3">
      <c r="A253" t="s">
        <v>281</v>
      </c>
      <c r="B253" t="s">
        <v>23</v>
      </c>
      <c r="C253" t="s">
        <v>32</v>
      </c>
      <c r="D253" s="1">
        <v>45945</v>
      </c>
      <c r="E253" s="1">
        <v>45949</v>
      </c>
      <c r="F253" s="1">
        <v>45952</v>
      </c>
      <c r="G253" s="1">
        <v>45959</v>
      </c>
      <c r="H253" t="s">
        <v>18</v>
      </c>
      <c r="I253" t="s">
        <v>19</v>
      </c>
      <c r="J253" s="1">
        <v>45972</v>
      </c>
      <c r="K253">
        <v>4</v>
      </c>
      <c r="L253">
        <v>3</v>
      </c>
      <c r="M253">
        <v>7</v>
      </c>
      <c r="N253">
        <v>6</v>
      </c>
      <c r="O253">
        <v>14</v>
      </c>
      <c r="P253" t="b">
        <f>IF(EPe_BA_intern_assesment_Raw_data___Sheet13[[#This Row],[Customer Rating]]&gt;8,EPe_BA_intern_assesment_Raw_data___Sheet13[[#This Row],[Customer Rating]])</f>
        <v>0</v>
      </c>
      <c r="Q253" t="str">
        <f>IF(AND(EPe_BA_intern_assesment_Raw_data___Sheet13[[#This Row],[Customer Rating]]&gt;6,EPe_BA_intern_assesment_Raw_data___Sheet13[[#This Row],[Customer Rating]]&lt;9), EPe_BA_intern_assesment_Raw_data___Sheet13[[#This Row],[Customer Rating]], "")</f>
        <v/>
      </c>
      <c r="R253">
        <f>IF(EPe_BA_intern_assesment_Raw_data___Sheet13[[#This Row],[Customer Rating]]&lt;7,EPe_BA_intern_assesment_Raw_data___Sheet13[[#This Row],[Customer Rating]])</f>
        <v>6</v>
      </c>
    </row>
    <row r="254" spans="1:18" x14ac:dyDescent="0.3">
      <c r="A254" t="s">
        <v>282</v>
      </c>
      <c r="B254" t="s">
        <v>23</v>
      </c>
      <c r="C254" t="s">
        <v>32</v>
      </c>
      <c r="D254" s="1">
        <v>45933</v>
      </c>
      <c r="E254" s="1">
        <v>45937</v>
      </c>
      <c r="F254" s="1">
        <v>45939</v>
      </c>
      <c r="G254" s="1">
        <v>45943</v>
      </c>
      <c r="H254" t="s">
        <v>18</v>
      </c>
      <c r="I254" t="s">
        <v>19</v>
      </c>
      <c r="J254" s="1">
        <v>45962</v>
      </c>
      <c r="K254">
        <v>4</v>
      </c>
      <c r="L254">
        <v>2</v>
      </c>
      <c r="M254">
        <v>4</v>
      </c>
      <c r="N254">
        <v>10</v>
      </c>
      <c r="O254">
        <v>10</v>
      </c>
      <c r="P254">
        <f>IF(EPe_BA_intern_assesment_Raw_data___Sheet13[[#This Row],[Customer Rating]]&gt;8,EPe_BA_intern_assesment_Raw_data___Sheet13[[#This Row],[Customer Rating]])</f>
        <v>10</v>
      </c>
      <c r="Q254" t="str">
        <f>IF(AND(EPe_BA_intern_assesment_Raw_data___Sheet13[[#This Row],[Customer Rating]]&gt;6,EPe_BA_intern_assesment_Raw_data___Sheet13[[#This Row],[Customer Rating]]&lt;9), EPe_BA_intern_assesment_Raw_data___Sheet13[[#This Row],[Customer Rating]], "")</f>
        <v/>
      </c>
      <c r="R254" t="b">
        <f>IF(EPe_BA_intern_assesment_Raw_data___Sheet13[[#This Row],[Customer Rating]]&lt;7,EPe_BA_intern_assesment_Raw_data___Sheet13[[#This Row],[Customer Rating]])</f>
        <v>0</v>
      </c>
    </row>
    <row r="255" spans="1:18" x14ac:dyDescent="0.3">
      <c r="A255" t="s">
        <v>283</v>
      </c>
      <c r="B255" t="s">
        <v>21</v>
      </c>
      <c r="C255" t="s">
        <v>17</v>
      </c>
      <c r="D255" s="1">
        <v>45952</v>
      </c>
      <c r="E255" s="1">
        <v>45957</v>
      </c>
      <c r="F255" s="1">
        <v>45958</v>
      </c>
      <c r="G255" s="1">
        <v>45961</v>
      </c>
      <c r="H255" t="s">
        <v>18</v>
      </c>
      <c r="I255" t="s">
        <v>19</v>
      </c>
      <c r="J255" s="1">
        <v>45983</v>
      </c>
      <c r="K255">
        <v>5</v>
      </c>
      <c r="L255">
        <v>1</v>
      </c>
      <c r="M255">
        <v>3</v>
      </c>
      <c r="N255">
        <v>4</v>
      </c>
      <c r="O255">
        <v>9</v>
      </c>
      <c r="P255" t="b">
        <f>IF(EPe_BA_intern_assesment_Raw_data___Sheet13[[#This Row],[Customer Rating]]&gt;8,EPe_BA_intern_assesment_Raw_data___Sheet13[[#This Row],[Customer Rating]])</f>
        <v>0</v>
      </c>
      <c r="Q255" t="str">
        <f>IF(AND(EPe_BA_intern_assesment_Raw_data___Sheet13[[#This Row],[Customer Rating]]&gt;6,EPe_BA_intern_assesment_Raw_data___Sheet13[[#This Row],[Customer Rating]]&lt;9), EPe_BA_intern_assesment_Raw_data___Sheet13[[#This Row],[Customer Rating]], "")</f>
        <v/>
      </c>
      <c r="R255">
        <f>IF(EPe_BA_intern_assesment_Raw_data___Sheet13[[#This Row],[Customer Rating]]&lt;7,EPe_BA_intern_assesment_Raw_data___Sheet13[[#This Row],[Customer Rating]])</f>
        <v>4</v>
      </c>
    </row>
    <row r="256" spans="1:18" x14ac:dyDescent="0.3">
      <c r="A256" t="s">
        <v>284</v>
      </c>
      <c r="B256" t="s">
        <v>23</v>
      </c>
      <c r="C256" t="s">
        <v>17</v>
      </c>
      <c r="D256" s="1">
        <v>45938</v>
      </c>
      <c r="E256" s="1">
        <v>45943</v>
      </c>
      <c r="F256" s="1">
        <v>45944</v>
      </c>
      <c r="G256" s="1">
        <v>45951</v>
      </c>
      <c r="H256" t="s">
        <v>18</v>
      </c>
      <c r="I256" t="s">
        <v>19</v>
      </c>
      <c r="J256" s="1">
        <v>45976</v>
      </c>
      <c r="K256">
        <v>5</v>
      </c>
      <c r="L256">
        <v>1</v>
      </c>
      <c r="M256">
        <v>7</v>
      </c>
      <c r="N256">
        <v>5</v>
      </c>
      <c r="O256">
        <v>13</v>
      </c>
      <c r="P256" t="b">
        <f>IF(EPe_BA_intern_assesment_Raw_data___Sheet13[[#This Row],[Customer Rating]]&gt;8,EPe_BA_intern_assesment_Raw_data___Sheet13[[#This Row],[Customer Rating]])</f>
        <v>0</v>
      </c>
      <c r="Q256" t="str">
        <f>IF(AND(EPe_BA_intern_assesment_Raw_data___Sheet13[[#This Row],[Customer Rating]]&gt;6,EPe_BA_intern_assesment_Raw_data___Sheet13[[#This Row],[Customer Rating]]&lt;9), EPe_BA_intern_assesment_Raw_data___Sheet13[[#This Row],[Customer Rating]], "")</f>
        <v/>
      </c>
      <c r="R256">
        <f>IF(EPe_BA_intern_assesment_Raw_data___Sheet13[[#This Row],[Customer Rating]]&lt;7,EPe_BA_intern_assesment_Raw_data___Sheet13[[#This Row],[Customer Rating]])</f>
        <v>5</v>
      </c>
    </row>
    <row r="257" spans="1:18" x14ac:dyDescent="0.3">
      <c r="A257" t="s">
        <v>285</v>
      </c>
      <c r="B257" t="s">
        <v>23</v>
      </c>
      <c r="C257" t="s">
        <v>17</v>
      </c>
      <c r="D257" s="1">
        <v>45960</v>
      </c>
      <c r="E257" s="1">
        <v>45964</v>
      </c>
      <c r="F257" s="1">
        <v>45968</v>
      </c>
      <c r="G257" s="1">
        <v>45973</v>
      </c>
      <c r="H257" t="s">
        <v>25</v>
      </c>
      <c r="I257" t="s">
        <v>28</v>
      </c>
      <c r="J257" s="1"/>
      <c r="K257">
        <v>4</v>
      </c>
      <c r="L257">
        <v>4</v>
      </c>
      <c r="M257">
        <v>5</v>
      </c>
      <c r="O257">
        <v>13</v>
      </c>
      <c r="P257" t="b">
        <f>IF(EPe_BA_intern_assesment_Raw_data___Sheet13[[#This Row],[Customer Rating]]&gt;8,EPe_BA_intern_assesment_Raw_data___Sheet13[[#This Row],[Customer Rating]])</f>
        <v>0</v>
      </c>
      <c r="Q257" t="str">
        <f>IF(AND(EPe_BA_intern_assesment_Raw_data___Sheet13[[#This Row],[Customer Rating]]&gt;6,EPe_BA_intern_assesment_Raw_data___Sheet13[[#This Row],[Customer Rating]]&lt;9), EPe_BA_intern_assesment_Raw_data___Sheet13[[#This Row],[Customer Rating]], "")</f>
        <v/>
      </c>
      <c r="R257">
        <f>IF(EPe_BA_intern_assesment_Raw_data___Sheet13[[#This Row],[Customer Rating]]&lt;7,EPe_BA_intern_assesment_Raw_data___Sheet13[[#This Row],[Customer Rating]])</f>
        <v>0</v>
      </c>
    </row>
    <row r="258" spans="1:18" x14ac:dyDescent="0.3">
      <c r="A258" t="s">
        <v>286</v>
      </c>
      <c r="B258" t="s">
        <v>34</v>
      </c>
      <c r="C258" t="s">
        <v>17</v>
      </c>
      <c r="D258" s="1">
        <v>45939</v>
      </c>
      <c r="E258" s="1">
        <v>45944</v>
      </c>
      <c r="F258" s="1">
        <v>45947</v>
      </c>
      <c r="G258" s="1">
        <v>45952</v>
      </c>
      <c r="H258" t="s">
        <v>18</v>
      </c>
      <c r="I258" t="s">
        <v>19</v>
      </c>
      <c r="J258" s="1">
        <v>45977</v>
      </c>
      <c r="K258">
        <v>5</v>
      </c>
      <c r="L258">
        <v>3</v>
      </c>
      <c r="M258">
        <v>5</v>
      </c>
      <c r="N258">
        <v>3</v>
      </c>
      <c r="O258">
        <v>13</v>
      </c>
      <c r="P258" t="b">
        <f>IF(EPe_BA_intern_assesment_Raw_data___Sheet13[[#This Row],[Customer Rating]]&gt;8,EPe_BA_intern_assesment_Raw_data___Sheet13[[#This Row],[Customer Rating]])</f>
        <v>0</v>
      </c>
      <c r="Q258" t="str">
        <f>IF(AND(EPe_BA_intern_assesment_Raw_data___Sheet13[[#This Row],[Customer Rating]]&gt;6,EPe_BA_intern_assesment_Raw_data___Sheet13[[#This Row],[Customer Rating]]&lt;9), EPe_BA_intern_assesment_Raw_data___Sheet13[[#This Row],[Customer Rating]], "")</f>
        <v/>
      </c>
      <c r="R258">
        <f>IF(EPe_BA_intern_assesment_Raw_data___Sheet13[[#This Row],[Customer Rating]]&lt;7,EPe_BA_intern_assesment_Raw_data___Sheet13[[#This Row],[Customer Rating]])</f>
        <v>3</v>
      </c>
    </row>
    <row r="259" spans="1:18" x14ac:dyDescent="0.3">
      <c r="A259" t="s">
        <v>287</v>
      </c>
      <c r="B259" t="s">
        <v>16</v>
      </c>
      <c r="C259" t="s">
        <v>24</v>
      </c>
      <c r="D259" s="1">
        <v>45956</v>
      </c>
      <c r="E259" s="1"/>
      <c r="F259" s="1"/>
      <c r="G259" s="1"/>
      <c r="H259" t="s">
        <v>25</v>
      </c>
      <c r="I259" t="s">
        <v>65</v>
      </c>
      <c r="J259" s="1"/>
      <c r="P259" t="b">
        <f>IF(EPe_BA_intern_assesment_Raw_data___Sheet13[[#This Row],[Customer Rating]]&gt;8,EPe_BA_intern_assesment_Raw_data___Sheet13[[#This Row],[Customer Rating]])</f>
        <v>0</v>
      </c>
      <c r="Q259" t="str">
        <f>IF(AND(EPe_BA_intern_assesment_Raw_data___Sheet13[[#This Row],[Customer Rating]]&gt;6,EPe_BA_intern_assesment_Raw_data___Sheet13[[#This Row],[Customer Rating]]&lt;9), EPe_BA_intern_assesment_Raw_data___Sheet13[[#This Row],[Customer Rating]], "")</f>
        <v/>
      </c>
      <c r="R259">
        <f>IF(EPe_BA_intern_assesment_Raw_data___Sheet13[[#This Row],[Customer Rating]]&lt;7,EPe_BA_intern_assesment_Raw_data___Sheet13[[#This Row],[Customer Rating]])</f>
        <v>0</v>
      </c>
    </row>
    <row r="260" spans="1:18" x14ac:dyDescent="0.3">
      <c r="A260" t="s">
        <v>288</v>
      </c>
      <c r="B260" t="s">
        <v>21</v>
      </c>
      <c r="C260" t="s">
        <v>32</v>
      </c>
      <c r="D260" s="1">
        <v>45956</v>
      </c>
      <c r="E260" s="1">
        <v>45961</v>
      </c>
      <c r="F260" s="1">
        <v>45963</v>
      </c>
      <c r="G260" s="1">
        <v>45966</v>
      </c>
      <c r="H260" t="s">
        <v>25</v>
      </c>
      <c r="I260" t="s">
        <v>65</v>
      </c>
      <c r="J260" s="1"/>
      <c r="K260">
        <v>5</v>
      </c>
      <c r="L260">
        <v>2</v>
      </c>
      <c r="M260">
        <v>3</v>
      </c>
      <c r="O260">
        <v>10</v>
      </c>
      <c r="P260" t="b">
        <f>IF(EPe_BA_intern_assesment_Raw_data___Sheet13[[#This Row],[Customer Rating]]&gt;8,EPe_BA_intern_assesment_Raw_data___Sheet13[[#This Row],[Customer Rating]])</f>
        <v>0</v>
      </c>
      <c r="Q260" t="str">
        <f>IF(AND(EPe_BA_intern_assesment_Raw_data___Sheet13[[#This Row],[Customer Rating]]&gt;6,EPe_BA_intern_assesment_Raw_data___Sheet13[[#This Row],[Customer Rating]]&lt;9), EPe_BA_intern_assesment_Raw_data___Sheet13[[#This Row],[Customer Rating]], "")</f>
        <v/>
      </c>
      <c r="R260">
        <f>IF(EPe_BA_intern_assesment_Raw_data___Sheet13[[#This Row],[Customer Rating]]&lt;7,EPe_BA_intern_assesment_Raw_data___Sheet13[[#This Row],[Customer Rating]])</f>
        <v>0</v>
      </c>
    </row>
    <row r="261" spans="1:18" x14ac:dyDescent="0.3">
      <c r="A261" t="s">
        <v>289</v>
      </c>
      <c r="B261" t="s">
        <v>21</v>
      </c>
      <c r="C261" t="s">
        <v>17</v>
      </c>
      <c r="D261" s="1">
        <v>45951</v>
      </c>
      <c r="E261" s="1">
        <v>45954</v>
      </c>
      <c r="F261" s="1">
        <v>45958</v>
      </c>
      <c r="G261" s="1">
        <v>45964</v>
      </c>
      <c r="H261" t="s">
        <v>18</v>
      </c>
      <c r="I261" t="s">
        <v>19</v>
      </c>
      <c r="J261" s="1">
        <v>45982</v>
      </c>
      <c r="K261">
        <v>3</v>
      </c>
      <c r="L261">
        <v>4</v>
      </c>
      <c r="M261">
        <v>6</v>
      </c>
      <c r="N261">
        <v>4</v>
      </c>
      <c r="O261">
        <v>13</v>
      </c>
      <c r="P261" t="b">
        <f>IF(EPe_BA_intern_assesment_Raw_data___Sheet13[[#This Row],[Customer Rating]]&gt;8,EPe_BA_intern_assesment_Raw_data___Sheet13[[#This Row],[Customer Rating]])</f>
        <v>0</v>
      </c>
      <c r="Q261" t="str">
        <f>IF(AND(EPe_BA_intern_assesment_Raw_data___Sheet13[[#This Row],[Customer Rating]]&gt;6,EPe_BA_intern_assesment_Raw_data___Sheet13[[#This Row],[Customer Rating]]&lt;9), EPe_BA_intern_assesment_Raw_data___Sheet13[[#This Row],[Customer Rating]], "")</f>
        <v/>
      </c>
      <c r="R261">
        <f>IF(EPe_BA_intern_assesment_Raw_data___Sheet13[[#This Row],[Customer Rating]]&lt;7,EPe_BA_intern_assesment_Raw_data___Sheet13[[#This Row],[Customer Rating]])</f>
        <v>4</v>
      </c>
    </row>
    <row r="262" spans="1:18" x14ac:dyDescent="0.3">
      <c r="A262" t="s">
        <v>290</v>
      </c>
      <c r="B262" t="s">
        <v>21</v>
      </c>
      <c r="C262" t="s">
        <v>17</v>
      </c>
      <c r="D262" s="1">
        <v>45949</v>
      </c>
      <c r="E262" s="1">
        <v>45952</v>
      </c>
      <c r="F262" s="1">
        <v>45957</v>
      </c>
      <c r="G262" s="1">
        <v>45964</v>
      </c>
      <c r="H262" t="s">
        <v>18</v>
      </c>
      <c r="I262" t="s">
        <v>19</v>
      </c>
      <c r="J262" s="1">
        <v>45976</v>
      </c>
      <c r="K262">
        <v>3</v>
      </c>
      <c r="L262">
        <v>5</v>
      </c>
      <c r="M262">
        <v>7</v>
      </c>
      <c r="N262">
        <v>2</v>
      </c>
      <c r="O262">
        <v>15</v>
      </c>
      <c r="P262" t="b">
        <f>IF(EPe_BA_intern_assesment_Raw_data___Sheet13[[#This Row],[Customer Rating]]&gt;8,EPe_BA_intern_assesment_Raw_data___Sheet13[[#This Row],[Customer Rating]])</f>
        <v>0</v>
      </c>
      <c r="Q262" t="str">
        <f>IF(AND(EPe_BA_intern_assesment_Raw_data___Sheet13[[#This Row],[Customer Rating]]&gt;6,EPe_BA_intern_assesment_Raw_data___Sheet13[[#This Row],[Customer Rating]]&lt;9), EPe_BA_intern_assesment_Raw_data___Sheet13[[#This Row],[Customer Rating]], "")</f>
        <v/>
      </c>
      <c r="R262">
        <f>IF(EPe_BA_intern_assesment_Raw_data___Sheet13[[#This Row],[Customer Rating]]&lt;7,EPe_BA_intern_assesment_Raw_data___Sheet13[[#This Row],[Customer Rating]])</f>
        <v>2</v>
      </c>
    </row>
    <row r="263" spans="1:18" x14ac:dyDescent="0.3">
      <c r="A263" t="s">
        <v>291</v>
      </c>
      <c r="B263" t="s">
        <v>23</v>
      </c>
      <c r="C263" t="s">
        <v>17</v>
      </c>
      <c r="D263" s="1">
        <v>45952</v>
      </c>
      <c r="E263" s="1">
        <v>45954</v>
      </c>
      <c r="F263" s="1">
        <v>45957</v>
      </c>
      <c r="G263" s="1">
        <v>45961</v>
      </c>
      <c r="H263" t="s">
        <v>18</v>
      </c>
      <c r="I263" t="s">
        <v>19</v>
      </c>
      <c r="J263" s="1">
        <v>45991</v>
      </c>
      <c r="K263">
        <v>2</v>
      </c>
      <c r="L263">
        <v>3</v>
      </c>
      <c r="M263">
        <v>4</v>
      </c>
      <c r="N263">
        <v>9</v>
      </c>
      <c r="O263">
        <v>9</v>
      </c>
      <c r="P263">
        <f>IF(EPe_BA_intern_assesment_Raw_data___Sheet13[[#This Row],[Customer Rating]]&gt;8,EPe_BA_intern_assesment_Raw_data___Sheet13[[#This Row],[Customer Rating]])</f>
        <v>9</v>
      </c>
      <c r="Q263" t="str">
        <f>IF(AND(EPe_BA_intern_assesment_Raw_data___Sheet13[[#This Row],[Customer Rating]]&gt;6,EPe_BA_intern_assesment_Raw_data___Sheet13[[#This Row],[Customer Rating]]&lt;9), EPe_BA_intern_assesment_Raw_data___Sheet13[[#This Row],[Customer Rating]], "")</f>
        <v/>
      </c>
      <c r="R263" t="b">
        <f>IF(EPe_BA_intern_assesment_Raw_data___Sheet13[[#This Row],[Customer Rating]]&lt;7,EPe_BA_intern_assesment_Raw_data___Sheet13[[#This Row],[Customer Rating]])</f>
        <v>0</v>
      </c>
    </row>
    <row r="264" spans="1:18" x14ac:dyDescent="0.3">
      <c r="A264" t="s">
        <v>292</v>
      </c>
      <c r="B264" t="s">
        <v>23</v>
      </c>
      <c r="C264" t="s">
        <v>24</v>
      </c>
      <c r="D264" s="1">
        <v>45956</v>
      </c>
      <c r="E264" s="1"/>
      <c r="F264" s="1"/>
      <c r="G264" s="1"/>
      <c r="H264" t="s">
        <v>25</v>
      </c>
      <c r="I264" t="s">
        <v>26</v>
      </c>
      <c r="J264" s="1"/>
      <c r="P264" t="b">
        <f>IF(EPe_BA_intern_assesment_Raw_data___Sheet13[[#This Row],[Customer Rating]]&gt;8,EPe_BA_intern_assesment_Raw_data___Sheet13[[#This Row],[Customer Rating]])</f>
        <v>0</v>
      </c>
      <c r="Q264" t="str">
        <f>IF(AND(EPe_BA_intern_assesment_Raw_data___Sheet13[[#This Row],[Customer Rating]]&gt;6,EPe_BA_intern_assesment_Raw_data___Sheet13[[#This Row],[Customer Rating]]&lt;9), EPe_BA_intern_assesment_Raw_data___Sheet13[[#This Row],[Customer Rating]], "")</f>
        <v/>
      </c>
      <c r="R264">
        <f>IF(EPe_BA_intern_assesment_Raw_data___Sheet13[[#This Row],[Customer Rating]]&lt;7,EPe_BA_intern_assesment_Raw_data___Sheet13[[#This Row],[Customer Rating]])</f>
        <v>0</v>
      </c>
    </row>
    <row r="265" spans="1:18" x14ac:dyDescent="0.3">
      <c r="A265" t="s">
        <v>293</v>
      </c>
      <c r="B265" t="s">
        <v>23</v>
      </c>
      <c r="C265" t="s">
        <v>17</v>
      </c>
      <c r="D265" s="1">
        <v>45960</v>
      </c>
      <c r="E265" s="1">
        <v>45964</v>
      </c>
      <c r="F265" s="1">
        <v>45965</v>
      </c>
      <c r="G265" s="1">
        <v>45972</v>
      </c>
      <c r="H265" t="s">
        <v>18</v>
      </c>
      <c r="I265" t="s">
        <v>19</v>
      </c>
      <c r="J265" s="1">
        <v>45999</v>
      </c>
      <c r="K265">
        <v>4</v>
      </c>
      <c r="L265">
        <v>1</v>
      </c>
      <c r="M265">
        <v>7</v>
      </c>
      <c r="N265">
        <v>5</v>
      </c>
      <c r="O265">
        <v>12</v>
      </c>
      <c r="P265" t="b">
        <f>IF(EPe_BA_intern_assesment_Raw_data___Sheet13[[#This Row],[Customer Rating]]&gt;8,EPe_BA_intern_assesment_Raw_data___Sheet13[[#This Row],[Customer Rating]])</f>
        <v>0</v>
      </c>
      <c r="Q265" t="str">
        <f>IF(AND(EPe_BA_intern_assesment_Raw_data___Sheet13[[#This Row],[Customer Rating]]&gt;6,EPe_BA_intern_assesment_Raw_data___Sheet13[[#This Row],[Customer Rating]]&lt;9), EPe_BA_intern_assesment_Raw_data___Sheet13[[#This Row],[Customer Rating]], "")</f>
        <v/>
      </c>
      <c r="R265">
        <f>IF(EPe_BA_intern_assesment_Raw_data___Sheet13[[#This Row],[Customer Rating]]&lt;7,EPe_BA_intern_assesment_Raw_data___Sheet13[[#This Row],[Customer Rating]])</f>
        <v>5</v>
      </c>
    </row>
    <row r="266" spans="1:18" x14ac:dyDescent="0.3">
      <c r="A266" t="s">
        <v>294</v>
      </c>
      <c r="B266" t="s">
        <v>34</v>
      </c>
      <c r="C266" t="s">
        <v>17</v>
      </c>
      <c r="D266" s="1">
        <v>45937</v>
      </c>
      <c r="E266" s="1">
        <v>45938</v>
      </c>
      <c r="F266" s="1">
        <v>45941</v>
      </c>
      <c r="G266" s="1">
        <v>45946</v>
      </c>
      <c r="H266" t="s">
        <v>18</v>
      </c>
      <c r="I266" t="s">
        <v>19</v>
      </c>
      <c r="J266" s="1">
        <v>45968</v>
      </c>
      <c r="K266">
        <v>1</v>
      </c>
      <c r="L266">
        <v>3</v>
      </c>
      <c r="M266">
        <v>5</v>
      </c>
      <c r="N266">
        <v>7</v>
      </c>
      <c r="O266">
        <v>9</v>
      </c>
      <c r="P266" t="b">
        <f>IF(EPe_BA_intern_assesment_Raw_data___Sheet13[[#This Row],[Customer Rating]]&gt;8,EPe_BA_intern_assesment_Raw_data___Sheet13[[#This Row],[Customer Rating]])</f>
        <v>0</v>
      </c>
      <c r="Q266">
        <f>IF(AND(EPe_BA_intern_assesment_Raw_data___Sheet13[[#This Row],[Customer Rating]]&gt;6,EPe_BA_intern_assesment_Raw_data___Sheet13[[#This Row],[Customer Rating]]&lt;9), EPe_BA_intern_assesment_Raw_data___Sheet13[[#This Row],[Customer Rating]], "")</f>
        <v>7</v>
      </c>
      <c r="R266" t="b">
        <f>IF(EPe_BA_intern_assesment_Raw_data___Sheet13[[#This Row],[Customer Rating]]&lt;7,EPe_BA_intern_assesment_Raw_data___Sheet13[[#This Row],[Customer Rating]])</f>
        <v>0</v>
      </c>
    </row>
    <row r="267" spans="1:18" x14ac:dyDescent="0.3">
      <c r="A267" t="s">
        <v>295</v>
      </c>
      <c r="B267" t="s">
        <v>16</v>
      </c>
      <c r="C267" t="s">
        <v>17</v>
      </c>
      <c r="D267" s="1">
        <v>45944</v>
      </c>
      <c r="E267" s="1">
        <v>45948</v>
      </c>
      <c r="F267" s="1">
        <v>45951</v>
      </c>
      <c r="G267" s="1">
        <v>45956</v>
      </c>
      <c r="H267" t="s">
        <v>18</v>
      </c>
      <c r="I267" t="s">
        <v>19</v>
      </c>
      <c r="J267" s="1">
        <v>45971</v>
      </c>
      <c r="K267">
        <v>4</v>
      </c>
      <c r="L267">
        <v>3</v>
      </c>
      <c r="M267">
        <v>5</v>
      </c>
      <c r="N267">
        <v>5</v>
      </c>
      <c r="O267">
        <v>12</v>
      </c>
      <c r="P267" t="b">
        <f>IF(EPe_BA_intern_assesment_Raw_data___Sheet13[[#This Row],[Customer Rating]]&gt;8,EPe_BA_intern_assesment_Raw_data___Sheet13[[#This Row],[Customer Rating]])</f>
        <v>0</v>
      </c>
      <c r="Q267" t="str">
        <f>IF(AND(EPe_BA_intern_assesment_Raw_data___Sheet13[[#This Row],[Customer Rating]]&gt;6,EPe_BA_intern_assesment_Raw_data___Sheet13[[#This Row],[Customer Rating]]&lt;9), EPe_BA_intern_assesment_Raw_data___Sheet13[[#This Row],[Customer Rating]], "")</f>
        <v/>
      </c>
      <c r="R267">
        <f>IF(EPe_BA_intern_assesment_Raw_data___Sheet13[[#This Row],[Customer Rating]]&lt;7,EPe_BA_intern_assesment_Raw_data___Sheet13[[#This Row],[Customer Rating]])</f>
        <v>5</v>
      </c>
    </row>
    <row r="268" spans="1:18" x14ac:dyDescent="0.3">
      <c r="A268" t="s">
        <v>296</v>
      </c>
      <c r="B268" t="s">
        <v>23</v>
      </c>
      <c r="C268" t="s">
        <v>24</v>
      </c>
      <c r="D268" s="1">
        <v>45934</v>
      </c>
      <c r="E268" s="1"/>
      <c r="F268" s="1"/>
      <c r="G268" s="1"/>
      <c r="H268" t="s">
        <v>25</v>
      </c>
      <c r="I268" t="s">
        <v>35</v>
      </c>
      <c r="J268" s="1"/>
      <c r="P268" t="b">
        <f>IF(EPe_BA_intern_assesment_Raw_data___Sheet13[[#This Row],[Customer Rating]]&gt;8,EPe_BA_intern_assesment_Raw_data___Sheet13[[#This Row],[Customer Rating]])</f>
        <v>0</v>
      </c>
      <c r="Q268" t="str">
        <f>IF(AND(EPe_BA_intern_assesment_Raw_data___Sheet13[[#This Row],[Customer Rating]]&gt;6,EPe_BA_intern_assesment_Raw_data___Sheet13[[#This Row],[Customer Rating]]&lt;9), EPe_BA_intern_assesment_Raw_data___Sheet13[[#This Row],[Customer Rating]], "")</f>
        <v/>
      </c>
      <c r="R268">
        <f>IF(EPe_BA_intern_assesment_Raw_data___Sheet13[[#This Row],[Customer Rating]]&lt;7,EPe_BA_intern_assesment_Raw_data___Sheet13[[#This Row],[Customer Rating]])</f>
        <v>0</v>
      </c>
    </row>
    <row r="269" spans="1:18" x14ac:dyDescent="0.3">
      <c r="A269" t="s">
        <v>297</v>
      </c>
      <c r="B269" t="s">
        <v>16</v>
      </c>
      <c r="C269" t="s">
        <v>24</v>
      </c>
      <c r="D269" s="1">
        <v>45948</v>
      </c>
      <c r="E269" s="1"/>
      <c r="F269" s="1"/>
      <c r="G269" s="1"/>
      <c r="H269" t="s">
        <v>25</v>
      </c>
      <c r="I269" t="s">
        <v>28</v>
      </c>
      <c r="J269" s="1"/>
      <c r="P269" t="b">
        <f>IF(EPe_BA_intern_assesment_Raw_data___Sheet13[[#This Row],[Customer Rating]]&gt;8,EPe_BA_intern_assesment_Raw_data___Sheet13[[#This Row],[Customer Rating]])</f>
        <v>0</v>
      </c>
      <c r="Q269" t="str">
        <f>IF(AND(EPe_BA_intern_assesment_Raw_data___Sheet13[[#This Row],[Customer Rating]]&gt;6,EPe_BA_intern_assesment_Raw_data___Sheet13[[#This Row],[Customer Rating]]&lt;9), EPe_BA_intern_assesment_Raw_data___Sheet13[[#This Row],[Customer Rating]], "")</f>
        <v/>
      </c>
      <c r="R269">
        <f>IF(EPe_BA_intern_assesment_Raw_data___Sheet13[[#This Row],[Customer Rating]]&lt;7,EPe_BA_intern_assesment_Raw_data___Sheet13[[#This Row],[Customer Rating]])</f>
        <v>0</v>
      </c>
    </row>
    <row r="270" spans="1:18" x14ac:dyDescent="0.3">
      <c r="A270" t="s">
        <v>298</v>
      </c>
      <c r="B270" t="s">
        <v>34</v>
      </c>
      <c r="C270" t="s">
        <v>17</v>
      </c>
      <c r="D270" s="1">
        <v>45938</v>
      </c>
      <c r="E270" s="1">
        <v>45942</v>
      </c>
      <c r="F270" s="1">
        <v>45947</v>
      </c>
      <c r="G270" s="1">
        <v>45952</v>
      </c>
      <c r="H270" t="s">
        <v>18</v>
      </c>
      <c r="I270" t="s">
        <v>19</v>
      </c>
      <c r="J270" s="1">
        <v>45973</v>
      </c>
      <c r="K270">
        <v>4</v>
      </c>
      <c r="L270">
        <v>5</v>
      </c>
      <c r="M270">
        <v>5</v>
      </c>
      <c r="N270">
        <v>6</v>
      </c>
      <c r="O270">
        <v>14</v>
      </c>
      <c r="P270" t="b">
        <f>IF(EPe_BA_intern_assesment_Raw_data___Sheet13[[#This Row],[Customer Rating]]&gt;8,EPe_BA_intern_assesment_Raw_data___Sheet13[[#This Row],[Customer Rating]])</f>
        <v>0</v>
      </c>
      <c r="Q270" t="str">
        <f>IF(AND(EPe_BA_intern_assesment_Raw_data___Sheet13[[#This Row],[Customer Rating]]&gt;6,EPe_BA_intern_assesment_Raw_data___Sheet13[[#This Row],[Customer Rating]]&lt;9), EPe_BA_intern_assesment_Raw_data___Sheet13[[#This Row],[Customer Rating]], "")</f>
        <v/>
      </c>
      <c r="R270">
        <f>IF(EPe_BA_intern_assesment_Raw_data___Sheet13[[#This Row],[Customer Rating]]&lt;7,EPe_BA_intern_assesment_Raw_data___Sheet13[[#This Row],[Customer Rating]])</f>
        <v>6</v>
      </c>
    </row>
    <row r="271" spans="1:18" x14ac:dyDescent="0.3">
      <c r="A271" t="s">
        <v>299</v>
      </c>
      <c r="B271" t="s">
        <v>21</v>
      </c>
      <c r="C271" t="s">
        <v>17</v>
      </c>
      <c r="D271" s="1">
        <v>45951</v>
      </c>
      <c r="E271" s="1">
        <v>45954</v>
      </c>
      <c r="F271" s="1">
        <v>45956</v>
      </c>
      <c r="G271" s="1">
        <v>45958</v>
      </c>
      <c r="H271" t="s">
        <v>18</v>
      </c>
      <c r="I271" t="s">
        <v>19</v>
      </c>
      <c r="J271" s="1">
        <v>45980</v>
      </c>
      <c r="K271">
        <v>3</v>
      </c>
      <c r="L271">
        <v>2</v>
      </c>
      <c r="M271">
        <v>2</v>
      </c>
      <c r="N271">
        <v>1</v>
      </c>
      <c r="O271">
        <v>7</v>
      </c>
      <c r="P271" t="b">
        <f>IF(EPe_BA_intern_assesment_Raw_data___Sheet13[[#This Row],[Customer Rating]]&gt;8,EPe_BA_intern_assesment_Raw_data___Sheet13[[#This Row],[Customer Rating]])</f>
        <v>0</v>
      </c>
      <c r="Q271" t="str">
        <f>IF(AND(EPe_BA_intern_assesment_Raw_data___Sheet13[[#This Row],[Customer Rating]]&gt;6,EPe_BA_intern_assesment_Raw_data___Sheet13[[#This Row],[Customer Rating]]&lt;9), EPe_BA_intern_assesment_Raw_data___Sheet13[[#This Row],[Customer Rating]], "")</f>
        <v/>
      </c>
      <c r="R271">
        <f>IF(EPe_BA_intern_assesment_Raw_data___Sheet13[[#This Row],[Customer Rating]]&lt;7,EPe_BA_intern_assesment_Raw_data___Sheet13[[#This Row],[Customer Rating]])</f>
        <v>1</v>
      </c>
    </row>
    <row r="272" spans="1:18" x14ac:dyDescent="0.3">
      <c r="A272" t="s">
        <v>300</v>
      </c>
      <c r="B272" t="s">
        <v>23</v>
      </c>
      <c r="C272" t="s">
        <v>32</v>
      </c>
      <c r="D272" s="1">
        <v>45935</v>
      </c>
      <c r="E272" s="1">
        <v>45938</v>
      </c>
      <c r="F272" s="1">
        <v>45940</v>
      </c>
      <c r="G272" s="1">
        <v>45947</v>
      </c>
      <c r="H272" t="s">
        <v>18</v>
      </c>
      <c r="I272" t="s">
        <v>19</v>
      </c>
      <c r="J272" s="1">
        <v>45968</v>
      </c>
      <c r="K272">
        <v>3</v>
      </c>
      <c r="L272">
        <v>2</v>
      </c>
      <c r="M272">
        <v>7</v>
      </c>
      <c r="N272">
        <v>5</v>
      </c>
      <c r="O272">
        <v>12</v>
      </c>
      <c r="P272" t="b">
        <f>IF(EPe_BA_intern_assesment_Raw_data___Sheet13[[#This Row],[Customer Rating]]&gt;8,EPe_BA_intern_assesment_Raw_data___Sheet13[[#This Row],[Customer Rating]])</f>
        <v>0</v>
      </c>
      <c r="Q272" t="str">
        <f>IF(AND(EPe_BA_intern_assesment_Raw_data___Sheet13[[#This Row],[Customer Rating]]&gt;6,EPe_BA_intern_assesment_Raw_data___Sheet13[[#This Row],[Customer Rating]]&lt;9), EPe_BA_intern_assesment_Raw_data___Sheet13[[#This Row],[Customer Rating]], "")</f>
        <v/>
      </c>
      <c r="R272">
        <f>IF(EPe_BA_intern_assesment_Raw_data___Sheet13[[#This Row],[Customer Rating]]&lt;7,EPe_BA_intern_assesment_Raw_data___Sheet13[[#This Row],[Customer Rating]])</f>
        <v>5</v>
      </c>
    </row>
    <row r="273" spans="1:18" x14ac:dyDescent="0.3">
      <c r="A273" t="s">
        <v>301</v>
      </c>
      <c r="B273" t="s">
        <v>16</v>
      </c>
      <c r="C273" t="s">
        <v>32</v>
      </c>
      <c r="D273" s="1">
        <v>45960</v>
      </c>
      <c r="E273" s="1">
        <v>45965</v>
      </c>
      <c r="F273" s="1">
        <v>45967</v>
      </c>
      <c r="G273" s="1">
        <v>45969</v>
      </c>
      <c r="H273" t="s">
        <v>18</v>
      </c>
      <c r="I273" t="s">
        <v>19</v>
      </c>
      <c r="J273" s="1">
        <v>45984</v>
      </c>
      <c r="K273">
        <v>5</v>
      </c>
      <c r="L273">
        <v>2</v>
      </c>
      <c r="M273">
        <v>2</v>
      </c>
      <c r="N273">
        <v>6</v>
      </c>
      <c r="O273">
        <v>9</v>
      </c>
      <c r="P273" t="b">
        <f>IF(EPe_BA_intern_assesment_Raw_data___Sheet13[[#This Row],[Customer Rating]]&gt;8,EPe_BA_intern_assesment_Raw_data___Sheet13[[#This Row],[Customer Rating]])</f>
        <v>0</v>
      </c>
      <c r="Q273" t="str">
        <f>IF(AND(EPe_BA_intern_assesment_Raw_data___Sheet13[[#This Row],[Customer Rating]]&gt;6,EPe_BA_intern_assesment_Raw_data___Sheet13[[#This Row],[Customer Rating]]&lt;9), EPe_BA_intern_assesment_Raw_data___Sheet13[[#This Row],[Customer Rating]], "")</f>
        <v/>
      </c>
      <c r="R273">
        <f>IF(EPe_BA_intern_assesment_Raw_data___Sheet13[[#This Row],[Customer Rating]]&lt;7,EPe_BA_intern_assesment_Raw_data___Sheet13[[#This Row],[Customer Rating]])</f>
        <v>6</v>
      </c>
    </row>
    <row r="274" spans="1:18" x14ac:dyDescent="0.3">
      <c r="A274" t="s">
        <v>302</v>
      </c>
      <c r="B274" t="s">
        <v>16</v>
      </c>
      <c r="C274" t="s">
        <v>17</v>
      </c>
      <c r="D274" s="1">
        <v>45939</v>
      </c>
      <c r="E274" s="1">
        <v>45940</v>
      </c>
      <c r="F274" s="1">
        <v>45944</v>
      </c>
      <c r="G274" s="1">
        <v>45949</v>
      </c>
      <c r="H274" t="s">
        <v>18</v>
      </c>
      <c r="I274" t="s">
        <v>19</v>
      </c>
      <c r="J274" s="1">
        <v>45973</v>
      </c>
      <c r="K274">
        <v>1</v>
      </c>
      <c r="L274">
        <v>4</v>
      </c>
      <c r="M274">
        <v>5</v>
      </c>
      <c r="N274">
        <v>9</v>
      </c>
      <c r="O274">
        <v>10</v>
      </c>
      <c r="P274">
        <f>IF(EPe_BA_intern_assesment_Raw_data___Sheet13[[#This Row],[Customer Rating]]&gt;8,EPe_BA_intern_assesment_Raw_data___Sheet13[[#This Row],[Customer Rating]])</f>
        <v>9</v>
      </c>
      <c r="Q274" t="str">
        <f>IF(AND(EPe_BA_intern_assesment_Raw_data___Sheet13[[#This Row],[Customer Rating]]&gt;6,EPe_BA_intern_assesment_Raw_data___Sheet13[[#This Row],[Customer Rating]]&lt;9), EPe_BA_intern_assesment_Raw_data___Sheet13[[#This Row],[Customer Rating]], "")</f>
        <v/>
      </c>
      <c r="R274" t="b">
        <f>IF(EPe_BA_intern_assesment_Raw_data___Sheet13[[#This Row],[Customer Rating]]&lt;7,EPe_BA_intern_assesment_Raw_data___Sheet13[[#This Row],[Customer Rating]])</f>
        <v>0</v>
      </c>
    </row>
    <row r="275" spans="1:18" x14ac:dyDescent="0.3">
      <c r="A275" t="s">
        <v>303</v>
      </c>
      <c r="B275" t="s">
        <v>23</v>
      </c>
      <c r="C275" t="s">
        <v>32</v>
      </c>
      <c r="D275" s="1">
        <v>45957</v>
      </c>
      <c r="E275" s="1">
        <v>45960</v>
      </c>
      <c r="F275" s="1">
        <v>45962</v>
      </c>
      <c r="G275" s="1">
        <v>45968</v>
      </c>
      <c r="H275" t="s">
        <v>18</v>
      </c>
      <c r="I275" t="s">
        <v>19</v>
      </c>
      <c r="J275" s="1">
        <v>45979</v>
      </c>
      <c r="K275">
        <v>3</v>
      </c>
      <c r="L275">
        <v>2</v>
      </c>
      <c r="M275">
        <v>6</v>
      </c>
      <c r="N275">
        <v>2</v>
      </c>
      <c r="O275">
        <v>11</v>
      </c>
      <c r="P275" t="b">
        <f>IF(EPe_BA_intern_assesment_Raw_data___Sheet13[[#This Row],[Customer Rating]]&gt;8,EPe_BA_intern_assesment_Raw_data___Sheet13[[#This Row],[Customer Rating]])</f>
        <v>0</v>
      </c>
      <c r="Q275" t="str">
        <f>IF(AND(EPe_BA_intern_assesment_Raw_data___Sheet13[[#This Row],[Customer Rating]]&gt;6,EPe_BA_intern_assesment_Raw_data___Sheet13[[#This Row],[Customer Rating]]&lt;9), EPe_BA_intern_assesment_Raw_data___Sheet13[[#This Row],[Customer Rating]], "")</f>
        <v/>
      </c>
      <c r="R275">
        <f>IF(EPe_BA_intern_assesment_Raw_data___Sheet13[[#This Row],[Customer Rating]]&lt;7,EPe_BA_intern_assesment_Raw_data___Sheet13[[#This Row],[Customer Rating]])</f>
        <v>2</v>
      </c>
    </row>
    <row r="276" spans="1:18" x14ac:dyDescent="0.3">
      <c r="A276" t="s">
        <v>304</v>
      </c>
      <c r="B276" t="s">
        <v>21</v>
      </c>
      <c r="C276" t="s">
        <v>17</v>
      </c>
      <c r="D276" s="1">
        <v>45935</v>
      </c>
      <c r="E276" s="1">
        <v>45940</v>
      </c>
      <c r="F276" s="1">
        <v>45944</v>
      </c>
      <c r="G276" s="1">
        <v>45951</v>
      </c>
      <c r="H276" t="s">
        <v>18</v>
      </c>
      <c r="I276" t="s">
        <v>19</v>
      </c>
      <c r="J276" s="1">
        <v>45969</v>
      </c>
      <c r="K276">
        <v>5</v>
      </c>
      <c r="L276">
        <v>4</v>
      </c>
      <c r="M276">
        <v>7</v>
      </c>
      <c r="N276">
        <v>3</v>
      </c>
      <c r="O276">
        <v>16</v>
      </c>
      <c r="P276" t="b">
        <f>IF(EPe_BA_intern_assesment_Raw_data___Sheet13[[#This Row],[Customer Rating]]&gt;8,EPe_BA_intern_assesment_Raw_data___Sheet13[[#This Row],[Customer Rating]])</f>
        <v>0</v>
      </c>
      <c r="Q276" t="str">
        <f>IF(AND(EPe_BA_intern_assesment_Raw_data___Sheet13[[#This Row],[Customer Rating]]&gt;6,EPe_BA_intern_assesment_Raw_data___Sheet13[[#This Row],[Customer Rating]]&lt;9), EPe_BA_intern_assesment_Raw_data___Sheet13[[#This Row],[Customer Rating]], "")</f>
        <v/>
      </c>
      <c r="R276">
        <f>IF(EPe_BA_intern_assesment_Raw_data___Sheet13[[#This Row],[Customer Rating]]&lt;7,EPe_BA_intern_assesment_Raw_data___Sheet13[[#This Row],[Customer Rating]])</f>
        <v>3</v>
      </c>
    </row>
    <row r="277" spans="1:18" x14ac:dyDescent="0.3">
      <c r="A277" t="s">
        <v>305</v>
      </c>
      <c r="B277" t="s">
        <v>21</v>
      </c>
      <c r="C277" t="s">
        <v>32</v>
      </c>
      <c r="D277" s="1">
        <v>45933</v>
      </c>
      <c r="E277" s="1">
        <v>45934</v>
      </c>
      <c r="F277" s="1">
        <v>45939</v>
      </c>
      <c r="G277" s="1">
        <v>45943</v>
      </c>
      <c r="H277" t="s">
        <v>18</v>
      </c>
      <c r="I277" t="s">
        <v>19</v>
      </c>
      <c r="J277" s="1">
        <v>45967</v>
      </c>
      <c r="K277">
        <v>1</v>
      </c>
      <c r="L277">
        <v>5</v>
      </c>
      <c r="M277">
        <v>4</v>
      </c>
      <c r="N277">
        <v>10</v>
      </c>
      <c r="O277">
        <v>10</v>
      </c>
      <c r="P277">
        <f>IF(EPe_BA_intern_assesment_Raw_data___Sheet13[[#This Row],[Customer Rating]]&gt;8,EPe_BA_intern_assesment_Raw_data___Sheet13[[#This Row],[Customer Rating]])</f>
        <v>10</v>
      </c>
      <c r="Q277" t="str">
        <f>IF(AND(EPe_BA_intern_assesment_Raw_data___Sheet13[[#This Row],[Customer Rating]]&gt;6,EPe_BA_intern_assesment_Raw_data___Sheet13[[#This Row],[Customer Rating]]&lt;9), EPe_BA_intern_assesment_Raw_data___Sheet13[[#This Row],[Customer Rating]], "")</f>
        <v/>
      </c>
      <c r="R277" t="b">
        <f>IF(EPe_BA_intern_assesment_Raw_data___Sheet13[[#This Row],[Customer Rating]]&lt;7,EPe_BA_intern_assesment_Raw_data___Sheet13[[#This Row],[Customer Rating]])</f>
        <v>0</v>
      </c>
    </row>
    <row r="278" spans="1:18" x14ac:dyDescent="0.3">
      <c r="A278" t="s">
        <v>306</v>
      </c>
      <c r="B278" t="s">
        <v>21</v>
      </c>
      <c r="C278" t="s">
        <v>17</v>
      </c>
      <c r="D278" s="1">
        <v>45932</v>
      </c>
      <c r="E278" s="1">
        <v>45935</v>
      </c>
      <c r="F278" s="1">
        <v>45938</v>
      </c>
      <c r="G278" s="1">
        <v>45945</v>
      </c>
      <c r="H278" t="s">
        <v>18</v>
      </c>
      <c r="I278" t="s">
        <v>19</v>
      </c>
      <c r="J278" s="1">
        <v>45969</v>
      </c>
      <c r="K278">
        <v>3</v>
      </c>
      <c r="L278">
        <v>3</v>
      </c>
      <c r="M278">
        <v>7</v>
      </c>
      <c r="N278">
        <v>8</v>
      </c>
      <c r="O278">
        <v>13</v>
      </c>
      <c r="P278" t="b">
        <f>IF(EPe_BA_intern_assesment_Raw_data___Sheet13[[#This Row],[Customer Rating]]&gt;8,EPe_BA_intern_assesment_Raw_data___Sheet13[[#This Row],[Customer Rating]])</f>
        <v>0</v>
      </c>
      <c r="Q278">
        <f>IF(AND(EPe_BA_intern_assesment_Raw_data___Sheet13[[#This Row],[Customer Rating]]&gt;6,EPe_BA_intern_assesment_Raw_data___Sheet13[[#This Row],[Customer Rating]]&lt;9), EPe_BA_intern_assesment_Raw_data___Sheet13[[#This Row],[Customer Rating]], "")</f>
        <v>8</v>
      </c>
      <c r="R278" t="b">
        <f>IF(EPe_BA_intern_assesment_Raw_data___Sheet13[[#This Row],[Customer Rating]]&lt;7,EPe_BA_intern_assesment_Raw_data___Sheet13[[#This Row],[Customer Rating]])</f>
        <v>0</v>
      </c>
    </row>
    <row r="279" spans="1:18" x14ac:dyDescent="0.3">
      <c r="A279" t="s">
        <v>307</v>
      </c>
      <c r="B279" t="s">
        <v>34</v>
      </c>
      <c r="C279" t="s">
        <v>17</v>
      </c>
      <c r="D279" s="1">
        <v>45936</v>
      </c>
      <c r="E279" s="1">
        <v>45940</v>
      </c>
      <c r="F279" s="1">
        <v>45944</v>
      </c>
      <c r="G279" s="1">
        <v>45948</v>
      </c>
      <c r="H279" t="s">
        <v>18</v>
      </c>
      <c r="I279" t="s">
        <v>19</v>
      </c>
      <c r="J279" s="1">
        <v>45966</v>
      </c>
      <c r="K279">
        <v>4</v>
      </c>
      <c r="L279">
        <v>4</v>
      </c>
      <c r="M279">
        <v>4</v>
      </c>
      <c r="N279">
        <v>1</v>
      </c>
      <c r="O279">
        <v>12</v>
      </c>
      <c r="P279" t="b">
        <f>IF(EPe_BA_intern_assesment_Raw_data___Sheet13[[#This Row],[Customer Rating]]&gt;8,EPe_BA_intern_assesment_Raw_data___Sheet13[[#This Row],[Customer Rating]])</f>
        <v>0</v>
      </c>
      <c r="Q279" t="str">
        <f>IF(AND(EPe_BA_intern_assesment_Raw_data___Sheet13[[#This Row],[Customer Rating]]&gt;6,EPe_BA_intern_assesment_Raw_data___Sheet13[[#This Row],[Customer Rating]]&lt;9), EPe_BA_intern_assesment_Raw_data___Sheet13[[#This Row],[Customer Rating]], "")</f>
        <v/>
      </c>
      <c r="R279">
        <f>IF(EPe_BA_intern_assesment_Raw_data___Sheet13[[#This Row],[Customer Rating]]&lt;7,EPe_BA_intern_assesment_Raw_data___Sheet13[[#This Row],[Customer Rating]])</f>
        <v>1</v>
      </c>
    </row>
    <row r="280" spans="1:18" x14ac:dyDescent="0.3">
      <c r="A280" t="s">
        <v>308</v>
      </c>
      <c r="B280" t="s">
        <v>16</v>
      </c>
      <c r="C280" t="s">
        <v>24</v>
      </c>
      <c r="D280" s="1">
        <v>45956</v>
      </c>
      <c r="E280" s="1"/>
      <c r="F280" s="1"/>
      <c r="G280" s="1"/>
      <c r="H280" t="s">
        <v>25</v>
      </c>
      <c r="I280" t="s">
        <v>26</v>
      </c>
      <c r="J280" s="1"/>
      <c r="P280" t="b">
        <f>IF(EPe_BA_intern_assesment_Raw_data___Sheet13[[#This Row],[Customer Rating]]&gt;8,EPe_BA_intern_assesment_Raw_data___Sheet13[[#This Row],[Customer Rating]])</f>
        <v>0</v>
      </c>
      <c r="Q280" t="str">
        <f>IF(AND(EPe_BA_intern_assesment_Raw_data___Sheet13[[#This Row],[Customer Rating]]&gt;6,EPe_BA_intern_assesment_Raw_data___Sheet13[[#This Row],[Customer Rating]]&lt;9), EPe_BA_intern_assesment_Raw_data___Sheet13[[#This Row],[Customer Rating]], "")</f>
        <v/>
      </c>
      <c r="R280">
        <f>IF(EPe_BA_intern_assesment_Raw_data___Sheet13[[#This Row],[Customer Rating]]&lt;7,EPe_BA_intern_assesment_Raw_data___Sheet13[[#This Row],[Customer Rating]])</f>
        <v>0</v>
      </c>
    </row>
    <row r="281" spans="1:18" x14ac:dyDescent="0.3">
      <c r="A281" t="s">
        <v>309</v>
      </c>
      <c r="B281" t="s">
        <v>16</v>
      </c>
      <c r="C281" t="s">
        <v>32</v>
      </c>
      <c r="D281" s="1">
        <v>45940</v>
      </c>
      <c r="E281" s="1">
        <v>45944</v>
      </c>
      <c r="F281" s="1">
        <v>45949</v>
      </c>
      <c r="G281" s="1">
        <v>45954</v>
      </c>
      <c r="H281" t="s">
        <v>25</v>
      </c>
      <c r="I281" t="s">
        <v>26</v>
      </c>
      <c r="J281" s="1"/>
      <c r="K281">
        <v>4</v>
      </c>
      <c r="L281">
        <v>5</v>
      </c>
      <c r="M281">
        <v>5</v>
      </c>
      <c r="O281">
        <v>14</v>
      </c>
      <c r="P281" t="b">
        <f>IF(EPe_BA_intern_assesment_Raw_data___Sheet13[[#This Row],[Customer Rating]]&gt;8,EPe_BA_intern_assesment_Raw_data___Sheet13[[#This Row],[Customer Rating]])</f>
        <v>0</v>
      </c>
      <c r="Q281" t="str">
        <f>IF(AND(EPe_BA_intern_assesment_Raw_data___Sheet13[[#This Row],[Customer Rating]]&gt;6,EPe_BA_intern_assesment_Raw_data___Sheet13[[#This Row],[Customer Rating]]&lt;9), EPe_BA_intern_assesment_Raw_data___Sheet13[[#This Row],[Customer Rating]], "")</f>
        <v/>
      </c>
      <c r="R281">
        <f>IF(EPe_BA_intern_assesment_Raw_data___Sheet13[[#This Row],[Customer Rating]]&lt;7,EPe_BA_intern_assesment_Raw_data___Sheet13[[#This Row],[Customer Rating]])</f>
        <v>0</v>
      </c>
    </row>
    <row r="282" spans="1:18" x14ac:dyDescent="0.3">
      <c r="A282" t="s">
        <v>310</v>
      </c>
      <c r="B282" t="s">
        <v>16</v>
      </c>
      <c r="C282" t="s">
        <v>17</v>
      </c>
      <c r="D282" s="1">
        <v>45950</v>
      </c>
      <c r="E282" s="1">
        <v>45951</v>
      </c>
      <c r="F282" s="1">
        <v>45955</v>
      </c>
      <c r="G282" s="1">
        <v>45960</v>
      </c>
      <c r="H282" t="s">
        <v>18</v>
      </c>
      <c r="I282" t="s">
        <v>19</v>
      </c>
      <c r="J282" s="1">
        <v>45977</v>
      </c>
      <c r="K282">
        <v>1</v>
      </c>
      <c r="L282">
        <v>4</v>
      </c>
      <c r="M282">
        <v>5</v>
      </c>
      <c r="N282">
        <v>8</v>
      </c>
      <c r="O282">
        <v>10</v>
      </c>
      <c r="P282" t="b">
        <f>IF(EPe_BA_intern_assesment_Raw_data___Sheet13[[#This Row],[Customer Rating]]&gt;8,EPe_BA_intern_assesment_Raw_data___Sheet13[[#This Row],[Customer Rating]])</f>
        <v>0</v>
      </c>
      <c r="Q282">
        <f>IF(AND(EPe_BA_intern_assesment_Raw_data___Sheet13[[#This Row],[Customer Rating]]&gt;6,EPe_BA_intern_assesment_Raw_data___Sheet13[[#This Row],[Customer Rating]]&lt;9), EPe_BA_intern_assesment_Raw_data___Sheet13[[#This Row],[Customer Rating]], "")</f>
        <v>8</v>
      </c>
      <c r="R282" t="b">
        <f>IF(EPe_BA_intern_assesment_Raw_data___Sheet13[[#This Row],[Customer Rating]]&lt;7,EPe_BA_intern_assesment_Raw_data___Sheet13[[#This Row],[Customer Rating]])</f>
        <v>0</v>
      </c>
    </row>
    <row r="283" spans="1:18" x14ac:dyDescent="0.3">
      <c r="A283" t="s">
        <v>311</v>
      </c>
      <c r="B283" t="s">
        <v>34</v>
      </c>
      <c r="C283" t="s">
        <v>24</v>
      </c>
      <c r="D283" s="1">
        <v>45954</v>
      </c>
      <c r="E283" s="1"/>
      <c r="F283" s="1"/>
      <c r="G283" s="1"/>
      <c r="H283" t="s">
        <v>25</v>
      </c>
      <c r="I283" t="s">
        <v>35</v>
      </c>
      <c r="J283" s="1"/>
      <c r="P283" t="b">
        <f>IF(EPe_BA_intern_assesment_Raw_data___Sheet13[[#This Row],[Customer Rating]]&gt;8,EPe_BA_intern_assesment_Raw_data___Sheet13[[#This Row],[Customer Rating]])</f>
        <v>0</v>
      </c>
      <c r="Q283" t="str">
        <f>IF(AND(EPe_BA_intern_assesment_Raw_data___Sheet13[[#This Row],[Customer Rating]]&gt;6,EPe_BA_intern_assesment_Raw_data___Sheet13[[#This Row],[Customer Rating]]&lt;9), EPe_BA_intern_assesment_Raw_data___Sheet13[[#This Row],[Customer Rating]], "")</f>
        <v/>
      </c>
      <c r="R283">
        <f>IF(EPe_BA_intern_assesment_Raw_data___Sheet13[[#This Row],[Customer Rating]]&lt;7,EPe_BA_intern_assesment_Raw_data___Sheet13[[#This Row],[Customer Rating]])</f>
        <v>0</v>
      </c>
    </row>
    <row r="284" spans="1:18" x14ac:dyDescent="0.3">
      <c r="A284" t="s">
        <v>312</v>
      </c>
      <c r="B284" t="s">
        <v>16</v>
      </c>
      <c r="C284" t="s">
        <v>32</v>
      </c>
      <c r="D284" s="1">
        <v>45957</v>
      </c>
      <c r="E284" s="1">
        <v>45958</v>
      </c>
      <c r="F284" s="1">
        <v>45963</v>
      </c>
      <c r="G284" s="1">
        <v>45967</v>
      </c>
      <c r="H284" t="s">
        <v>25</v>
      </c>
      <c r="I284" t="s">
        <v>28</v>
      </c>
      <c r="J284" s="1"/>
      <c r="K284">
        <v>1</v>
      </c>
      <c r="L284">
        <v>5</v>
      </c>
      <c r="M284">
        <v>4</v>
      </c>
      <c r="O284">
        <v>10</v>
      </c>
      <c r="P284" t="b">
        <f>IF(EPe_BA_intern_assesment_Raw_data___Sheet13[[#This Row],[Customer Rating]]&gt;8,EPe_BA_intern_assesment_Raw_data___Sheet13[[#This Row],[Customer Rating]])</f>
        <v>0</v>
      </c>
      <c r="Q284" t="str">
        <f>IF(AND(EPe_BA_intern_assesment_Raw_data___Sheet13[[#This Row],[Customer Rating]]&gt;6,EPe_BA_intern_assesment_Raw_data___Sheet13[[#This Row],[Customer Rating]]&lt;9), EPe_BA_intern_assesment_Raw_data___Sheet13[[#This Row],[Customer Rating]], "")</f>
        <v/>
      </c>
      <c r="R284">
        <f>IF(EPe_BA_intern_assesment_Raw_data___Sheet13[[#This Row],[Customer Rating]]&lt;7,EPe_BA_intern_assesment_Raw_data___Sheet13[[#This Row],[Customer Rating]])</f>
        <v>0</v>
      </c>
    </row>
    <row r="285" spans="1:18" x14ac:dyDescent="0.3">
      <c r="A285" t="s">
        <v>313</v>
      </c>
      <c r="B285" t="s">
        <v>34</v>
      </c>
      <c r="C285" t="s">
        <v>24</v>
      </c>
      <c r="D285" s="1">
        <v>45949</v>
      </c>
      <c r="E285" s="1"/>
      <c r="F285" s="1"/>
      <c r="G285" s="1"/>
      <c r="H285" t="s">
        <v>25</v>
      </c>
      <c r="I285" t="s">
        <v>35</v>
      </c>
      <c r="J285" s="1"/>
      <c r="P285" t="b">
        <f>IF(EPe_BA_intern_assesment_Raw_data___Sheet13[[#This Row],[Customer Rating]]&gt;8,EPe_BA_intern_assesment_Raw_data___Sheet13[[#This Row],[Customer Rating]])</f>
        <v>0</v>
      </c>
      <c r="Q285" t="str">
        <f>IF(AND(EPe_BA_intern_assesment_Raw_data___Sheet13[[#This Row],[Customer Rating]]&gt;6,EPe_BA_intern_assesment_Raw_data___Sheet13[[#This Row],[Customer Rating]]&lt;9), EPe_BA_intern_assesment_Raw_data___Sheet13[[#This Row],[Customer Rating]], "")</f>
        <v/>
      </c>
      <c r="R285">
        <f>IF(EPe_BA_intern_assesment_Raw_data___Sheet13[[#This Row],[Customer Rating]]&lt;7,EPe_BA_intern_assesment_Raw_data___Sheet13[[#This Row],[Customer Rating]])</f>
        <v>0</v>
      </c>
    </row>
    <row r="286" spans="1:18" x14ac:dyDescent="0.3">
      <c r="A286" t="s">
        <v>314</v>
      </c>
      <c r="B286" t="s">
        <v>21</v>
      </c>
      <c r="C286" t="s">
        <v>17</v>
      </c>
      <c r="D286" s="1">
        <v>45960</v>
      </c>
      <c r="E286" s="1">
        <v>45963</v>
      </c>
      <c r="F286" s="1">
        <v>45965</v>
      </c>
      <c r="G286" s="1">
        <v>45971</v>
      </c>
      <c r="H286" t="s">
        <v>18</v>
      </c>
      <c r="I286" t="s">
        <v>19</v>
      </c>
      <c r="J286" s="1">
        <v>45989</v>
      </c>
      <c r="K286">
        <v>3</v>
      </c>
      <c r="L286">
        <v>2</v>
      </c>
      <c r="M286">
        <v>6</v>
      </c>
      <c r="N286">
        <v>4</v>
      </c>
      <c r="O286">
        <v>11</v>
      </c>
      <c r="P286" t="b">
        <f>IF(EPe_BA_intern_assesment_Raw_data___Sheet13[[#This Row],[Customer Rating]]&gt;8,EPe_BA_intern_assesment_Raw_data___Sheet13[[#This Row],[Customer Rating]])</f>
        <v>0</v>
      </c>
      <c r="Q286" t="str">
        <f>IF(AND(EPe_BA_intern_assesment_Raw_data___Sheet13[[#This Row],[Customer Rating]]&gt;6,EPe_BA_intern_assesment_Raw_data___Sheet13[[#This Row],[Customer Rating]]&lt;9), EPe_BA_intern_assesment_Raw_data___Sheet13[[#This Row],[Customer Rating]], "")</f>
        <v/>
      </c>
      <c r="R286">
        <f>IF(EPe_BA_intern_assesment_Raw_data___Sheet13[[#This Row],[Customer Rating]]&lt;7,EPe_BA_intern_assesment_Raw_data___Sheet13[[#This Row],[Customer Rating]])</f>
        <v>4</v>
      </c>
    </row>
    <row r="287" spans="1:18" x14ac:dyDescent="0.3">
      <c r="A287" t="s">
        <v>315</v>
      </c>
      <c r="B287" t="s">
        <v>23</v>
      </c>
      <c r="C287" t="s">
        <v>17</v>
      </c>
      <c r="D287" s="1">
        <v>45940</v>
      </c>
      <c r="E287" s="1">
        <v>45943</v>
      </c>
      <c r="F287" s="1">
        <v>45945</v>
      </c>
      <c r="G287" s="1">
        <v>45947</v>
      </c>
      <c r="H287" t="s">
        <v>18</v>
      </c>
      <c r="I287" t="s">
        <v>19</v>
      </c>
      <c r="J287" s="1">
        <v>45975</v>
      </c>
      <c r="K287">
        <v>3</v>
      </c>
      <c r="L287">
        <v>2</v>
      </c>
      <c r="M287">
        <v>2</v>
      </c>
      <c r="N287">
        <v>9</v>
      </c>
      <c r="O287">
        <v>7</v>
      </c>
      <c r="P287">
        <f>IF(EPe_BA_intern_assesment_Raw_data___Sheet13[[#This Row],[Customer Rating]]&gt;8,EPe_BA_intern_assesment_Raw_data___Sheet13[[#This Row],[Customer Rating]])</f>
        <v>9</v>
      </c>
      <c r="Q287" t="str">
        <f>IF(AND(EPe_BA_intern_assesment_Raw_data___Sheet13[[#This Row],[Customer Rating]]&gt;6,EPe_BA_intern_assesment_Raw_data___Sheet13[[#This Row],[Customer Rating]]&lt;9), EPe_BA_intern_assesment_Raw_data___Sheet13[[#This Row],[Customer Rating]], "")</f>
        <v/>
      </c>
      <c r="R287" t="b">
        <f>IF(EPe_BA_intern_assesment_Raw_data___Sheet13[[#This Row],[Customer Rating]]&lt;7,EPe_BA_intern_assesment_Raw_data___Sheet13[[#This Row],[Customer Rating]])</f>
        <v>0</v>
      </c>
    </row>
    <row r="288" spans="1:18" x14ac:dyDescent="0.3">
      <c r="A288" t="s">
        <v>316</v>
      </c>
      <c r="B288" t="s">
        <v>16</v>
      </c>
      <c r="C288" t="s">
        <v>24</v>
      </c>
      <c r="D288" s="1">
        <v>45945</v>
      </c>
      <c r="E288" s="1"/>
      <c r="F288" s="1"/>
      <c r="G288" s="1"/>
      <c r="H288" t="s">
        <v>25</v>
      </c>
      <c r="I288" t="s">
        <v>28</v>
      </c>
      <c r="J288" s="1"/>
      <c r="P288" t="b">
        <f>IF(EPe_BA_intern_assesment_Raw_data___Sheet13[[#This Row],[Customer Rating]]&gt;8,EPe_BA_intern_assesment_Raw_data___Sheet13[[#This Row],[Customer Rating]])</f>
        <v>0</v>
      </c>
      <c r="Q288" t="str">
        <f>IF(AND(EPe_BA_intern_assesment_Raw_data___Sheet13[[#This Row],[Customer Rating]]&gt;6,EPe_BA_intern_assesment_Raw_data___Sheet13[[#This Row],[Customer Rating]]&lt;9), EPe_BA_intern_assesment_Raw_data___Sheet13[[#This Row],[Customer Rating]], "")</f>
        <v/>
      </c>
      <c r="R288">
        <f>IF(EPe_BA_intern_assesment_Raw_data___Sheet13[[#This Row],[Customer Rating]]&lt;7,EPe_BA_intern_assesment_Raw_data___Sheet13[[#This Row],[Customer Rating]])</f>
        <v>0</v>
      </c>
    </row>
    <row r="289" spans="1:18" x14ac:dyDescent="0.3">
      <c r="A289" t="s">
        <v>317</v>
      </c>
      <c r="B289" t="s">
        <v>16</v>
      </c>
      <c r="C289" t="s">
        <v>32</v>
      </c>
      <c r="D289" s="1">
        <v>45934</v>
      </c>
      <c r="E289" s="1">
        <v>45935</v>
      </c>
      <c r="F289" s="1">
        <v>45940</v>
      </c>
      <c r="G289" s="1">
        <v>45947</v>
      </c>
      <c r="H289" t="s">
        <v>18</v>
      </c>
      <c r="I289" t="s">
        <v>19</v>
      </c>
      <c r="J289" s="1">
        <v>45958</v>
      </c>
      <c r="K289">
        <v>1</v>
      </c>
      <c r="L289">
        <v>5</v>
      </c>
      <c r="M289">
        <v>7</v>
      </c>
      <c r="N289">
        <v>2</v>
      </c>
      <c r="O289">
        <v>13</v>
      </c>
      <c r="P289" t="b">
        <f>IF(EPe_BA_intern_assesment_Raw_data___Sheet13[[#This Row],[Customer Rating]]&gt;8,EPe_BA_intern_assesment_Raw_data___Sheet13[[#This Row],[Customer Rating]])</f>
        <v>0</v>
      </c>
      <c r="Q289" t="str">
        <f>IF(AND(EPe_BA_intern_assesment_Raw_data___Sheet13[[#This Row],[Customer Rating]]&gt;6,EPe_BA_intern_assesment_Raw_data___Sheet13[[#This Row],[Customer Rating]]&lt;9), EPe_BA_intern_assesment_Raw_data___Sheet13[[#This Row],[Customer Rating]], "")</f>
        <v/>
      </c>
      <c r="R289">
        <f>IF(EPe_BA_intern_assesment_Raw_data___Sheet13[[#This Row],[Customer Rating]]&lt;7,EPe_BA_intern_assesment_Raw_data___Sheet13[[#This Row],[Customer Rating]])</f>
        <v>2</v>
      </c>
    </row>
    <row r="290" spans="1:18" x14ac:dyDescent="0.3">
      <c r="A290" t="s">
        <v>318</v>
      </c>
      <c r="B290" t="s">
        <v>21</v>
      </c>
      <c r="C290" t="s">
        <v>17</v>
      </c>
      <c r="D290" s="1">
        <v>45945</v>
      </c>
      <c r="E290" s="1">
        <v>45946</v>
      </c>
      <c r="F290" s="1">
        <v>45947</v>
      </c>
      <c r="G290" s="1">
        <v>45949</v>
      </c>
      <c r="H290" t="s">
        <v>25</v>
      </c>
      <c r="I290" t="s">
        <v>35</v>
      </c>
      <c r="J290" s="1"/>
      <c r="K290">
        <v>1</v>
      </c>
      <c r="L290">
        <v>1</v>
      </c>
      <c r="M290">
        <v>2</v>
      </c>
      <c r="O290">
        <v>4</v>
      </c>
      <c r="P290" t="b">
        <f>IF(EPe_BA_intern_assesment_Raw_data___Sheet13[[#This Row],[Customer Rating]]&gt;8,EPe_BA_intern_assesment_Raw_data___Sheet13[[#This Row],[Customer Rating]])</f>
        <v>0</v>
      </c>
      <c r="Q290" t="str">
        <f>IF(AND(EPe_BA_intern_assesment_Raw_data___Sheet13[[#This Row],[Customer Rating]]&gt;6,EPe_BA_intern_assesment_Raw_data___Sheet13[[#This Row],[Customer Rating]]&lt;9), EPe_BA_intern_assesment_Raw_data___Sheet13[[#This Row],[Customer Rating]], "")</f>
        <v/>
      </c>
      <c r="R290">
        <f>IF(EPe_BA_intern_assesment_Raw_data___Sheet13[[#This Row],[Customer Rating]]&lt;7,EPe_BA_intern_assesment_Raw_data___Sheet13[[#This Row],[Customer Rating]])</f>
        <v>0</v>
      </c>
    </row>
    <row r="291" spans="1:18" x14ac:dyDescent="0.3">
      <c r="A291" t="s">
        <v>319</v>
      </c>
      <c r="B291" t="s">
        <v>23</v>
      </c>
      <c r="C291" t="s">
        <v>24</v>
      </c>
      <c r="D291" s="1">
        <v>45953</v>
      </c>
      <c r="E291" s="1"/>
      <c r="F291" s="1"/>
      <c r="G291" s="1"/>
      <c r="H291" t="s">
        <v>25</v>
      </c>
      <c r="I291" t="s">
        <v>26</v>
      </c>
      <c r="J291" s="1"/>
      <c r="P291" t="b">
        <f>IF(EPe_BA_intern_assesment_Raw_data___Sheet13[[#This Row],[Customer Rating]]&gt;8,EPe_BA_intern_assesment_Raw_data___Sheet13[[#This Row],[Customer Rating]])</f>
        <v>0</v>
      </c>
      <c r="Q291" t="str">
        <f>IF(AND(EPe_BA_intern_assesment_Raw_data___Sheet13[[#This Row],[Customer Rating]]&gt;6,EPe_BA_intern_assesment_Raw_data___Sheet13[[#This Row],[Customer Rating]]&lt;9), EPe_BA_intern_assesment_Raw_data___Sheet13[[#This Row],[Customer Rating]], "")</f>
        <v/>
      </c>
      <c r="R291">
        <f>IF(EPe_BA_intern_assesment_Raw_data___Sheet13[[#This Row],[Customer Rating]]&lt;7,EPe_BA_intern_assesment_Raw_data___Sheet13[[#This Row],[Customer Rating]])</f>
        <v>0</v>
      </c>
    </row>
    <row r="292" spans="1:18" x14ac:dyDescent="0.3">
      <c r="A292" t="s">
        <v>320</v>
      </c>
      <c r="B292" t="s">
        <v>34</v>
      </c>
      <c r="C292" t="s">
        <v>32</v>
      </c>
      <c r="D292" s="1">
        <v>45940</v>
      </c>
      <c r="E292" s="1">
        <v>45945</v>
      </c>
      <c r="F292" s="1">
        <v>45950</v>
      </c>
      <c r="G292" s="1">
        <v>45957</v>
      </c>
      <c r="H292" t="s">
        <v>18</v>
      </c>
      <c r="I292" t="s">
        <v>19</v>
      </c>
      <c r="J292" s="1">
        <v>45971</v>
      </c>
      <c r="K292">
        <v>5</v>
      </c>
      <c r="L292">
        <v>5</v>
      </c>
      <c r="M292">
        <v>7</v>
      </c>
      <c r="N292">
        <v>4</v>
      </c>
      <c r="O292">
        <v>17</v>
      </c>
      <c r="P292" t="b">
        <f>IF(EPe_BA_intern_assesment_Raw_data___Sheet13[[#This Row],[Customer Rating]]&gt;8,EPe_BA_intern_assesment_Raw_data___Sheet13[[#This Row],[Customer Rating]])</f>
        <v>0</v>
      </c>
      <c r="Q292" t="str">
        <f>IF(AND(EPe_BA_intern_assesment_Raw_data___Sheet13[[#This Row],[Customer Rating]]&gt;6,EPe_BA_intern_assesment_Raw_data___Sheet13[[#This Row],[Customer Rating]]&lt;9), EPe_BA_intern_assesment_Raw_data___Sheet13[[#This Row],[Customer Rating]], "")</f>
        <v/>
      </c>
      <c r="R292">
        <f>IF(EPe_BA_intern_assesment_Raw_data___Sheet13[[#This Row],[Customer Rating]]&lt;7,EPe_BA_intern_assesment_Raw_data___Sheet13[[#This Row],[Customer Rating]])</f>
        <v>4</v>
      </c>
    </row>
    <row r="293" spans="1:18" x14ac:dyDescent="0.3">
      <c r="A293" t="s">
        <v>321</v>
      </c>
      <c r="B293" t="s">
        <v>23</v>
      </c>
      <c r="C293" t="s">
        <v>17</v>
      </c>
      <c r="D293" s="1">
        <v>45953</v>
      </c>
      <c r="E293" s="1">
        <v>45958</v>
      </c>
      <c r="F293" s="1">
        <v>45962</v>
      </c>
      <c r="G293" s="1">
        <v>45967</v>
      </c>
      <c r="H293" t="s">
        <v>18</v>
      </c>
      <c r="I293" t="s">
        <v>19</v>
      </c>
      <c r="J293" s="1">
        <v>45980</v>
      </c>
      <c r="K293">
        <v>5</v>
      </c>
      <c r="L293">
        <v>4</v>
      </c>
      <c r="M293">
        <v>5</v>
      </c>
      <c r="N293">
        <v>1</v>
      </c>
      <c r="O293">
        <v>14</v>
      </c>
      <c r="P293" t="b">
        <f>IF(EPe_BA_intern_assesment_Raw_data___Sheet13[[#This Row],[Customer Rating]]&gt;8,EPe_BA_intern_assesment_Raw_data___Sheet13[[#This Row],[Customer Rating]])</f>
        <v>0</v>
      </c>
      <c r="Q293" t="str">
        <f>IF(AND(EPe_BA_intern_assesment_Raw_data___Sheet13[[#This Row],[Customer Rating]]&gt;6,EPe_BA_intern_assesment_Raw_data___Sheet13[[#This Row],[Customer Rating]]&lt;9), EPe_BA_intern_assesment_Raw_data___Sheet13[[#This Row],[Customer Rating]], "")</f>
        <v/>
      </c>
      <c r="R293">
        <f>IF(EPe_BA_intern_assesment_Raw_data___Sheet13[[#This Row],[Customer Rating]]&lt;7,EPe_BA_intern_assesment_Raw_data___Sheet13[[#This Row],[Customer Rating]])</f>
        <v>1</v>
      </c>
    </row>
    <row r="294" spans="1:18" x14ac:dyDescent="0.3">
      <c r="A294" t="s">
        <v>322</v>
      </c>
      <c r="B294" t="s">
        <v>21</v>
      </c>
      <c r="C294" t="s">
        <v>24</v>
      </c>
      <c r="D294" s="1">
        <v>45943</v>
      </c>
      <c r="E294" s="1"/>
      <c r="F294" s="1"/>
      <c r="G294" s="1"/>
      <c r="H294" t="s">
        <v>25</v>
      </c>
      <c r="I294" t="s">
        <v>26</v>
      </c>
      <c r="J294" s="1"/>
      <c r="P294" t="b">
        <f>IF(EPe_BA_intern_assesment_Raw_data___Sheet13[[#This Row],[Customer Rating]]&gt;8,EPe_BA_intern_assesment_Raw_data___Sheet13[[#This Row],[Customer Rating]])</f>
        <v>0</v>
      </c>
      <c r="Q294" t="str">
        <f>IF(AND(EPe_BA_intern_assesment_Raw_data___Sheet13[[#This Row],[Customer Rating]]&gt;6,EPe_BA_intern_assesment_Raw_data___Sheet13[[#This Row],[Customer Rating]]&lt;9), EPe_BA_intern_assesment_Raw_data___Sheet13[[#This Row],[Customer Rating]], "")</f>
        <v/>
      </c>
      <c r="R294">
        <f>IF(EPe_BA_intern_assesment_Raw_data___Sheet13[[#This Row],[Customer Rating]]&lt;7,EPe_BA_intern_assesment_Raw_data___Sheet13[[#This Row],[Customer Rating]])</f>
        <v>0</v>
      </c>
    </row>
    <row r="295" spans="1:18" x14ac:dyDescent="0.3">
      <c r="A295" t="s">
        <v>323</v>
      </c>
      <c r="B295" t="s">
        <v>21</v>
      </c>
      <c r="C295" t="s">
        <v>32</v>
      </c>
      <c r="D295" s="1">
        <v>45961</v>
      </c>
      <c r="E295" s="1">
        <v>45966</v>
      </c>
      <c r="F295" s="1">
        <v>45971</v>
      </c>
      <c r="G295" s="1">
        <v>45978</v>
      </c>
      <c r="H295" t="s">
        <v>18</v>
      </c>
      <c r="I295" t="s">
        <v>19</v>
      </c>
      <c r="J295" s="1">
        <v>45990</v>
      </c>
      <c r="K295">
        <v>5</v>
      </c>
      <c r="L295">
        <v>5</v>
      </c>
      <c r="M295">
        <v>7</v>
      </c>
      <c r="N295">
        <v>6</v>
      </c>
      <c r="O295">
        <v>17</v>
      </c>
      <c r="P295" t="b">
        <f>IF(EPe_BA_intern_assesment_Raw_data___Sheet13[[#This Row],[Customer Rating]]&gt;8,EPe_BA_intern_assesment_Raw_data___Sheet13[[#This Row],[Customer Rating]])</f>
        <v>0</v>
      </c>
      <c r="Q295" t="str">
        <f>IF(AND(EPe_BA_intern_assesment_Raw_data___Sheet13[[#This Row],[Customer Rating]]&gt;6,EPe_BA_intern_assesment_Raw_data___Sheet13[[#This Row],[Customer Rating]]&lt;9), EPe_BA_intern_assesment_Raw_data___Sheet13[[#This Row],[Customer Rating]], "")</f>
        <v/>
      </c>
      <c r="R295">
        <f>IF(EPe_BA_intern_assesment_Raw_data___Sheet13[[#This Row],[Customer Rating]]&lt;7,EPe_BA_intern_assesment_Raw_data___Sheet13[[#This Row],[Customer Rating]])</f>
        <v>6</v>
      </c>
    </row>
    <row r="296" spans="1:18" x14ac:dyDescent="0.3">
      <c r="A296" t="s">
        <v>324</v>
      </c>
      <c r="B296" t="s">
        <v>23</v>
      </c>
      <c r="C296" t="s">
        <v>24</v>
      </c>
      <c r="D296" s="1">
        <v>45939</v>
      </c>
      <c r="E296" s="1"/>
      <c r="F296" s="1"/>
      <c r="G296" s="1"/>
      <c r="H296" t="s">
        <v>25</v>
      </c>
      <c r="I296" t="s">
        <v>103</v>
      </c>
      <c r="J296" s="1"/>
      <c r="P296" t="b">
        <f>IF(EPe_BA_intern_assesment_Raw_data___Sheet13[[#This Row],[Customer Rating]]&gt;8,EPe_BA_intern_assesment_Raw_data___Sheet13[[#This Row],[Customer Rating]])</f>
        <v>0</v>
      </c>
      <c r="Q296" t="str">
        <f>IF(AND(EPe_BA_intern_assesment_Raw_data___Sheet13[[#This Row],[Customer Rating]]&gt;6,EPe_BA_intern_assesment_Raw_data___Sheet13[[#This Row],[Customer Rating]]&lt;9), EPe_BA_intern_assesment_Raw_data___Sheet13[[#This Row],[Customer Rating]], "")</f>
        <v/>
      </c>
      <c r="R296">
        <f>IF(EPe_BA_intern_assesment_Raw_data___Sheet13[[#This Row],[Customer Rating]]&lt;7,EPe_BA_intern_assesment_Raw_data___Sheet13[[#This Row],[Customer Rating]])</f>
        <v>0</v>
      </c>
    </row>
    <row r="297" spans="1:18" x14ac:dyDescent="0.3">
      <c r="A297" t="s">
        <v>325</v>
      </c>
      <c r="B297" t="s">
        <v>34</v>
      </c>
      <c r="C297" t="s">
        <v>17</v>
      </c>
      <c r="D297" s="1">
        <v>45947</v>
      </c>
      <c r="E297" s="1">
        <v>45951</v>
      </c>
      <c r="F297" s="1">
        <v>45954</v>
      </c>
      <c r="G297" s="1">
        <v>45961</v>
      </c>
      <c r="H297" t="s">
        <v>25</v>
      </c>
      <c r="I297" t="s">
        <v>65</v>
      </c>
      <c r="J297" s="1"/>
      <c r="K297">
        <v>4</v>
      </c>
      <c r="L297">
        <v>3</v>
      </c>
      <c r="M297">
        <v>7</v>
      </c>
      <c r="O297">
        <v>14</v>
      </c>
      <c r="P297" t="b">
        <f>IF(EPe_BA_intern_assesment_Raw_data___Sheet13[[#This Row],[Customer Rating]]&gt;8,EPe_BA_intern_assesment_Raw_data___Sheet13[[#This Row],[Customer Rating]])</f>
        <v>0</v>
      </c>
      <c r="Q297" t="str">
        <f>IF(AND(EPe_BA_intern_assesment_Raw_data___Sheet13[[#This Row],[Customer Rating]]&gt;6,EPe_BA_intern_assesment_Raw_data___Sheet13[[#This Row],[Customer Rating]]&lt;9), EPe_BA_intern_assesment_Raw_data___Sheet13[[#This Row],[Customer Rating]], "")</f>
        <v/>
      </c>
      <c r="R297">
        <f>IF(EPe_BA_intern_assesment_Raw_data___Sheet13[[#This Row],[Customer Rating]]&lt;7,EPe_BA_intern_assesment_Raw_data___Sheet13[[#This Row],[Customer Rating]])</f>
        <v>0</v>
      </c>
    </row>
    <row r="298" spans="1:18" x14ac:dyDescent="0.3">
      <c r="A298" t="s">
        <v>326</v>
      </c>
      <c r="B298" t="s">
        <v>34</v>
      </c>
      <c r="C298" t="s">
        <v>17</v>
      </c>
      <c r="D298" s="1">
        <v>45948</v>
      </c>
      <c r="E298" s="1">
        <v>45952</v>
      </c>
      <c r="F298" s="1">
        <v>45953</v>
      </c>
      <c r="G298" s="1">
        <v>45960</v>
      </c>
      <c r="H298" t="s">
        <v>18</v>
      </c>
      <c r="I298" t="s">
        <v>19</v>
      </c>
      <c r="J298" s="1">
        <v>45981</v>
      </c>
      <c r="K298">
        <v>4</v>
      </c>
      <c r="L298">
        <v>1</v>
      </c>
      <c r="M298">
        <v>7</v>
      </c>
      <c r="N298">
        <v>6</v>
      </c>
      <c r="O298">
        <v>12</v>
      </c>
      <c r="P298" t="b">
        <f>IF(EPe_BA_intern_assesment_Raw_data___Sheet13[[#This Row],[Customer Rating]]&gt;8,EPe_BA_intern_assesment_Raw_data___Sheet13[[#This Row],[Customer Rating]])</f>
        <v>0</v>
      </c>
      <c r="Q298" t="str">
        <f>IF(AND(EPe_BA_intern_assesment_Raw_data___Sheet13[[#This Row],[Customer Rating]]&gt;6,EPe_BA_intern_assesment_Raw_data___Sheet13[[#This Row],[Customer Rating]]&lt;9), EPe_BA_intern_assesment_Raw_data___Sheet13[[#This Row],[Customer Rating]], "")</f>
        <v/>
      </c>
      <c r="R298">
        <f>IF(EPe_BA_intern_assesment_Raw_data___Sheet13[[#This Row],[Customer Rating]]&lt;7,EPe_BA_intern_assesment_Raw_data___Sheet13[[#This Row],[Customer Rating]])</f>
        <v>6</v>
      </c>
    </row>
    <row r="299" spans="1:18" x14ac:dyDescent="0.3">
      <c r="A299" t="s">
        <v>327</v>
      </c>
      <c r="B299" t="s">
        <v>16</v>
      </c>
      <c r="C299" t="s">
        <v>17</v>
      </c>
      <c r="D299" s="1">
        <v>45946</v>
      </c>
      <c r="E299" s="1">
        <v>45951</v>
      </c>
      <c r="F299" s="1">
        <v>45956</v>
      </c>
      <c r="G299" s="1">
        <v>45960</v>
      </c>
      <c r="H299" t="s">
        <v>18</v>
      </c>
      <c r="I299" t="s">
        <v>19</v>
      </c>
      <c r="J299" s="1">
        <v>45987</v>
      </c>
      <c r="K299">
        <v>5</v>
      </c>
      <c r="L299">
        <v>5</v>
      </c>
      <c r="M299">
        <v>4</v>
      </c>
      <c r="N299">
        <v>10</v>
      </c>
      <c r="O299">
        <v>14</v>
      </c>
      <c r="P299">
        <f>IF(EPe_BA_intern_assesment_Raw_data___Sheet13[[#This Row],[Customer Rating]]&gt;8,EPe_BA_intern_assesment_Raw_data___Sheet13[[#This Row],[Customer Rating]])</f>
        <v>10</v>
      </c>
      <c r="Q299" t="str">
        <f>IF(AND(EPe_BA_intern_assesment_Raw_data___Sheet13[[#This Row],[Customer Rating]]&gt;6,EPe_BA_intern_assesment_Raw_data___Sheet13[[#This Row],[Customer Rating]]&lt;9), EPe_BA_intern_assesment_Raw_data___Sheet13[[#This Row],[Customer Rating]], "")</f>
        <v/>
      </c>
      <c r="R299" t="b">
        <f>IF(EPe_BA_intern_assesment_Raw_data___Sheet13[[#This Row],[Customer Rating]]&lt;7,EPe_BA_intern_assesment_Raw_data___Sheet13[[#This Row],[Customer Rating]])</f>
        <v>0</v>
      </c>
    </row>
    <row r="300" spans="1:18" x14ac:dyDescent="0.3">
      <c r="A300" t="s">
        <v>328</v>
      </c>
      <c r="B300" t="s">
        <v>34</v>
      </c>
      <c r="C300" t="s">
        <v>32</v>
      </c>
      <c r="D300" s="1">
        <v>45945</v>
      </c>
      <c r="E300" s="1">
        <v>45950</v>
      </c>
      <c r="F300" s="1">
        <v>45951</v>
      </c>
      <c r="G300" s="1">
        <v>45953</v>
      </c>
      <c r="H300" t="s">
        <v>18</v>
      </c>
      <c r="I300" t="s">
        <v>19</v>
      </c>
      <c r="J300" s="1">
        <v>45976</v>
      </c>
      <c r="K300">
        <v>5</v>
      </c>
      <c r="L300">
        <v>1</v>
      </c>
      <c r="M300">
        <v>2</v>
      </c>
      <c r="N300">
        <v>10</v>
      </c>
      <c r="O300">
        <v>8</v>
      </c>
      <c r="P300">
        <f>IF(EPe_BA_intern_assesment_Raw_data___Sheet13[[#This Row],[Customer Rating]]&gt;8,EPe_BA_intern_assesment_Raw_data___Sheet13[[#This Row],[Customer Rating]])</f>
        <v>10</v>
      </c>
      <c r="Q300" t="str">
        <f>IF(AND(EPe_BA_intern_assesment_Raw_data___Sheet13[[#This Row],[Customer Rating]]&gt;6,EPe_BA_intern_assesment_Raw_data___Sheet13[[#This Row],[Customer Rating]]&lt;9), EPe_BA_intern_assesment_Raw_data___Sheet13[[#This Row],[Customer Rating]], "")</f>
        <v/>
      </c>
      <c r="R300" t="b">
        <f>IF(EPe_BA_intern_assesment_Raw_data___Sheet13[[#This Row],[Customer Rating]]&lt;7,EPe_BA_intern_assesment_Raw_data___Sheet13[[#This Row],[Customer Rating]])</f>
        <v>0</v>
      </c>
    </row>
    <row r="301" spans="1:18" x14ac:dyDescent="0.3">
      <c r="A301" t="s">
        <v>329</v>
      </c>
      <c r="B301" t="s">
        <v>23</v>
      </c>
      <c r="C301" t="s">
        <v>24</v>
      </c>
      <c r="D301" s="1">
        <v>45933</v>
      </c>
      <c r="E301" s="1"/>
      <c r="F301" s="1"/>
      <c r="G301" s="1"/>
      <c r="H301" t="s">
        <v>25</v>
      </c>
      <c r="I301" t="s">
        <v>35</v>
      </c>
      <c r="J301" s="1"/>
      <c r="P301" t="b">
        <f>IF(EPe_BA_intern_assesment_Raw_data___Sheet13[[#This Row],[Customer Rating]]&gt;8,EPe_BA_intern_assesment_Raw_data___Sheet13[[#This Row],[Customer Rating]])</f>
        <v>0</v>
      </c>
      <c r="Q301" t="str">
        <f>IF(AND(EPe_BA_intern_assesment_Raw_data___Sheet13[[#This Row],[Customer Rating]]&gt;6,EPe_BA_intern_assesment_Raw_data___Sheet13[[#This Row],[Customer Rating]]&lt;9), EPe_BA_intern_assesment_Raw_data___Sheet13[[#This Row],[Customer Rating]], "")</f>
        <v/>
      </c>
      <c r="R301">
        <f>IF(EPe_BA_intern_assesment_Raw_data___Sheet13[[#This Row],[Customer Rating]]&lt;7,EPe_BA_intern_assesment_Raw_data___Sheet13[[#This Row],[Customer Rating]])</f>
        <v>0</v>
      </c>
    </row>
    <row r="302" spans="1:18" x14ac:dyDescent="0.3">
      <c r="A302" t="s">
        <v>330</v>
      </c>
      <c r="B302" t="s">
        <v>21</v>
      </c>
      <c r="C302" t="s">
        <v>24</v>
      </c>
      <c r="D302" s="1">
        <v>45950</v>
      </c>
      <c r="E302" s="1"/>
      <c r="F302" s="1"/>
      <c r="G302" s="1"/>
      <c r="H302" t="s">
        <v>25</v>
      </c>
      <c r="I302" t="s">
        <v>103</v>
      </c>
      <c r="J302" s="1"/>
      <c r="P302" t="b">
        <f>IF(EPe_BA_intern_assesment_Raw_data___Sheet13[[#This Row],[Customer Rating]]&gt;8,EPe_BA_intern_assesment_Raw_data___Sheet13[[#This Row],[Customer Rating]])</f>
        <v>0</v>
      </c>
      <c r="Q302" t="str">
        <f>IF(AND(EPe_BA_intern_assesment_Raw_data___Sheet13[[#This Row],[Customer Rating]]&gt;6,EPe_BA_intern_assesment_Raw_data___Sheet13[[#This Row],[Customer Rating]]&lt;9), EPe_BA_intern_assesment_Raw_data___Sheet13[[#This Row],[Customer Rating]], "")</f>
        <v/>
      </c>
      <c r="R302">
        <f>IF(EPe_BA_intern_assesment_Raw_data___Sheet13[[#This Row],[Customer Rating]]&lt;7,EPe_BA_intern_assesment_Raw_data___Sheet13[[#This Row],[Customer Rating]])</f>
        <v>0</v>
      </c>
    </row>
    <row r="303" spans="1:18" x14ac:dyDescent="0.3">
      <c r="A303" t="s">
        <v>331</v>
      </c>
      <c r="B303" t="s">
        <v>16</v>
      </c>
      <c r="C303" t="s">
        <v>17</v>
      </c>
      <c r="D303" s="1">
        <v>45932</v>
      </c>
      <c r="E303" s="1">
        <v>45933</v>
      </c>
      <c r="F303" s="1">
        <v>45934</v>
      </c>
      <c r="G303" s="1">
        <v>45940</v>
      </c>
      <c r="H303" t="s">
        <v>18</v>
      </c>
      <c r="I303" t="s">
        <v>19</v>
      </c>
      <c r="J303" s="1">
        <v>45968</v>
      </c>
      <c r="K303">
        <v>1</v>
      </c>
      <c r="L303">
        <v>1</v>
      </c>
      <c r="M303">
        <v>6</v>
      </c>
      <c r="N303">
        <v>8</v>
      </c>
      <c r="O303">
        <v>8</v>
      </c>
      <c r="P303" t="b">
        <f>IF(EPe_BA_intern_assesment_Raw_data___Sheet13[[#This Row],[Customer Rating]]&gt;8,EPe_BA_intern_assesment_Raw_data___Sheet13[[#This Row],[Customer Rating]])</f>
        <v>0</v>
      </c>
      <c r="Q303">
        <f>IF(AND(EPe_BA_intern_assesment_Raw_data___Sheet13[[#This Row],[Customer Rating]]&gt;6,EPe_BA_intern_assesment_Raw_data___Sheet13[[#This Row],[Customer Rating]]&lt;9), EPe_BA_intern_assesment_Raw_data___Sheet13[[#This Row],[Customer Rating]], "")</f>
        <v>8</v>
      </c>
      <c r="R303" t="b">
        <f>IF(EPe_BA_intern_assesment_Raw_data___Sheet13[[#This Row],[Customer Rating]]&lt;7,EPe_BA_intern_assesment_Raw_data___Sheet13[[#This Row],[Customer Rating]])</f>
        <v>0</v>
      </c>
    </row>
    <row r="304" spans="1:18" x14ac:dyDescent="0.3">
      <c r="A304" t="s">
        <v>332</v>
      </c>
      <c r="B304" t="s">
        <v>16</v>
      </c>
      <c r="C304" t="s">
        <v>17</v>
      </c>
      <c r="D304" s="1">
        <v>45959</v>
      </c>
      <c r="E304" s="1">
        <v>45963</v>
      </c>
      <c r="F304" s="1">
        <v>45968</v>
      </c>
      <c r="G304" s="1">
        <v>45973</v>
      </c>
      <c r="H304" t="s">
        <v>18</v>
      </c>
      <c r="I304" t="s">
        <v>19</v>
      </c>
      <c r="J304" s="1">
        <v>45990</v>
      </c>
      <c r="K304">
        <v>4</v>
      </c>
      <c r="L304">
        <v>5</v>
      </c>
      <c r="M304">
        <v>5</v>
      </c>
      <c r="N304">
        <v>5</v>
      </c>
      <c r="O304">
        <v>14</v>
      </c>
      <c r="P304" t="b">
        <f>IF(EPe_BA_intern_assesment_Raw_data___Sheet13[[#This Row],[Customer Rating]]&gt;8,EPe_BA_intern_assesment_Raw_data___Sheet13[[#This Row],[Customer Rating]])</f>
        <v>0</v>
      </c>
      <c r="Q304" t="str">
        <f>IF(AND(EPe_BA_intern_assesment_Raw_data___Sheet13[[#This Row],[Customer Rating]]&gt;6,EPe_BA_intern_assesment_Raw_data___Sheet13[[#This Row],[Customer Rating]]&lt;9), EPe_BA_intern_assesment_Raw_data___Sheet13[[#This Row],[Customer Rating]], "")</f>
        <v/>
      </c>
      <c r="R304">
        <f>IF(EPe_BA_intern_assesment_Raw_data___Sheet13[[#This Row],[Customer Rating]]&lt;7,EPe_BA_intern_assesment_Raw_data___Sheet13[[#This Row],[Customer Rating]])</f>
        <v>5</v>
      </c>
    </row>
    <row r="305" spans="1:18" x14ac:dyDescent="0.3">
      <c r="A305" t="s">
        <v>333</v>
      </c>
      <c r="B305" t="s">
        <v>21</v>
      </c>
      <c r="C305" t="s">
        <v>17</v>
      </c>
      <c r="D305" s="1">
        <v>45944</v>
      </c>
      <c r="E305" s="1">
        <v>45949</v>
      </c>
      <c r="F305" s="1">
        <v>45954</v>
      </c>
      <c r="G305" s="1">
        <v>45957</v>
      </c>
      <c r="H305" t="s">
        <v>18</v>
      </c>
      <c r="I305" t="s">
        <v>19</v>
      </c>
      <c r="J305" s="1">
        <v>45984</v>
      </c>
      <c r="K305">
        <v>5</v>
      </c>
      <c r="L305">
        <v>5</v>
      </c>
      <c r="M305">
        <v>3</v>
      </c>
      <c r="N305">
        <v>6</v>
      </c>
      <c r="O305">
        <v>13</v>
      </c>
      <c r="P305" t="b">
        <f>IF(EPe_BA_intern_assesment_Raw_data___Sheet13[[#This Row],[Customer Rating]]&gt;8,EPe_BA_intern_assesment_Raw_data___Sheet13[[#This Row],[Customer Rating]])</f>
        <v>0</v>
      </c>
      <c r="Q305" t="str">
        <f>IF(AND(EPe_BA_intern_assesment_Raw_data___Sheet13[[#This Row],[Customer Rating]]&gt;6,EPe_BA_intern_assesment_Raw_data___Sheet13[[#This Row],[Customer Rating]]&lt;9), EPe_BA_intern_assesment_Raw_data___Sheet13[[#This Row],[Customer Rating]], "")</f>
        <v/>
      </c>
      <c r="R305">
        <f>IF(EPe_BA_intern_assesment_Raw_data___Sheet13[[#This Row],[Customer Rating]]&lt;7,EPe_BA_intern_assesment_Raw_data___Sheet13[[#This Row],[Customer Rating]])</f>
        <v>6</v>
      </c>
    </row>
    <row r="306" spans="1:18" x14ac:dyDescent="0.3">
      <c r="A306" t="s">
        <v>334</v>
      </c>
      <c r="B306" t="s">
        <v>34</v>
      </c>
      <c r="C306" t="s">
        <v>17</v>
      </c>
      <c r="D306" s="1">
        <v>45954</v>
      </c>
      <c r="E306" s="1">
        <v>45956</v>
      </c>
      <c r="F306" s="1">
        <v>45958</v>
      </c>
      <c r="G306" s="1">
        <v>45963</v>
      </c>
      <c r="H306" t="s">
        <v>18</v>
      </c>
      <c r="I306" t="s">
        <v>19</v>
      </c>
      <c r="J306" s="1">
        <v>45974</v>
      </c>
      <c r="K306">
        <v>2</v>
      </c>
      <c r="L306">
        <v>2</v>
      </c>
      <c r="M306">
        <v>5</v>
      </c>
      <c r="N306">
        <v>1</v>
      </c>
      <c r="O306">
        <v>9</v>
      </c>
      <c r="P306" t="b">
        <f>IF(EPe_BA_intern_assesment_Raw_data___Sheet13[[#This Row],[Customer Rating]]&gt;8,EPe_BA_intern_assesment_Raw_data___Sheet13[[#This Row],[Customer Rating]])</f>
        <v>0</v>
      </c>
      <c r="Q306" t="str">
        <f>IF(AND(EPe_BA_intern_assesment_Raw_data___Sheet13[[#This Row],[Customer Rating]]&gt;6,EPe_BA_intern_assesment_Raw_data___Sheet13[[#This Row],[Customer Rating]]&lt;9), EPe_BA_intern_assesment_Raw_data___Sheet13[[#This Row],[Customer Rating]], "")</f>
        <v/>
      </c>
      <c r="R306">
        <f>IF(EPe_BA_intern_assesment_Raw_data___Sheet13[[#This Row],[Customer Rating]]&lt;7,EPe_BA_intern_assesment_Raw_data___Sheet13[[#This Row],[Customer Rating]])</f>
        <v>1</v>
      </c>
    </row>
    <row r="307" spans="1:18" x14ac:dyDescent="0.3">
      <c r="A307" t="s">
        <v>335</v>
      </c>
      <c r="B307" t="s">
        <v>21</v>
      </c>
      <c r="C307" t="s">
        <v>17</v>
      </c>
      <c r="D307" s="1">
        <v>45941</v>
      </c>
      <c r="E307" s="1">
        <v>45944</v>
      </c>
      <c r="F307" s="1">
        <v>45949</v>
      </c>
      <c r="G307" s="1">
        <v>45952</v>
      </c>
      <c r="H307" t="s">
        <v>18</v>
      </c>
      <c r="I307" t="s">
        <v>19</v>
      </c>
      <c r="J307" s="1">
        <v>45974</v>
      </c>
      <c r="K307">
        <v>3</v>
      </c>
      <c r="L307">
        <v>5</v>
      </c>
      <c r="M307">
        <v>3</v>
      </c>
      <c r="N307">
        <v>1</v>
      </c>
      <c r="O307">
        <v>11</v>
      </c>
      <c r="P307" t="b">
        <f>IF(EPe_BA_intern_assesment_Raw_data___Sheet13[[#This Row],[Customer Rating]]&gt;8,EPe_BA_intern_assesment_Raw_data___Sheet13[[#This Row],[Customer Rating]])</f>
        <v>0</v>
      </c>
      <c r="Q307" t="str">
        <f>IF(AND(EPe_BA_intern_assesment_Raw_data___Sheet13[[#This Row],[Customer Rating]]&gt;6,EPe_BA_intern_assesment_Raw_data___Sheet13[[#This Row],[Customer Rating]]&lt;9), EPe_BA_intern_assesment_Raw_data___Sheet13[[#This Row],[Customer Rating]], "")</f>
        <v/>
      </c>
      <c r="R307">
        <f>IF(EPe_BA_intern_assesment_Raw_data___Sheet13[[#This Row],[Customer Rating]]&lt;7,EPe_BA_intern_assesment_Raw_data___Sheet13[[#This Row],[Customer Rating]])</f>
        <v>1</v>
      </c>
    </row>
    <row r="308" spans="1:18" x14ac:dyDescent="0.3">
      <c r="A308" t="s">
        <v>336</v>
      </c>
      <c r="B308" t="s">
        <v>34</v>
      </c>
      <c r="C308" t="s">
        <v>17</v>
      </c>
      <c r="D308" s="1">
        <v>45950</v>
      </c>
      <c r="E308" s="1">
        <v>45955</v>
      </c>
      <c r="F308" s="1">
        <v>45960</v>
      </c>
      <c r="G308" s="1">
        <v>45965</v>
      </c>
      <c r="H308" t="s">
        <v>18</v>
      </c>
      <c r="I308" t="s">
        <v>19</v>
      </c>
      <c r="J308" s="1">
        <v>45991</v>
      </c>
      <c r="K308">
        <v>5</v>
      </c>
      <c r="L308">
        <v>5</v>
      </c>
      <c r="M308">
        <v>5</v>
      </c>
      <c r="N308">
        <v>8</v>
      </c>
      <c r="O308">
        <v>15</v>
      </c>
      <c r="P308" t="b">
        <f>IF(EPe_BA_intern_assesment_Raw_data___Sheet13[[#This Row],[Customer Rating]]&gt;8,EPe_BA_intern_assesment_Raw_data___Sheet13[[#This Row],[Customer Rating]])</f>
        <v>0</v>
      </c>
      <c r="Q308">
        <f>IF(AND(EPe_BA_intern_assesment_Raw_data___Sheet13[[#This Row],[Customer Rating]]&gt;6,EPe_BA_intern_assesment_Raw_data___Sheet13[[#This Row],[Customer Rating]]&lt;9), EPe_BA_intern_assesment_Raw_data___Sheet13[[#This Row],[Customer Rating]], "")</f>
        <v>8</v>
      </c>
      <c r="R308" t="b">
        <f>IF(EPe_BA_intern_assesment_Raw_data___Sheet13[[#This Row],[Customer Rating]]&lt;7,EPe_BA_intern_assesment_Raw_data___Sheet13[[#This Row],[Customer Rating]])</f>
        <v>0</v>
      </c>
    </row>
    <row r="309" spans="1:18" x14ac:dyDescent="0.3">
      <c r="A309" t="s">
        <v>337</v>
      </c>
      <c r="B309" t="s">
        <v>21</v>
      </c>
      <c r="C309" t="s">
        <v>17</v>
      </c>
      <c r="D309" s="1">
        <v>45939</v>
      </c>
      <c r="E309" s="1">
        <v>45943</v>
      </c>
      <c r="F309" s="1">
        <v>45945</v>
      </c>
      <c r="G309" s="1">
        <v>45949</v>
      </c>
      <c r="H309" t="s">
        <v>18</v>
      </c>
      <c r="I309" t="s">
        <v>19</v>
      </c>
      <c r="J309" s="1">
        <v>45972</v>
      </c>
      <c r="K309">
        <v>4</v>
      </c>
      <c r="L309">
        <v>2</v>
      </c>
      <c r="M309">
        <v>4</v>
      </c>
      <c r="N309">
        <v>9</v>
      </c>
      <c r="O309">
        <v>10</v>
      </c>
      <c r="P309">
        <f>IF(EPe_BA_intern_assesment_Raw_data___Sheet13[[#This Row],[Customer Rating]]&gt;8,EPe_BA_intern_assesment_Raw_data___Sheet13[[#This Row],[Customer Rating]])</f>
        <v>9</v>
      </c>
      <c r="Q309" t="str">
        <f>IF(AND(EPe_BA_intern_assesment_Raw_data___Sheet13[[#This Row],[Customer Rating]]&gt;6,EPe_BA_intern_assesment_Raw_data___Sheet13[[#This Row],[Customer Rating]]&lt;9), EPe_BA_intern_assesment_Raw_data___Sheet13[[#This Row],[Customer Rating]], "")</f>
        <v/>
      </c>
      <c r="R309" t="b">
        <f>IF(EPe_BA_intern_assesment_Raw_data___Sheet13[[#This Row],[Customer Rating]]&lt;7,EPe_BA_intern_assesment_Raw_data___Sheet13[[#This Row],[Customer Rating]])</f>
        <v>0</v>
      </c>
    </row>
    <row r="310" spans="1:18" x14ac:dyDescent="0.3">
      <c r="A310" t="s">
        <v>338</v>
      </c>
      <c r="B310" t="s">
        <v>23</v>
      </c>
      <c r="C310" t="s">
        <v>17</v>
      </c>
      <c r="D310" s="1">
        <v>45931</v>
      </c>
      <c r="E310" s="1">
        <v>45936</v>
      </c>
      <c r="F310" s="1">
        <v>45938</v>
      </c>
      <c r="G310" s="1">
        <v>45942</v>
      </c>
      <c r="H310" t="s">
        <v>18</v>
      </c>
      <c r="I310" t="s">
        <v>19</v>
      </c>
      <c r="J310" s="1">
        <v>45969</v>
      </c>
      <c r="K310">
        <v>5</v>
      </c>
      <c r="L310">
        <v>2</v>
      </c>
      <c r="M310">
        <v>4</v>
      </c>
      <c r="N310">
        <v>6</v>
      </c>
      <c r="O310">
        <v>11</v>
      </c>
      <c r="P310" t="b">
        <f>IF(EPe_BA_intern_assesment_Raw_data___Sheet13[[#This Row],[Customer Rating]]&gt;8,EPe_BA_intern_assesment_Raw_data___Sheet13[[#This Row],[Customer Rating]])</f>
        <v>0</v>
      </c>
      <c r="Q310" t="str">
        <f>IF(AND(EPe_BA_intern_assesment_Raw_data___Sheet13[[#This Row],[Customer Rating]]&gt;6,EPe_BA_intern_assesment_Raw_data___Sheet13[[#This Row],[Customer Rating]]&lt;9), EPe_BA_intern_assesment_Raw_data___Sheet13[[#This Row],[Customer Rating]], "")</f>
        <v/>
      </c>
      <c r="R310">
        <f>IF(EPe_BA_intern_assesment_Raw_data___Sheet13[[#This Row],[Customer Rating]]&lt;7,EPe_BA_intern_assesment_Raw_data___Sheet13[[#This Row],[Customer Rating]])</f>
        <v>6</v>
      </c>
    </row>
    <row r="311" spans="1:18" x14ac:dyDescent="0.3">
      <c r="A311" t="s">
        <v>339</v>
      </c>
      <c r="B311" t="s">
        <v>34</v>
      </c>
      <c r="C311" t="s">
        <v>17</v>
      </c>
      <c r="D311" s="1">
        <v>45933</v>
      </c>
      <c r="E311" s="1">
        <v>45935</v>
      </c>
      <c r="F311" s="1">
        <v>45938</v>
      </c>
      <c r="G311" s="1">
        <v>45942</v>
      </c>
      <c r="H311" t="s">
        <v>18</v>
      </c>
      <c r="I311" t="s">
        <v>19</v>
      </c>
      <c r="J311" s="1">
        <v>45967</v>
      </c>
      <c r="K311">
        <v>2</v>
      </c>
      <c r="L311">
        <v>3</v>
      </c>
      <c r="M311">
        <v>4</v>
      </c>
      <c r="N311">
        <v>5</v>
      </c>
      <c r="O311">
        <v>9</v>
      </c>
      <c r="P311" t="b">
        <f>IF(EPe_BA_intern_assesment_Raw_data___Sheet13[[#This Row],[Customer Rating]]&gt;8,EPe_BA_intern_assesment_Raw_data___Sheet13[[#This Row],[Customer Rating]])</f>
        <v>0</v>
      </c>
      <c r="Q311" t="str">
        <f>IF(AND(EPe_BA_intern_assesment_Raw_data___Sheet13[[#This Row],[Customer Rating]]&gt;6,EPe_BA_intern_assesment_Raw_data___Sheet13[[#This Row],[Customer Rating]]&lt;9), EPe_BA_intern_assesment_Raw_data___Sheet13[[#This Row],[Customer Rating]], "")</f>
        <v/>
      </c>
      <c r="R311">
        <f>IF(EPe_BA_intern_assesment_Raw_data___Sheet13[[#This Row],[Customer Rating]]&lt;7,EPe_BA_intern_assesment_Raw_data___Sheet13[[#This Row],[Customer Rating]])</f>
        <v>5</v>
      </c>
    </row>
    <row r="312" spans="1:18" x14ac:dyDescent="0.3">
      <c r="A312" t="s">
        <v>340</v>
      </c>
      <c r="B312" t="s">
        <v>23</v>
      </c>
      <c r="C312" t="s">
        <v>32</v>
      </c>
      <c r="D312" s="1">
        <v>45938</v>
      </c>
      <c r="E312" s="1">
        <v>45939</v>
      </c>
      <c r="F312" s="1">
        <v>45944</v>
      </c>
      <c r="G312" s="1">
        <v>45948</v>
      </c>
      <c r="H312" t="s">
        <v>18</v>
      </c>
      <c r="I312" t="s">
        <v>19</v>
      </c>
      <c r="J312" s="1">
        <v>45976</v>
      </c>
      <c r="K312">
        <v>1</v>
      </c>
      <c r="L312">
        <v>5</v>
      </c>
      <c r="M312">
        <v>4</v>
      </c>
      <c r="N312">
        <v>3</v>
      </c>
      <c r="O312">
        <v>10</v>
      </c>
      <c r="P312" t="b">
        <f>IF(EPe_BA_intern_assesment_Raw_data___Sheet13[[#This Row],[Customer Rating]]&gt;8,EPe_BA_intern_assesment_Raw_data___Sheet13[[#This Row],[Customer Rating]])</f>
        <v>0</v>
      </c>
      <c r="Q312" t="str">
        <f>IF(AND(EPe_BA_intern_assesment_Raw_data___Sheet13[[#This Row],[Customer Rating]]&gt;6,EPe_BA_intern_assesment_Raw_data___Sheet13[[#This Row],[Customer Rating]]&lt;9), EPe_BA_intern_assesment_Raw_data___Sheet13[[#This Row],[Customer Rating]], "")</f>
        <v/>
      </c>
      <c r="R312">
        <f>IF(EPe_BA_intern_assesment_Raw_data___Sheet13[[#This Row],[Customer Rating]]&lt;7,EPe_BA_intern_assesment_Raw_data___Sheet13[[#This Row],[Customer Rating]])</f>
        <v>3</v>
      </c>
    </row>
    <row r="313" spans="1:18" x14ac:dyDescent="0.3">
      <c r="A313" t="s">
        <v>341</v>
      </c>
      <c r="B313" t="s">
        <v>16</v>
      </c>
      <c r="C313" t="s">
        <v>32</v>
      </c>
      <c r="D313" s="1">
        <v>45961</v>
      </c>
      <c r="E313" s="1">
        <v>45965</v>
      </c>
      <c r="F313" s="1">
        <v>45969</v>
      </c>
      <c r="G313" s="1">
        <v>45975</v>
      </c>
      <c r="H313" t="s">
        <v>18</v>
      </c>
      <c r="I313" t="s">
        <v>19</v>
      </c>
      <c r="J313" s="1">
        <v>45992</v>
      </c>
      <c r="K313">
        <v>4</v>
      </c>
      <c r="L313">
        <v>4</v>
      </c>
      <c r="M313">
        <v>6</v>
      </c>
      <c r="N313">
        <v>6</v>
      </c>
      <c r="O313">
        <v>14</v>
      </c>
      <c r="P313" t="b">
        <f>IF(EPe_BA_intern_assesment_Raw_data___Sheet13[[#This Row],[Customer Rating]]&gt;8,EPe_BA_intern_assesment_Raw_data___Sheet13[[#This Row],[Customer Rating]])</f>
        <v>0</v>
      </c>
      <c r="Q313" t="str">
        <f>IF(AND(EPe_BA_intern_assesment_Raw_data___Sheet13[[#This Row],[Customer Rating]]&gt;6,EPe_BA_intern_assesment_Raw_data___Sheet13[[#This Row],[Customer Rating]]&lt;9), EPe_BA_intern_assesment_Raw_data___Sheet13[[#This Row],[Customer Rating]], "")</f>
        <v/>
      </c>
      <c r="R313">
        <f>IF(EPe_BA_intern_assesment_Raw_data___Sheet13[[#This Row],[Customer Rating]]&lt;7,EPe_BA_intern_assesment_Raw_data___Sheet13[[#This Row],[Customer Rating]])</f>
        <v>6</v>
      </c>
    </row>
    <row r="314" spans="1:18" x14ac:dyDescent="0.3">
      <c r="A314" t="s">
        <v>342</v>
      </c>
      <c r="B314" t="s">
        <v>21</v>
      </c>
      <c r="C314" t="s">
        <v>17</v>
      </c>
      <c r="D314" s="1">
        <v>45952</v>
      </c>
      <c r="E314" s="1">
        <v>45953</v>
      </c>
      <c r="F314" s="1">
        <v>45954</v>
      </c>
      <c r="G314" s="1">
        <v>45960</v>
      </c>
      <c r="H314" t="s">
        <v>18</v>
      </c>
      <c r="I314" t="s">
        <v>19</v>
      </c>
      <c r="J314" s="1">
        <v>45985</v>
      </c>
      <c r="K314">
        <v>1</v>
      </c>
      <c r="L314">
        <v>1</v>
      </c>
      <c r="M314">
        <v>6</v>
      </c>
      <c r="N314">
        <v>6</v>
      </c>
      <c r="O314">
        <v>8</v>
      </c>
      <c r="P314" t="b">
        <f>IF(EPe_BA_intern_assesment_Raw_data___Sheet13[[#This Row],[Customer Rating]]&gt;8,EPe_BA_intern_assesment_Raw_data___Sheet13[[#This Row],[Customer Rating]])</f>
        <v>0</v>
      </c>
      <c r="Q314" t="str">
        <f>IF(AND(EPe_BA_intern_assesment_Raw_data___Sheet13[[#This Row],[Customer Rating]]&gt;6,EPe_BA_intern_assesment_Raw_data___Sheet13[[#This Row],[Customer Rating]]&lt;9), EPe_BA_intern_assesment_Raw_data___Sheet13[[#This Row],[Customer Rating]], "")</f>
        <v/>
      </c>
      <c r="R314">
        <f>IF(EPe_BA_intern_assesment_Raw_data___Sheet13[[#This Row],[Customer Rating]]&lt;7,EPe_BA_intern_assesment_Raw_data___Sheet13[[#This Row],[Customer Rating]])</f>
        <v>6</v>
      </c>
    </row>
    <row r="315" spans="1:18" x14ac:dyDescent="0.3">
      <c r="A315" t="s">
        <v>343</v>
      </c>
      <c r="B315" t="s">
        <v>16</v>
      </c>
      <c r="C315" t="s">
        <v>17</v>
      </c>
      <c r="D315" s="1">
        <v>45957</v>
      </c>
      <c r="E315" s="1">
        <v>45960</v>
      </c>
      <c r="F315" s="1">
        <v>45962</v>
      </c>
      <c r="G315" s="1">
        <v>45965</v>
      </c>
      <c r="H315" t="s">
        <v>18</v>
      </c>
      <c r="I315" t="s">
        <v>19</v>
      </c>
      <c r="J315" s="1">
        <v>45984</v>
      </c>
      <c r="K315">
        <v>3</v>
      </c>
      <c r="L315">
        <v>2</v>
      </c>
      <c r="M315">
        <v>3</v>
      </c>
      <c r="N315">
        <v>6</v>
      </c>
      <c r="O315">
        <v>8</v>
      </c>
      <c r="P315" t="b">
        <f>IF(EPe_BA_intern_assesment_Raw_data___Sheet13[[#This Row],[Customer Rating]]&gt;8,EPe_BA_intern_assesment_Raw_data___Sheet13[[#This Row],[Customer Rating]])</f>
        <v>0</v>
      </c>
      <c r="Q315" t="str">
        <f>IF(AND(EPe_BA_intern_assesment_Raw_data___Sheet13[[#This Row],[Customer Rating]]&gt;6,EPe_BA_intern_assesment_Raw_data___Sheet13[[#This Row],[Customer Rating]]&lt;9), EPe_BA_intern_assesment_Raw_data___Sheet13[[#This Row],[Customer Rating]], "")</f>
        <v/>
      </c>
      <c r="R315">
        <f>IF(EPe_BA_intern_assesment_Raw_data___Sheet13[[#This Row],[Customer Rating]]&lt;7,EPe_BA_intern_assesment_Raw_data___Sheet13[[#This Row],[Customer Rating]])</f>
        <v>6</v>
      </c>
    </row>
    <row r="316" spans="1:18" x14ac:dyDescent="0.3">
      <c r="A316" t="s">
        <v>344</v>
      </c>
      <c r="B316" t="s">
        <v>16</v>
      </c>
      <c r="C316" t="s">
        <v>17</v>
      </c>
      <c r="D316" s="1">
        <v>45958</v>
      </c>
      <c r="E316" s="1">
        <v>45959</v>
      </c>
      <c r="F316" s="1">
        <v>45964</v>
      </c>
      <c r="G316" s="1">
        <v>45970</v>
      </c>
      <c r="H316" t="s">
        <v>18</v>
      </c>
      <c r="I316" t="s">
        <v>19</v>
      </c>
      <c r="J316" s="1">
        <v>45982</v>
      </c>
      <c r="K316">
        <v>1</v>
      </c>
      <c r="L316">
        <v>5</v>
      </c>
      <c r="M316">
        <v>6</v>
      </c>
      <c r="N316">
        <v>4</v>
      </c>
      <c r="O316">
        <v>12</v>
      </c>
      <c r="P316" t="b">
        <f>IF(EPe_BA_intern_assesment_Raw_data___Sheet13[[#This Row],[Customer Rating]]&gt;8,EPe_BA_intern_assesment_Raw_data___Sheet13[[#This Row],[Customer Rating]])</f>
        <v>0</v>
      </c>
      <c r="Q316" t="str">
        <f>IF(AND(EPe_BA_intern_assesment_Raw_data___Sheet13[[#This Row],[Customer Rating]]&gt;6,EPe_BA_intern_assesment_Raw_data___Sheet13[[#This Row],[Customer Rating]]&lt;9), EPe_BA_intern_assesment_Raw_data___Sheet13[[#This Row],[Customer Rating]], "")</f>
        <v/>
      </c>
      <c r="R316">
        <f>IF(EPe_BA_intern_assesment_Raw_data___Sheet13[[#This Row],[Customer Rating]]&lt;7,EPe_BA_intern_assesment_Raw_data___Sheet13[[#This Row],[Customer Rating]])</f>
        <v>4</v>
      </c>
    </row>
    <row r="317" spans="1:18" x14ac:dyDescent="0.3">
      <c r="A317" t="s">
        <v>345</v>
      </c>
      <c r="B317" t="s">
        <v>16</v>
      </c>
      <c r="C317" t="s">
        <v>17</v>
      </c>
      <c r="D317" s="1">
        <v>45949</v>
      </c>
      <c r="E317" s="1">
        <v>45954</v>
      </c>
      <c r="F317" s="1">
        <v>45958</v>
      </c>
      <c r="G317" s="1">
        <v>45963</v>
      </c>
      <c r="H317" t="s">
        <v>18</v>
      </c>
      <c r="I317" t="s">
        <v>19</v>
      </c>
      <c r="J317" s="1">
        <v>45985</v>
      </c>
      <c r="K317">
        <v>5</v>
      </c>
      <c r="L317">
        <v>4</v>
      </c>
      <c r="M317">
        <v>5</v>
      </c>
      <c r="N317">
        <v>5</v>
      </c>
      <c r="O317">
        <v>14</v>
      </c>
      <c r="P317" t="b">
        <f>IF(EPe_BA_intern_assesment_Raw_data___Sheet13[[#This Row],[Customer Rating]]&gt;8,EPe_BA_intern_assesment_Raw_data___Sheet13[[#This Row],[Customer Rating]])</f>
        <v>0</v>
      </c>
      <c r="Q317" t="str">
        <f>IF(AND(EPe_BA_intern_assesment_Raw_data___Sheet13[[#This Row],[Customer Rating]]&gt;6,EPe_BA_intern_assesment_Raw_data___Sheet13[[#This Row],[Customer Rating]]&lt;9), EPe_BA_intern_assesment_Raw_data___Sheet13[[#This Row],[Customer Rating]], "")</f>
        <v/>
      </c>
      <c r="R317">
        <f>IF(EPe_BA_intern_assesment_Raw_data___Sheet13[[#This Row],[Customer Rating]]&lt;7,EPe_BA_intern_assesment_Raw_data___Sheet13[[#This Row],[Customer Rating]])</f>
        <v>5</v>
      </c>
    </row>
    <row r="318" spans="1:18" x14ac:dyDescent="0.3">
      <c r="A318" t="s">
        <v>346</v>
      </c>
      <c r="B318" t="s">
        <v>16</v>
      </c>
      <c r="C318" t="s">
        <v>17</v>
      </c>
      <c r="D318" s="1">
        <v>45949</v>
      </c>
      <c r="E318" s="1">
        <v>45951</v>
      </c>
      <c r="F318" s="1">
        <v>45952</v>
      </c>
      <c r="G318" s="1">
        <v>45956</v>
      </c>
      <c r="H318" t="s">
        <v>18</v>
      </c>
      <c r="I318" t="s">
        <v>19</v>
      </c>
      <c r="J318" s="1">
        <v>45967</v>
      </c>
      <c r="K318">
        <v>2</v>
      </c>
      <c r="L318">
        <v>1</v>
      </c>
      <c r="M318">
        <v>4</v>
      </c>
      <c r="N318">
        <v>9</v>
      </c>
      <c r="O318">
        <v>7</v>
      </c>
      <c r="P318">
        <f>IF(EPe_BA_intern_assesment_Raw_data___Sheet13[[#This Row],[Customer Rating]]&gt;8,EPe_BA_intern_assesment_Raw_data___Sheet13[[#This Row],[Customer Rating]])</f>
        <v>9</v>
      </c>
      <c r="Q318" t="str">
        <f>IF(AND(EPe_BA_intern_assesment_Raw_data___Sheet13[[#This Row],[Customer Rating]]&gt;6,EPe_BA_intern_assesment_Raw_data___Sheet13[[#This Row],[Customer Rating]]&lt;9), EPe_BA_intern_assesment_Raw_data___Sheet13[[#This Row],[Customer Rating]], "")</f>
        <v/>
      </c>
      <c r="R318" t="b">
        <f>IF(EPe_BA_intern_assesment_Raw_data___Sheet13[[#This Row],[Customer Rating]]&lt;7,EPe_BA_intern_assesment_Raw_data___Sheet13[[#This Row],[Customer Rating]])</f>
        <v>0</v>
      </c>
    </row>
    <row r="319" spans="1:18" x14ac:dyDescent="0.3">
      <c r="A319" t="s">
        <v>347</v>
      </c>
      <c r="B319" t="s">
        <v>21</v>
      </c>
      <c r="C319" t="s">
        <v>17</v>
      </c>
      <c r="D319" s="1">
        <v>45961</v>
      </c>
      <c r="E319" s="1">
        <v>45962</v>
      </c>
      <c r="F319" s="1">
        <v>45967</v>
      </c>
      <c r="G319" s="1">
        <v>45974</v>
      </c>
      <c r="H319" t="s">
        <v>25</v>
      </c>
      <c r="I319" t="s">
        <v>65</v>
      </c>
      <c r="J319" s="1"/>
      <c r="K319">
        <v>1</v>
      </c>
      <c r="L319">
        <v>5</v>
      </c>
      <c r="M319">
        <v>7</v>
      </c>
      <c r="O319">
        <v>13</v>
      </c>
      <c r="P319" t="b">
        <f>IF(EPe_BA_intern_assesment_Raw_data___Sheet13[[#This Row],[Customer Rating]]&gt;8,EPe_BA_intern_assesment_Raw_data___Sheet13[[#This Row],[Customer Rating]])</f>
        <v>0</v>
      </c>
      <c r="Q319" t="str">
        <f>IF(AND(EPe_BA_intern_assesment_Raw_data___Sheet13[[#This Row],[Customer Rating]]&gt;6,EPe_BA_intern_assesment_Raw_data___Sheet13[[#This Row],[Customer Rating]]&lt;9), EPe_BA_intern_assesment_Raw_data___Sheet13[[#This Row],[Customer Rating]], "")</f>
        <v/>
      </c>
      <c r="R319">
        <f>IF(EPe_BA_intern_assesment_Raw_data___Sheet13[[#This Row],[Customer Rating]]&lt;7,EPe_BA_intern_assesment_Raw_data___Sheet13[[#This Row],[Customer Rating]])</f>
        <v>0</v>
      </c>
    </row>
    <row r="320" spans="1:18" x14ac:dyDescent="0.3">
      <c r="A320" t="s">
        <v>348</v>
      </c>
      <c r="B320" t="s">
        <v>16</v>
      </c>
      <c r="C320" t="s">
        <v>17</v>
      </c>
      <c r="D320" s="1">
        <v>45931</v>
      </c>
      <c r="E320" s="1">
        <v>45933</v>
      </c>
      <c r="F320" s="1">
        <v>45937</v>
      </c>
      <c r="G320" s="1">
        <v>45939</v>
      </c>
      <c r="H320" t="s">
        <v>18</v>
      </c>
      <c r="I320" t="s">
        <v>19</v>
      </c>
      <c r="J320" s="1">
        <v>45965</v>
      </c>
      <c r="K320">
        <v>2</v>
      </c>
      <c r="L320">
        <v>4</v>
      </c>
      <c r="M320">
        <v>2</v>
      </c>
      <c r="N320">
        <v>6</v>
      </c>
      <c r="O320">
        <v>8</v>
      </c>
      <c r="P320" t="b">
        <f>IF(EPe_BA_intern_assesment_Raw_data___Sheet13[[#This Row],[Customer Rating]]&gt;8,EPe_BA_intern_assesment_Raw_data___Sheet13[[#This Row],[Customer Rating]])</f>
        <v>0</v>
      </c>
      <c r="Q320" t="str">
        <f>IF(AND(EPe_BA_intern_assesment_Raw_data___Sheet13[[#This Row],[Customer Rating]]&gt;6,EPe_BA_intern_assesment_Raw_data___Sheet13[[#This Row],[Customer Rating]]&lt;9), EPe_BA_intern_assesment_Raw_data___Sheet13[[#This Row],[Customer Rating]], "")</f>
        <v/>
      </c>
      <c r="R320">
        <f>IF(EPe_BA_intern_assesment_Raw_data___Sheet13[[#This Row],[Customer Rating]]&lt;7,EPe_BA_intern_assesment_Raw_data___Sheet13[[#This Row],[Customer Rating]])</f>
        <v>6</v>
      </c>
    </row>
    <row r="321" spans="1:18" x14ac:dyDescent="0.3">
      <c r="A321" t="s">
        <v>349</v>
      </c>
      <c r="B321" t="s">
        <v>21</v>
      </c>
      <c r="C321" t="s">
        <v>17</v>
      </c>
      <c r="D321" s="1">
        <v>45955</v>
      </c>
      <c r="E321" s="1">
        <v>45959</v>
      </c>
      <c r="F321" s="1">
        <v>45960</v>
      </c>
      <c r="G321" s="1">
        <v>45962</v>
      </c>
      <c r="H321" t="s">
        <v>25</v>
      </c>
      <c r="I321" t="s">
        <v>35</v>
      </c>
      <c r="J321" s="1"/>
      <c r="K321">
        <v>4</v>
      </c>
      <c r="L321">
        <v>1</v>
      </c>
      <c r="M321">
        <v>2</v>
      </c>
      <c r="O321">
        <v>7</v>
      </c>
      <c r="P321" t="b">
        <f>IF(EPe_BA_intern_assesment_Raw_data___Sheet13[[#This Row],[Customer Rating]]&gt;8,EPe_BA_intern_assesment_Raw_data___Sheet13[[#This Row],[Customer Rating]])</f>
        <v>0</v>
      </c>
      <c r="Q321" t="str">
        <f>IF(AND(EPe_BA_intern_assesment_Raw_data___Sheet13[[#This Row],[Customer Rating]]&gt;6,EPe_BA_intern_assesment_Raw_data___Sheet13[[#This Row],[Customer Rating]]&lt;9), EPe_BA_intern_assesment_Raw_data___Sheet13[[#This Row],[Customer Rating]], "")</f>
        <v/>
      </c>
      <c r="R321">
        <f>IF(EPe_BA_intern_assesment_Raw_data___Sheet13[[#This Row],[Customer Rating]]&lt;7,EPe_BA_intern_assesment_Raw_data___Sheet13[[#This Row],[Customer Rating]])</f>
        <v>0</v>
      </c>
    </row>
    <row r="322" spans="1:18" x14ac:dyDescent="0.3">
      <c r="A322" t="s">
        <v>350</v>
      </c>
      <c r="B322" t="s">
        <v>21</v>
      </c>
      <c r="C322" t="s">
        <v>17</v>
      </c>
      <c r="D322" s="1">
        <v>45952</v>
      </c>
      <c r="E322" s="1">
        <v>45956</v>
      </c>
      <c r="F322" s="1">
        <v>45960</v>
      </c>
      <c r="G322" s="1">
        <v>45962</v>
      </c>
      <c r="H322" t="s">
        <v>18</v>
      </c>
      <c r="I322" t="s">
        <v>19</v>
      </c>
      <c r="J322" s="1">
        <v>45990</v>
      </c>
      <c r="K322">
        <v>4</v>
      </c>
      <c r="L322">
        <v>4</v>
      </c>
      <c r="M322">
        <v>2</v>
      </c>
      <c r="N322">
        <v>4</v>
      </c>
      <c r="O322">
        <v>10</v>
      </c>
      <c r="P322" t="b">
        <f>IF(EPe_BA_intern_assesment_Raw_data___Sheet13[[#This Row],[Customer Rating]]&gt;8,EPe_BA_intern_assesment_Raw_data___Sheet13[[#This Row],[Customer Rating]])</f>
        <v>0</v>
      </c>
      <c r="Q322" t="str">
        <f>IF(AND(EPe_BA_intern_assesment_Raw_data___Sheet13[[#This Row],[Customer Rating]]&gt;6,EPe_BA_intern_assesment_Raw_data___Sheet13[[#This Row],[Customer Rating]]&lt;9), EPe_BA_intern_assesment_Raw_data___Sheet13[[#This Row],[Customer Rating]], "")</f>
        <v/>
      </c>
      <c r="R322">
        <f>IF(EPe_BA_intern_assesment_Raw_data___Sheet13[[#This Row],[Customer Rating]]&lt;7,EPe_BA_intern_assesment_Raw_data___Sheet13[[#This Row],[Customer Rating]])</f>
        <v>4</v>
      </c>
    </row>
    <row r="323" spans="1:18" x14ac:dyDescent="0.3">
      <c r="A323" t="s">
        <v>351</v>
      </c>
      <c r="B323" t="s">
        <v>23</v>
      </c>
      <c r="C323" t="s">
        <v>24</v>
      </c>
      <c r="D323" s="1">
        <v>45957</v>
      </c>
      <c r="E323" s="1"/>
      <c r="F323" s="1"/>
      <c r="G323" s="1"/>
      <c r="H323" t="s">
        <v>25</v>
      </c>
      <c r="I323" t="s">
        <v>28</v>
      </c>
      <c r="J323" s="1"/>
      <c r="P323" t="b">
        <f>IF(EPe_BA_intern_assesment_Raw_data___Sheet13[[#This Row],[Customer Rating]]&gt;8,EPe_BA_intern_assesment_Raw_data___Sheet13[[#This Row],[Customer Rating]])</f>
        <v>0</v>
      </c>
      <c r="Q323" t="str">
        <f>IF(AND(EPe_BA_intern_assesment_Raw_data___Sheet13[[#This Row],[Customer Rating]]&gt;6,EPe_BA_intern_assesment_Raw_data___Sheet13[[#This Row],[Customer Rating]]&lt;9), EPe_BA_intern_assesment_Raw_data___Sheet13[[#This Row],[Customer Rating]], "")</f>
        <v/>
      </c>
      <c r="R323">
        <f>IF(EPe_BA_intern_assesment_Raw_data___Sheet13[[#This Row],[Customer Rating]]&lt;7,EPe_BA_intern_assesment_Raw_data___Sheet13[[#This Row],[Customer Rating]])</f>
        <v>0</v>
      </c>
    </row>
    <row r="324" spans="1:18" x14ac:dyDescent="0.3">
      <c r="A324" t="s">
        <v>352</v>
      </c>
      <c r="B324" t="s">
        <v>34</v>
      </c>
      <c r="C324" t="s">
        <v>17</v>
      </c>
      <c r="D324" s="1">
        <v>45939</v>
      </c>
      <c r="E324" s="1">
        <v>45944</v>
      </c>
      <c r="F324" s="1">
        <v>45946</v>
      </c>
      <c r="G324" s="1">
        <v>45953</v>
      </c>
      <c r="H324" t="s">
        <v>25</v>
      </c>
      <c r="I324" t="s">
        <v>65</v>
      </c>
      <c r="J324" s="1"/>
      <c r="K324">
        <v>5</v>
      </c>
      <c r="L324">
        <v>2</v>
      </c>
      <c r="M324">
        <v>7</v>
      </c>
      <c r="O324">
        <v>14</v>
      </c>
      <c r="P324" t="b">
        <f>IF(EPe_BA_intern_assesment_Raw_data___Sheet13[[#This Row],[Customer Rating]]&gt;8,EPe_BA_intern_assesment_Raw_data___Sheet13[[#This Row],[Customer Rating]])</f>
        <v>0</v>
      </c>
      <c r="Q324" t="str">
        <f>IF(AND(EPe_BA_intern_assesment_Raw_data___Sheet13[[#This Row],[Customer Rating]]&gt;6,EPe_BA_intern_assesment_Raw_data___Sheet13[[#This Row],[Customer Rating]]&lt;9), EPe_BA_intern_assesment_Raw_data___Sheet13[[#This Row],[Customer Rating]], "")</f>
        <v/>
      </c>
      <c r="R324">
        <f>IF(EPe_BA_intern_assesment_Raw_data___Sheet13[[#This Row],[Customer Rating]]&lt;7,EPe_BA_intern_assesment_Raw_data___Sheet13[[#This Row],[Customer Rating]])</f>
        <v>0</v>
      </c>
    </row>
    <row r="325" spans="1:18" x14ac:dyDescent="0.3">
      <c r="A325" t="s">
        <v>353</v>
      </c>
      <c r="B325" t="s">
        <v>34</v>
      </c>
      <c r="C325" t="s">
        <v>32</v>
      </c>
      <c r="D325" s="1">
        <v>45949</v>
      </c>
      <c r="E325" s="1">
        <v>45954</v>
      </c>
      <c r="F325" s="1">
        <v>45959</v>
      </c>
      <c r="G325" s="1">
        <v>45964</v>
      </c>
      <c r="H325" t="s">
        <v>18</v>
      </c>
      <c r="I325" t="s">
        <v>19</v>
      </c>
      <c r="J325" s="1">
        <v>45990</v>
      </c>
      <c r="K325">
        <v>5</v>
      </c>
      <c r="L325">
        <v>5</v>
      </c>
      <c r="M325">
        <v>5</v>
      </c>
      <c r="N325">
        <v>2</v>
      </c>
      <c r="O325">
        <v>15</v>
      </c>
      <c r="P325" t="b">
        <f>IF(EPe_BA_intern_assesment_Raw_data___Sheet13[[#This Row],[Customer Rating]]&gt;8,EPe_BA_intern_assesment_Raw_data___Sheet13[[#This Row],[Customer Rating]])</f>
        <v>0</v>
      </c>
      <c r="Q325" t="str">
        <f>IF(AND(EPe_BA_intern_assesment_Raw_data___Sheet13[[#This Row],[Customer Rating]]&gt;6,EPe_BA_intern_assesment_Raw_data___Sheet13[[#This Row],[Customer Rating]]&lt;9), EPe_BA_intern_assesment_Raw_data___Sheet13[[#This Row],[Customer Rating]], "")</f>
        <v/>
      </c>
      <c r="R325">
        <f>IF(EPe_BA_intern_assesment_Raw_data___Sheet13[[#This Row],[Customer Rating]]&lt;7,EPe_BA_intern_assesment_Raw_data___Sheet13[[#This Row],[Customer Rating]])</f>
        <v>2</v>
      </c>
    </row>
    <row r="326" spans="1:18" x14ac:dyDescent="0.3">
      <c r="A326" t="s">
        <v>354</v>
      </c>
      <c r="B326" t="s">
        <v>21</v>
      </c>
      <c r="C326" t="s">
        <v>32</v>
      </c>
      <c r="D326" s="1">
        <v>45932</v>
      </c>
      <c r="E326" s="1">
        <v>45937</v>
      </c>
      <c r="F326" s="1">
        <v>45941</v>
      </c>
      <c r="G326" s="1">
        <v>45943</v>
      </c>
      <c r="H326" t="s">
        <v>25</v>
      </c>
      <c r="I326" t="s">
        <v>26</v>
      </c>
      <c r="J326" s="1"/>
      <c r="K326">
        <v>5</v>
      </c>
      <c r="L326">
        <v>4</v>
      </c>
      <c r="M326">
        <v>2</v>
      </c>
      <c r="O326">
        <v>11</v>
      </c>
      <c r="P326" t="b">
        <f>IF(EPe_BA_intern_assesment_Raw_data___Sheet13[[#This Row],[Customer Rating]]&gt;8,EPe_BA_intern_assesment_Raw_data___Sheet13[[#This Row],[Customer Rating]])</f>
        <v>0</v>
      </c>
      <c r="Q326" t="str">
        <f>IF(AND(EPe_BA_intern_assesment_Raw_data___Sheet13[[#This Row],[Customer Rating]]&gt;6,EPe_BA_intern_assesment_Raw_data___Sheet13[[#This Row],[Customer Rating]]&lt;9), EPe_BA_intern_assesment_Raw_data___Sheet13[[#This Row],[Customer Rating]], "")</f>
        <v/>
      </c>
      <c r="R326">
        <f>IF(EPe_BA_intern_assesment_Raw_data___Sheet13[[#This Row],[Customer Rating]]&lt;7,EPe_BA_intern_assesment_Raw_data___Sheet13[[#This Row],[Customer Rating]])</f>
        <v>0</v>
      </c>
    </row>
    <row r="327" spans="1:18" x14ac:dyDescent="0.3">
      <c r="A327" t="s">
        <v>355</v>
      </c>
      <c r="B327" t="s">
        <v>23</v>
      </c>
      <c r="C327" t="s">
        <v>32</v>
      </c>
      <c r="D327" s="1">
        <v>45955</v>
      </c>
      <c r="E327" s="1">
        <v>45957</v>
      </c>
      <c r="F327" s="1">
        <v>45961</v>
      </c>
      <c r="G327" s="1">
        <v>45963</v>
      </c>
      <c r="H327" t="s">
        <v>18</v>
      </c>
      <c r="I327" t="s">
        <v>19</v>
      </c>
      <c r="J327" s="1">
        <v>45991</v>
      </c>
      <c r="K327">
        <v>2</v>
      </c>
      <c r="L327">
        <v>4</v>
      </c>
      <c r="M327">
        <v>2</v>
      </c>
      <c r="N327">
        <v>10</v>
      </c>
      <c r="O327">
        <v>8</v>
      </c>
      <c r="P327">
        <f>IF(EPe_BA_intern_assesment_Raw_data___Sheet13[[#This Row],[Customer Rating]]&gt;8,EPe_BA_intern_assesment_Raw_data___Sheet13[[#This Row],[Customer Rating]])</f>
        <v>10</v>
      </c>
      <c r="Q327" t="str">
        <f>IF(AND(EPe_BA_intern_assesment_Raw_data___Sheet13[[#This Row],[Customer Rating]]&gt;6,EPe_BA_intern_assesment_Raw_data___Sheet13[[#This Row],[Customer Rating]]&lt;9), EPe_BA_intern_assesment_Raw_data___Sheet13[[#This Row],[Customer Rating]], "")</f>
        <v/>
      </c>
      <c r="R327" t="b">
        <f>IF(EPe_BA_intern_assesment_Raw_data___Sheet13[[#This Row],[Customer Rating]]&lt;7,EPe_BA_intern_assesment_Raw_data___Sheet13[[#This Row],[Customer Rating]])</f>
        <v>0</v>
      </c>
    </row>
    <row r="328" spans="1:18" x14ac:dyDescent="0.3">
      <c r="A328" t="s">
        <v>356</v>
      </c>
      <c r="B328" t="s">
        <v>21</v>
      </c>
      <c r="C328" t="s">
        <v>17</v>
      </c>
      <c r="D328" s="1">
        <v>45955</v>
      </c>
      <c r="E328" s="1">
        <v>45958</v>
      </c>
      <c r="F328" s="1">
        <v>45963</v>
      </c>
      <c r="G328" s="1">
        <v>45966</v>
      </c>
      <c r="H328" t="s">
        <v>18</v>
      </c>
      <c r="I328" t="s">
        <v>19</v>
      </c>
      <c r="J328" s="1">
        <v>45995</v>
      </c>
      <c r="K328">
        <v>3</v>
      </c>
      <c r="L328">
        <v>5</v>
      </c>
      <c r="M328">
        <v>3</v>
      </c>
      <c r="N328">
        <v>6</v>
      </c>
      <c r="O328">
        <v>11</v>
      </c>
      <c r="P328" t="b">
        <f>IF(EPe_BA_intern_assesment_Raw_data___Sheet13[[#This Row],[Customer Rating]]&gt;8,EPe_BA_intern_assesment_Raw_data___Sheet13[[#This Row],[Customer Rating]])</f>
        <v>0</v>
      </c>
      <c r="Q328" t="str">
        <f>IF(AND(EPe_BA_intern_assesment_Raw_data___Sheet13[[#This Row],[Customer Rating]]&gt;6,EPe_BA_intern_assesment_Raw_data___Sheet13[[#This Row],[Customer Rating]]&lt;9), EPe_BA_intern_assesment_Raw_data___Sheet13[[#This Row],[Customer Rating]], "")</f>
        <v/>
      </c>
      <c r="R328">
        <f>IF(EPe_BA_intern_assesment_Raw_data___Sheet13[[#This Row],[Customer Rating]]&lt;7,EPe_BA_intern_assesment_Raw_data___Sheet13[[#This Row],[Customer Rating]])</f>
        <v>6</v>
      </c>
    </row>
    <row r="329" spans="1:18" x14ac:dyDescent="0.3">
      <c r="A329" t="s">
        <v>357</v>
      </c>
      <c r="B329" t="s">
        <v>21</v>
      </c>
      <c r="C329" t="s">
        <v>17</v>
      </c>
      <c r="D329" s="1">
        <v>45936</v>
      </c>
      <c r="E329" s="1">
        <v>45939</v>
      </c>
      <c r="F329" s="1">
        <v>45940</v>
      </c>
      <c r="G329" s="1">
        <v>45945</v>
      </c>
      <c r="H329" t="s">
        <v>18</v>
      </c>
      <c r="I329" t="s">
        <v>19</v>
      </c>
      <c r="J329" s="1">
        <v>45959</v>
      </c>
      <c r="K329">
        <v>3</v>
      </c>
      <c r="L329">
        <v>1</v>
      </c>
      <c r="M329">
        <v>5</v>
      </c>
      <c r="N329">
        <v>7</v>
      </c>
      <c r="O329">
        <v>9</v>
      </c>
      <c r="P329" t="b">
        <f>IF(EPe_BA_intern_assesment_Raw_data___Sheet13[[#This Row],[Customer Rating]]&gt;8,EPe_BA_intern_assesment_Raw_data___Sheet13[[#This Row],[Customer Rating]])</f>
        <v>0</v>
      </c>
      <c r="Q329">
        <f>IF(AND(EPe_BA_intern_assesment_Raw_data___Sheet13[[#This Row],[Customer Rating]]&gt;6,EPe_BA_intern_assesment_Raw_data___Sheet13[[#This Row],[Customer Rating]]&lt;9), EPe_BA_intern_assesment_Raw_data___Sheet13[[#This Row],[Customer Rating]], "")</f>
        <v>7</v>
      </c>
      <c r="R329" t="b">
        <f>IF(EPe_BA_intern_assesment_Raw_data___Sheet13[[#This Row],[Customer Rating]]&lt;7,EPe_BA_intern_assesment_Raw_data___Sheet13[[#This Row],[Customer Rating]])</f>
        <v>0</v>
      </c>
    </row>
    <row r="330" spans="1:18" x14ac:dyDescent="0.3">
      <c r="A330" t="s">
        <v>358</v>
      </c>
      <c r="B330" t="s">
        <v>21</v>
      </c>
      <c r="C330" t="s">
        <v>17</v>
      </c>
      <c r="D330" s="1">
        <v>45946</v>
      </c>
      <c r="E330" s="1">
        <v>45949</v>
      </c>
      <c r="F330" s="1">
        <v>45954</v>
      </c>
      <c r="G330" s="1">
        <v>45959</v>
      </c>
      <c r="H330" t="s">
        <v>18</v>
      </c>
      <c r="I330" t="s">
        <v>19</v>
      </c>
      <c r="J330" s="1">
        <v>45972</v>
      </c>
      <c r="K330">
        <v>3</v>
      </c>
      <c r="L330">
        <v>5</v>
      </c>
      <c r="M330">
        <v>5</v>
      </c>
      <c r="N330">
        <v>3</v>
      </c>
      <c r="O330">
        <v>13</v>
      </c>
      <c r="P330" t="b">
        <f>IF(EPe_BA_intern_assesment_Raw_data___Sheet13[[#This Row],[Customer Rating]]&gt;8,EPe_BA_intern_assesment_Raw_data___Sheet13[[#This Row],[Customer Rating]])</f>
        <v>0</v>
      </c>
      <c r="Q330" t="str">
        <f>IF(AND(EPe_BA_intern_assesment_Raw_data___Sheet13[[#This Row],[Customer Rating]]&gt;6,EPe_BA_intern_assesment_Raw_data___Sheet13[[#This Row],[Customer Rating]]&lt;9), EPe_BA_intern_assesment_Raw_data___Sheet13[[#This Row],[Customer Rating]], "")</f>
        <v/>
      </c>
      <c r="R330">
        <f>IF(EPe_BA_intern_assesment_Raw_data___Sheet13[[#This Row],[Customer Rating]]&lt;7,EPe_BA_intern_assesment_Raw_data___Sheet13[[#This Row],[Customer Rating]])</f>
        <v>3</v>
      </c>
    </row>
    <row r="331" spans="1:18" x14ac:dyDescent="0.3">
      <c r="A331" t="s">
        <v>359</v>
      </c>
      <c r="B331" t="s">
        <v>23</v>
      </c>
      <c r="C331" t="s">
        <v>17</v>
      </c>
      <c r="D331" s="1">
        <v>45947</v>
      </c>
      <c r="E331" s="1">
        <v>45951</v>
      </c>
      <c r="F331" s="1">
        <v>45955</v>
      </c>
      <c r="G331" s="1">
        <v>45957</v>
      </c>
      <c r="H331" t="s">
        <v>18</v>
      </c>
      <c r="I331" t="s">
        <v>19</v>
      </c>
      <c r="J331" s="1">
        <v>45981</v>
      </c>
      <c r="K331">
        <v>4</v>
      </c>
      <c r="L331">
        <v>4</v>
      </c>
      <c r="M331">
        <v>2</v>
      </c>
      <c r="N331">
        <v>2</v>
      </c>
      <c r="O331">
        <v>10</v>
      </c>
      <c r="P331" t="b">
        <f>IF(EPe_BA_intern_assesment_Raw_data___Sheet13[[#This Row],[Customer Rating]]&gt;8,EPe_BA_intern_assesment_Raw_data___Sheet13[[#This Row],[Customer Rating]])</f>
        <v>0</v>
      </c>
      <c r="Q331" t="str">
        <f>IF(AND(EPe_BA_intern_assesment_Raw_data___Sheet13[[#This Row],[Customer Rating]]&gt;6,EPe_BA_intern_assesment_Raw_data___Sheet13[[#This Row],[Customer Rating]]&lt;9), EPe_BA_intern_assesment_Raw_data___Sheet13[[#This Row],[Customer Rating]], "")</f>
        <v/>
      </c>
      <c r="R331">
        <f>IF(EPe_BA_intern_assesment_Raw_data___Sheet13[[#This Row],[Customer Rating]]&lt;7,EPe_BA_intern_assesment_Raw_data___Sheet13[[#This Row],[Customer Rating]])</f>
        <v>2</v>
      </c>
    </row>
    <row r="332" spans="1:18" x14ac:dyDescent="0.3">
      <c r="A332" t="s">
        <v>360</v>
      </c>
      <c r="B332" t="s">
        <v>34</v>
      </c>
      <c r="C332" t="s">
        <v>32</v>
      </c>
      <c r="D332" s="1">
        <v>45951</v>
      </c>
      <c r="E332" s="1">
        <v>45955</v>
      </c>
      <c r="F332" s="1">
        <v>45958</v>
      </c>
      <c r="G332" s="1">
        <v>45963</v>
      </c>
      <c r="H332" t="s">
        <v>18</v>
      </c>
      <c r="I332" t="s">
        <v>19</v>
      </c>
      <c r="J332" s="1">
        <v>45978</v>
      </c>
      <c r="K332">
        <v>4</v>
      </c>
      <c r="L332">
        <v>3</v>
      </c>
      <c r="M332">
        <v>5</v>
      </c>
      <c r="N332">
        <v>1</v>
      </c>
      <c r="O332">
        <v>12</v>
      </c>
      <c r="P332" t="b">
        <f>IF(EPe_BA_intern_assesment_Raw_data___Sheet13[[#This Row],[Customer Rating]]&gt;8,EPe_BA_intern_assesment_Raw_data___Sheet13[[#This Row],[Customer Rating]])</f>
        <v>0</v>
      </c>
      <c r="Q332" t="str">
        <f>IF(AND(EPe_BA_intern_assesment_Raw_data___Sheet13[[#This Row],[Customer Rating]]&gt;6,EPe_BA_intern_assesment_Raw_data___Sheet13[[#This Row],[Customer Rating]]&lt;9), EPe_BA_intern_assesment_Raw_data___Sheet13[[#This Row],[Customer Rating]], "")</f>
        <v/>
      </c>
      <c r="R332">
        <f>IF(EPe_BA_intern_assesment_Raw_data___Sheet13[[#This Row],[Customer Rating]]&lt;7,EPe_BA_intern_assesment_Raw_data___Sheet13[[#This Row],[Customer Rating]])</f>
        <v>1</v>
      </c>
    </row>
    <row r="333" spans="1:18" x14ac:dyDescent="0.3">
      <c r="A333" t="s">
        <v>361</v>
      </c>
      <c r="B333" t="s">
        <v>23</v>
      </c>
      <c r="C333" t="s">
        <v>17</v>
      </c>
      <c r="D333" s="1">
        <v>45945</v>
      </c>
      <c r="E333" s="1">
        <v>45948</v>
      </c>
      <c r="F333" s="1">
        <v>45949</v>
      </c>
      <c r="G333" s="1">
        <v>45952</v>
      </c>
      <c r="H333" t="s">
        <v>18</v>
      </c>
      <c r="I333" t="s">
        <v>19</v>
      </c>
      <c r="J333" s="1">
        <v>45967</v>
      </c>
      <c r="K333">
        <v>3</v>
      </c>
      <c r="L333">
        <v>1</v>
      </c>
      <c r="M333">
        <v>3</v>
      </c>
      <c r="N333">
        <v>0</v>
      </c>
      <c r="O333">
        <v>7</v>
      </c>
      <c r="P333" t="b">
        <f>IF(EPe_BA_intern_assesment_Raw_data___Sheet13[[#This Row],[Customer Rating]]&gt;8,EPe_BA_intern_assesment_Raw_data___Sheet13[[#This Row],[Customer Rating]])</f>
        <v>0</v>
      </c>
      <c r="Q333" t="str">
        <f>IF(AND(EPe_BA_intern_assesment_Raw_data___Sheet13[[#This Row],[Customer Rating]]&gt;6,EPe_BA_intern_assesment_Raw_data___Sheet13[[#This Row],[Customer Rating]]&lt;9), EPe_BA_intern_assesment_Raw_data___Sheet13[[#This Row],[Customer Rating]], "")</f>
        <v/>
      </c>
      <c r="R333">
        <f>IF(EPe_BA_intern_assesment_Raw_data___Sheet13[[#This Row],[Customer Rating]]&lt;7,EPe_BA_intern_assesment_Raw_data___Sheet13[[#This Row],[Customer Rating]])</f>
        <v>0</v>
      </c>
    </row>
    <row r="334" spans="1:18" x14ac:dyDescent="0.3">
      <c r="A334" t="s">
        <v>362</v>
      </c>
      <c r="B334" t="s">
        <v>16</v>
      </c>
      <c r="C334" t="s">
        <v>32</v>
      </c>
      <c r="D334" s="1">
        <v>45960</v>
      </c>
      <c r="E334" s="1">
        <v>45965</v>
      </c>
      <c r="F334" s="1">
        <v>45969</v>
      </c>
      <c r="G334" s="1">
        <v>45976</v>
      </c>
      <c r="H334" t="s">
        <v>18</v>
      </c>
      <c r="I334" t="s">
        <v>19</v>
      </c>
      <c r="J334" s="1">
        <v>45992</v>
      </c>
      <c r="K334">
        <v>5</v>
      </c>
      <c r="L334">
        <v>4</v>
      </c>
      <c r="M334">
        <v>7</v>
      </c>
      <c r="N334">
        <v>2</v>
      </c>
      <c r="O334">
        <v>16</v>
      </c>
      <c r="P334" t="b">
        <f>IF(EPe_BA_intern_assesment_Raw_data___Sheet13[[#This Row],[Customer Rating]]&gt;8,EPe_BA_intern_assesment_Raw_data___Sheet13[[#This Row],[Customer Rating]])</f>
        <v>0</v>
      </c>
      <c r="Q334" t="str">
        <f>IF(AND(EPe_BA_intern_assesment_Raw_data___Sheet13[[#This Row],[Customer Rating]]&gt;6,EPe_BA_intern_assesment_Raw_data___Sheet13[[#This Row],[Customer Rating]]&lt;9), EPe_BA_intern_assesment_Raw_data___Sheet13[[#This Row],[Customer Rating]], "")</f>
        <v/>
      </c>
      <c r="R334">
        <f>IF(EPe_BA_intern_assesment_Raw_data___Sheet13[[#This Row],[Customer Rating]]&lt;7,EPe_BA_intern_assesment_Raw_data___Sheet13[[#This Row],[Customer Rating]])</f>
        <v>2</v>
      </c>
    </row>
    <row r="335" spans="1:18" x14ac:dyDescent="0.3">
      <c r="A335" t="s">
        <v>363</v>
      </c>
      <c r="B335" t="s">
        <v>23</v>
      </c>
      <c r="C335" t="s">
        <v>17</v>
      </c>
      <c r="D335" s="1">
        <v>45939</v>
      </c>
      <c r="E335" s="1">
        <v>45940</v>
      </c>
      <c r="F335" s="1">
        <v>45943</v>
      </c>
      <c r="G335" s="1">
        <v>45946</v>
      </c>
      <c r="H335" t="s">
        <v>18</v>
      </c>
      <c r="I335" t="s">
        <v>19</v>
      </c>
      <c r="J335" s="1">
        <v>45962</v>
      </c>
      <c r="K335">
        <v>1</v>
      </c>
      <c r="L335">
        <v>3</v>
      </c>
      <c r="M335">
        <v>3</v>
      </c>
      <c r="N335">
        <v>2</v>
      </c>
      <c r="O335">
        <v>7</v>
      </c>
      <c r="P335" t="b">
        <f>IF(EPe_BA_intern_assesment_Raw_data___Sheet13[[#This Row],[Customer Rating]]&gt;8,EPe_BA_intern_assesment_Raw_data___Sheet13[[#This Row],[Customer Rating]])</f>
        <v>0</v>
      </c>
      <c r="Q335" t="str">
        <f>IF(AND(EPe_BA_intern_assesment_Raw_data___Sheet13[[#This Row],[Customer Rating]]&gt;6,EPe_BA_intern_assesment_Raw_data___Sheet13[[#This Row],[Customer Rating]]&lt;9), EPe_BA_intern_assesment_Raw_data___Sheet13[[#This Row],[Customer Rating]], "")</f>
        <v/>
      </c>
      <c r="R335">
        <f>IF(EPe_BA_intern_assesment_Raw_data___Sheet13[[#This Row],[Customer Rating]]&lt;7,EPe_BA_intern_assesment_Raw_data___Sheet13[[#This Row],[Customer Rating]])</f>
        <v>2</v>
      </c>
    </row>
    <row r="336" spans="1:18" x14ac:dyDescent="0.3">
      <c r="A336" t="s">
        <v>364</v>
      </c>
      <c r="B336" t="s">
        <v>23</v>
      </c>
      <c r="C336" t="s">
        <v>32</v>
      </c>
      <c r="D336" s="1">
        <v>45936</v>
      </c>
      <c r="E336" s="1">
        <v>45939</v>
      </c>
      <c r="F336" s="1">
        <v>45940</v>
      </c>
      <c r="G336" s="1">
        <v>45947</v>
      </c>
      <c r="H336" t="s">
        <v>18</v>
      </c>
      <c r="I336" t="s">
        <v>19</v>
      </c>
      <c r="J336" s="1">
        <v>45961</v>
      </c>
      <c r="K336">
        <v>3</v>
      </c>
      <c r="L336">
        <v>1</v>
      </c>
      <c r="M336">
        <v>7</v>
      </c>
      <c r="N336">
        <v>1</v>
      </c>
      <c r="O336">
        <v>11</v>
      </c>
      <c r="P336" t="b">
        <f>IF(EPe_BA_intern_assesment_Raw_data___Sheet13[[#This Row],[Customer Rating]]&gt;8,EPe_BA_intern_assesment_Raw_data___Sheet13[[#This Row],[Customer Rating]])</f>
        <v>0</v>
      </c>
      <c r="Q336" t="str">
        <f>IF(AND(EPe_BA_intern_assesment_Raw_data___Sheet13[[#This Row],[Customer Rating]]&gt;6,EPe_BA_intern_assesment_Raw_data___Sheet13[[#This Row],[Customer Rating]]&lt;9), EPe_BA_intern_assesment_Raw_data___Sheet13[[#This Row],[Customer Rating]], "")</f>
        <v/>
      </c>
      <c r="R336">
        <f>IF(EPe_BA_intern_assesment_Raw_data___Sheet13[[#This Row],[Customer Rating]]&lt;7,EPe_BA_intern_assesment_Raw_data___Sheet13[[#This Row],[Customer Rating]])</f>
        <v>1</v>
      </c>
    </row>
    <row r="337" spans="1:18" x14ac:dyDescent="0.3">
      <c r="A337" t="s">
        <v>365</v>
      </c>
      <c r="B337" t="s">
        <v>23</v>
      </c>
      <c r="C337" t="s">
        <v>24</v>
      </c>
      <c r="D337" s="1">
        <v>45949</v>
      </c>
      <c r="E337" s="1"/>
      <c r="F337" s="1"/>
      <c r="G337" s="1"/>
      <c r="H337" t="s">
        <v>25</v>
      </c>
      <c r="I337" t="s">
        <v>103</v>
      </c>
      <c r="J337" s="1"/>
      <c r="P337" t="b">
        <f>IF(EPe_BA_intern_assesment_Raw_data___Sheet13[[#This Row],[Customer Rating]]&gt;8,EPe_BA_intern_assesment_Raw_data___Sheet13[[#This Row],[Customer Rating]])</f>
        <v>0</v>
      </c>
      <c r="Q337" t="str">
        <f>IF(AND(EPe_BA_intern_assesment_Raw_data___Sheet13[[#This Row],[Customer Rating]]&gt;6,EPe_BA_intern_assesment_Raw_data___Sheet13[[#This Row],[Customer Rating]]&lt;9), EPe_BA_intern_assesment_Raw_data___Sheet13[[#This Row],[Customer Rating]], "")</f>
        <v/>
      </c>
      <c r="R337">
        <f>IF(EPe_BA_intern_assesment_Raw_data___Sheet13[[#This Row],[Customer Rating]]&lt;7,EPe_BA_intern_assesment_Raw_data___Sheet13[[#This Row],[Customer Rating]])</f>
        <v>0</v>
      </c>
    </row>
    <row r="338" spans="1:18" x14ac:dyDescent="0.3">
      <c r="A338" t="s">
        <v>366</v>
      </c>
      <c r="B338" t="s">
        <v>23</v>
      </c>
      <c r="C338" t="s">
        <v>32</v>
      </c>
      <c r="D338" s="1">
        <v>45944</v>
      </c>
      <c r="E338" s="1">
        <v>45945</v>
      </c>
      <c r="F338" s="1">
        <v>45947</v>
      </c>
      <c r="G338" s="1">
        <v>45951</v>
      </c>
      <c r="H338" t="s">
        <v>18</v>
      </c>
      <c r="I338" t="s">
        <v>19</v>
      </c>
      <c r="J338" s="1">
        <v>45962</v>
      </c>
      <c r="K338">
        <v>1</v>
      </c>
      <c r="L338">
        <v>2</v>
      </c>
      <c r="M338">
        <v>4</v>
      </c>
      <c r="N338">
        <v>7</v>
      </c>
      <c r="O338">
        <v>7</v>
      </c>
      <c r="P338" t="b">
        <f>IF(EPe_BA_intern_assesment_Raw_data___Sheet13[[#This Row],[Customer Rating]]&gt;8,EPe_BA_intern_assesment_Raw_data___Sheet13[[#This Row],[Customer Rating]])</f>
        <v>0</v>
      </c>
      <c r="Q338">
        <f>IF(AND(EPe_BA_intern_assesment_Raw_data___Sheet13[[#This Row],[Customer Rating]]&gt;6,EPe_BA_intern_assesment_Raw_data___Sheet13[[#This Row],[Customer Rating]]&lt;9), EPe_BA_intern_assesment_Raw_data___Sheet13[[#This Row],[Customer Rating]], "")</f>
        <v>7</v>
      </c>
      <c r="R338" t="b">
        <f>IF(EPe_BA_intern_assesment_Raw_data___Sheet13[[#This Row],[Customer Rating]]&lt;7,EPe_BA_intern_assesment_Raw_data___Sheet13[[#This Row],[Customer Rating]])</f>
        <v>0</v>
      </c>
    </row>
    <row r="339" spans="1:18" x14ac:dyDescent="0.3">
      <c r="A339" t="s">
        <v>367</v>
      </c>
      <c r="B339" t="s">
        <v>34</v>
      </c>
      <c r="C339" t="s">
        <v>24</v>
      </c>
      <c r="D339" s="1">
        <v>45951</v>
      </c>
      <c r="E339" s="1"/>
      <c r="F339" s="1"/>
      <c r="G339" s="1"/>
      <c r="H339" t="s">
        <v>25</v>
      </c>
      <c r="I339" t="s">
        <v>65</v>
      </c>
      <c r="J339" s="1"/>
      <c r="P339" t="b">
        <f>IF(EPe_BA_intern_assesment_Raw_data___Sheet13[[#This Row],[Customer Rating]]&gt;8,EPe_BA_intern_assesment_Raw_data___Sheet13[[#This Row],[Customer Rating]])</f>
        <v>0</v>
      </c>
      <c r="Q339" t="str">
        <f>IF(AND(EPe_BA_intern_assesment_Raw_data___Sheet13[[#This Row],[Customer Rating]]&gt;6,EPe_BA_intern_assesment_Raw_data___Sheet13[[#This Row],[Customer Rating]]&lt;9), EPe_BA_intern_assesment_Raw_data___Sheet13[[#This Row],[Customer Rating]], "")</f>
        <v/>
      </c>
      <c r="R339">
        <f>IF(EPe_BA_intern_assesment_Raw_data___Sheet13[[#This Row],[Customer Rating]]&lt;7,EPe_BA_intern_assesment_Raw_data___Sheet13[[#This Row],[Customer Rating]])</f>
        <v>0</v>
      </c>
    </row>
    <row r="340" spans="1:18" x14ac:dyDescent="0.3">
      <c r="A340" t="s">
        <v>368</v>
      </c>
      <c r="B340" t="s">
        <v>16</v>
      </c>
      <c r="C340" t="s">
        <v>17</v>
      </c>
      <c r="D340" s="1">
        <v>45957</v>
      </c>
      <c r="E340" s="1">
        <v>45960</v>
      </c>
      <c r="F340" s="1">
        <v>45965</v>
      </c>
      <c r="G340" s="1">
        <v>45968</v>
      </c>
      <c r="H340" t="s">
        <v>18</v>
      </c>
      <c r="I340" t="s">
        <v>19</v>
      </c>
      <c r="J340" s="1">
        <v>45991</v>
      </c>
      <c r="K340">
        <v>3</v>
      </c>
      <c r="L340">
        <v>5</v>
      </c>
      <c r="M340">
        <v>3</v>
      </c>
      <c r="N340">
        <v>3</v>
      </c>
      <c r="O340">
        <v>11</v>
      </c>
      <c r="P340" t="b">
        <f>IF(EPe_BA_intern_assesment_Raw_data___Sheet13[[#This Row],[Customer Rating]]&gt;8,EPe_BA_intern_assesment_Raw_data___Sheet13[[#This Row],[Customer Rating]])</f>
        <v>0</v>
      </c>
      <c r="Q340" t="str">
        <f>IF(AND(EPe_BA_intern_assesment_Raw_data___Sheet13[[#This Row],[Customer Rating]]&gt;6,EPe_BA_intern_assesment_Raw_data___Sheet13[[#This Row],[Customer Rating]]&lt;9), EPe_BA_intern_assesment_Raw_data___Sheet13[[#This Row],[Customer Rating]], "")</f>
        <v/>
      </c>
      <c r="R340">
        <f>IF(EPe_BA_intern_assesment_Raw_data___Sheet13[[#This Row],[Customer Rating]]&lt;7,EPe_BA_intern_assesment_Raw_data___Sheet13[[#This Row],[Customer Rating]])</f>
        <v>3</v>
      </c>
    </row>
    <row r="341" spans="1:18" x14ac:dyDescent="0.3">
      <c r="A341" t="s">
        <v>369</v>
      </c>
      <c r="B341" t="s">
        <v>34</v>
      </c>
      <c r="C341" t="s">
        <v>24</v>
      </c>
      <c r="D341" s="1">
        <v>45946</v>
      </c>
      <c r="E341" s="1"/>
      <c r="F341" s="1"/>
      <c r="G341" s="1"/>
      <c r="H341" t="s">
        <v>25</v>
      </c>
      <c r="I341" t="s">
        <v>65</v>
      </c>
      <c r="J341" s="1"/>
      <c r="P341" t="b">
        <f>IF(EPe_BA_intern_assesment_Raw_data___Sheet13[[#This Row],[Customer Rating]]&gt;8,EPe_BA_intern_assesment_Raw_data___Sheet13[[#This Row],[Customer Rating]])</f>
        <v>0</v>
      </c>
      <c r="Q341" t="str">
        <f>IF(AND(EPe_BA_intern_assesment_Raw_data___Sheet13[[#This Row],[Customer Rating]]&gt;6,EPe_BA_intern_assesment_Raw_data___Sheet13[[#This Row],[Customer Rating]]&lt;9), EPe_BA_intern_assesment_Raw_data___Sheet13[[#This Row],[Customer Rating]], "")</f>
        <v/>
      </c>
      <c r="R341">
        <f>IF(EPe_BA_intern_assesment_Raw_data___Sheet13[[#This Row],[Customer Rating]]&lt;7,EPe_BA_intern_assesment_Raw_data___Sheet13[[#This Row],[Customer Rating]])</f>
        <v>0</v>
      </c>
    </row>
    <row r="342" spans="1:18" x14ac:dyDescent="0.3">
      <c r="A342" t="s">
        <v>370</v>
      </c>
      <c r="B342" t="s">
        <v>34</v>
      </c>
      <c r="C342" t="s">
        <v>17</v>
      </c>
      <c r="D342" s="1">
        <v>45933</v>
      </c>
      <c r="E342" s="1">
        <v>45934</v>
      </c>
      <c r="F342" s="1">
        <v>45935</v>
      </c>
      <c r="G342" s="1">
        <v>45939</v>
      </c>
      <c r="H342" t="s">
        <v>18</v>
      </c>
      <c r="I342" t="s">
        <v>19</v>
      </c>
      <c r="J342" s="1">
        <v>45951</v>
      </c>
      <c r="K342">
        <v>1</v>
      </c>
      <c r="L342">
        <v>1</v>
      </c>
      <c r="M342">
        <v>4</v>
      </c>
      <c r="N342">
        <v>10</v>
      </c>
      <c r="O342">
        <v>6</v>
      </c>
      <c r="P342">
        <f>IF(EPe_BA_intern_assesment_Raw_data___Sheet13[[#This Row],[Customer Rating]]&gt;8,EPe_BA_intern_assesment_Raw_data___Sheet13[[#This Row],[Customer Rating]])</f>
        <v>10</v>
      </c>
      <c r="Q342" t="str">
        <f>IF(AND(EPe_BA_intern_assesment_Raw_data___Sheet13[[#This Row],[Customer Rating]]&gt;6,EPe_BA_intern_assesment_Raw_data___Sheet13[[#This Row],[Customer Rating]]&lt;9), EPe_BA_intern_assesment_Raw_data___Sheet13[[#This Row],[Customer Rating]], "")</f>
        <v/>
      </c>
      <c r="R342" t="b">
        <f>IF(EPe_BA_intern_assesment_Raw_data___Sheet13[[#This Row],[Customer Rating]]&lt;7,EPe_BA_intern_assesment_Raw_data___Sheet13[[#This Row],[Customer Rating]])</f>
        <v>0</v>
      </c>
    </row>
    <row r="343" spans="1:18" x14ac:dyDescent="0.3">
      <c r="A343" t="s">
        <v>371</v>
      </c>
      <c r="B343" t="s">
        <v>23</v>
      </c>
      <c r="C343" t="s">
        <v>17</v>
      </c>
      <c r="D343" s="1">
        <v>45946</v>
      </c>
      <c r="E343" s="1">
        <v>45951</v>
      </c>
      <c r="F343" s="1">
        <v>45952</v>
      </c>
      <c r="G343" s="1">
        <v>45954</v>
      </c>
      <c r="H343" t="s">
        <v>18</v>
      </c>
      <c r="I343" t="s">
        <v>19</v>
      </c>
      <c r="J343" s="1">
        <v>45977</v>
      </c>
      <c r="K343">
        <v>5</v>
      </c>
      <c r="L343">
        <v>1</v>
      </c>
      <c r="M343">
        <v>2</v>
      </c>
      <c r="N343">
        <v>1</v>
      </c>
      <c r="O343">
        <v>8</v>
      </c>
      <c r="P343" t="b">
        <f>IF(EPe_BA_intern_assesment_Raw_data___Sheet13[[#This Row],[Customer Rating]]&gt;8,EPe_BA_intern_assesment_Raw_data___Sheet13[[#This Row],[Customer Rating]])</f>
        <v>0</v>
      </c>
      <c r="Q343" t="str">
        <f>IF(AND(EPe_BA_intern_assesment_Raw_data___Sheet13[[#This Row],[Customer Rating]]&gt;6,EPe_BA_intern_assesment_Raw_data___Sheet13[[#This Row],[Customer Rating]]&lt;9), EPe_BA_intern_assesment_Raw_data___Sheet13[[#This Row],[Customer Rating]], "")</f>
        <v/>
      </c>
      <c r="R343">
        <f>IF(EPe_BA_intern_assesment_Raw_data___Sheet13[[#This Row],[Customer Rating]]&lt;7,EPe_BA_intern_assesment_Raw_data___Sheet13[[#This Row],[Customer Rating]])</f>
        <v>1</v>
      </c>
    </row>
    <row r="344" spans="1:18" x14ac:dyDescent="0.3">
      <c r="A344" t="s">
        <v>372</v>
      </c>
      <c r="B344" t="s">
        <v>21</v>
      </c>
      <c r="C344" t="s">
        <v>17</v>
      </c>
      <c r="D344" s="1">
        <v>45942</v>
      </c>
      <c r="E344" s="1">
        <v>45946</v>
      </c>
      <c r="F344" s="1">
        <v>45950</v>
      </c>
      <c r="G344" s="1">
        <v>45957</v>
      </c>
      <c r="H344" t="s">
        <v>18</v>
      </c>
      <c r="I344" t="s">
        <v>19</v>
      </c>
      <c r="J344" s="1">
        <v>45973</v>
      </c>
      <c r="K344">
        <v>4</v>
      </c>
      <c r="L344">
        <v>4</v>
      </c>
      <c r="M344">
        <v>7</v>
      </c>
      <c r="N344">
        <v>4</v>
      </c>
      <c r="O344">
        <v>15</v>
      </c>
      <c r="P344" t="b">
        <f>IF(EPe_BA_intern_assesment_Raw_data___Sheet13[[#This Row],[Customer Rating]]&gt;8,EPe_BA_intern_assesment_Raw_data___Sheet13[[#This Row],[Customer Rating]])</f>
        <v>0</v>
      </c>
      <c r="Q344" t="str">
        <f>IF(AND(EPe_BA_intern_assesment_Raw_data___Sheet13[[#This Row],[Customer Rating]]&gt;6,EPe_BA_intern_assesment_Raw_data___Sheet13[[#This Row],[Customer Rating]]&lt;9), EPe_BA_intern_assesment_Raw_data___Sheet13[[#This Row],[Customer Rating]], "")</f>
        <v/>
      </c>
      <c r="R344">
        <f>IF(EPe_BA_intern_assesment_Raw_data___Sheet13[[#This Row],[Customer Rating]]&lt;7,EPe_BA_intern_assesment_Raw_data___Sheet13[[#This Row],[Customer Rating]])</f>
        <v>4</v>
      </c>
    </row>
    <row r="345" spans="1:18" x14ac:dyDescent="0.3">
      <c r="A345" t="s">
        <v>373</v>
      </c>
      <c r="B345" t="s">
        <v>21</v>
      </c>
      <c r="C345" t="s">
        <v>17</v>
      </c>
      <c r="D345" s="1">
        <v>45944</v>
      </c>
      <c r="E345" s="1">
        <v>45947</v>
      </c>
      <c r="F345" s="1">
        <v>45950</v>
      </c>
      <c r="G345" s="1">
        <v>45954</v>
      </c>
      <c r="H345" t="s">
        <v>18</v>
      </c>
      <c r="I345" t="s">
        <v>19</v>
      </c>
      <c r="J345" s="1">
        <v>45984</v>
      </c>
      <c r="K345">
        <v>3</v>
      </c>
      <c r="L345">
        <v>3</v>
      </c>
      <c r="M345">
        <v>4</v>
      </c>
      <c r="N345">
        <v>8</v>
      </c>
      <c r="O345">
        <v>10</v>
      </c>
      <c r="P345" t="b">
        <f>IF(EPe_BA_intern_assesment_Raw_data___Sheet13[[#This Row],[Customer Rating]]&gt;8,EPe_BA_intern_assesment_Raw_data___Sheet13[[#This Row],[Customer Rating]])</f>
        <v>0</v>
      </c>
      <c r="Q345">
        <f>IF(AND(EPe_BA_intern_assesment_Raw_data___Sheet13[[#This Row],[Customer Rating]]&gt;6,EPe_BA_intern_assesment_Raw_data___Sheet13[[#This Row],[Customer Rating]]&lt;9), EPe_BA_intern_assesment_Raw_data___Sheet13[[#This Row],[Customer Rating]], "")</f>
        <v>8</v>
      </c>
      <c r="R345" t="b">
        <f>IF(EPe_BA_intern_assesment_Raw_data___Sheet13[[#This Row],[Customer Rating]]&lt;7,EPe_BA_intern_assesment_Raw_data___Sheet13[[#This Row],[Customer Rating]])</f>
        <v>0</v>
      </c>
    </row>
    <row r="346" spans="1:18" x14ac:dyDescent="0.3">
      <c r="A346" t="s">
        <v>374</v>
      </c>
      <c r="B346" t="s">
        <v>34</v>
      </c>
      <c r="C346" t="s">
        <v>17</v>
      </c>
      <c r="D346" s="1">
        <v>45941</v>
      </c>
      <c r="E346" s="1">
        <v>45944</v>
      </c>
      <c r="F346" s="1">
        <v>45945</v>
      </c>
      <c r="G346" s="1">
        <v>45949</v>
      </c>
      <c r="H346" t="s">
        <v>18</v>
      </c>
      <c r="I346" t="s">
        <v>19</v>
      </c>
      <c r="J346" s="1">
        <v>45963</v>
      </c>
      <c r="K346">
        <v>3</v>
      </c>
      <c r="L346">
        <v>1</v>
      </c>
      <c r="M346">
        <v>4</v>
      </c>
      <c r="N346">
        <v>3</v>
      </c>
      <c r="O346">
        <v>8</v>
      </c>
      <c r="P346" t="b">
        <f>IF(EPe_BA_intern_assesment_Raw_data___Sheet13[[#This Row],[Customer Rating]]&gt;8,EPe_BA_intern_assesment_Raw_data___Sheet13[[#This Row],[Customer Rating]])</f>
        <v>0</v>
      </c>
      <c r="Q346" t="str">
        <f>IF(AND(EPe_BA_intern_assesment_Raw_data___Sheet13[[#This Row],[Customer Rating]]&gt;6,EPe_BA_intern_assesment_Raw_data___Sheet13[[#This Row],[Customer Rating]]&lt;9), EPe_BA_intern_assesment_Raw_data___Sheet13[[#This Row],[Customer Rating]], "")</f>
        <v/>
      </c>
      <c r="R346">
        <f>IF(EPe_BA_intern_assesment_Raw_data___Sheet13[[#This Row],[Customer Rating]]&lt;7,EPe_BA_intern_assesment_Raw_data___Sheet13[[#This Row],[Customer Rating]])</f>
        <v>3</v>
      </c>
    </row>
    <row r="347" spans="1:18" x14ac:dyDescent="0.3">
      <c r="A347" t="s">
        <v>375</v>
      </c>
      <c r="B347" t="s">
        <v>34</v>
      </c>
      <c r="C347" t="s">
        <v>17</v>
      </c>
      <c r="D347" s="1">
        <v>45941</v>
      </c>
      <c r="E347" s="1">
        <v>45946</v>
      </c>
      <c r="F347" s="1">
        <v>45951</v>
      </c>
      <c r="G347" s="1">
        <v>45953</v>
      </c>
      <c r="H347" t="s">
        <v>18</v>
      </c>
      <c r="I347" t="s">
        <v>19</v>
      </c>
      <c r="J347" s="1">
        <v>45982</v>
      </c>
      <c r="K347">
        <v>5</v>
      </c>
      <c r="L347">
        <v>5</v>
      </c>
      <c r="M347">
        <v>2</v>
      </c>
      <c r="N347">
        <v>6</v>
      </c>
      <c r="O347">
        <v>12</v>
      </c>
      <c r="P347" t="b">
        <f>IF(EPe_BA_intern_assesment_Raw_data___Sheet13[[#This Row],[Customer Rating]]&gt;8,EPe_BA_intern_assesment_Raw_data___Sheet13[[#This Row],[Customer Rating]])</f>
        <v>0</v>
      </c>
      <c r="Q347" t="str">
        <f>IF(AND(EPe_BA_intern_assesment_Raw_data___Sheet13[[#This Row],[Customer Rating]]&gt;6,EPe_BA_intern_assesment_Raw_data___Sheet13[[#This Row],[Customer Rating]]&lt;9), EPe_BA_intern_assesment_Raw_data___Sheet13[[#This Row],[Customer Rating]], "")</f>
        <v/>
      </c>
      <c r="R347">
        <f>IF(EPe_BA_intern_assesment_Raw_data___Sheet13[[#This Row],[Customer Rating]]&lt;7,EPe_BA_intern_assesment_Raw_data___Sheet13[[#This Row],[Customer Rating]])</f>
        <v>6</v>
      </c>
    </row>
    <row r="348" spans="1:18" x14ac:dyDescent="0.3">
      <c r="A348" t="s">
        <v>376</v>
      </c>
      <c r="B348" t="s">
        <v>23</v>
      </c>
      <c r="C348" t="s">
        <v>17</v>
      </c>
      <c r="D348" s="1">
        <v>45952</v>
      </c>
      <c r="E348" s="1">
        <v>45954</v>
      </c>
      <c r="F348" s="1">
        <v>45955</v>
      </c>
      <c r="G348" s="1">
        <v>45959</v>
      </c>
      <c r="H348" t="s">
        <v>18</v>
      </c>
      <c r="I348" t="s">
        <v>19</v>
      </c>
      <c r="J348" s="1">
        <v>45977</v>
      </c>
      <c r="K348">
        <v>2</v>
      </c>
      <c r="L348">
        <v>1</v>
      </c>
      <c r="M348">
        <v>4</v>
      </c>
      <c r="N348">
        <v>4</v>
      </c>
      <c r="O348">
        <v>7</v>
      </c>
      <c r="P348" t="b">
        <f>IF(EPe_BA_intern_assesment_Raw_data___Sheet13[[#This Row],[Customer Rating]]&gt;8,EPe_BA_intern_assesment_Raw_data___Sheet13[[#This Row],[Customer Rating]])</f>
        <v>0</v>
      </c>
      <c r="Q348" t="str">
        <f>IF(AND(EPe_BA_intern_assesment_Raw_data___Sheet13[[#This Row],[Customer Rating]]&gt;6,EPe_BA_intern_assesment_Raw_data___Sheet13[[#This Row],[Customer Rating]]&lt;9), EPe_BA_intern_assesment_Raw_data___Sheet13[[#This Row],[Customer Rating]], "")</f>
        <v/>
      </c>
      <c r="R348">
        <f>IF(EPe_BA_intern_assesment_Raw_data___Sheet13[[#This Row],[Customer Rating]]&lt;7,EPe_BA_intern_assesment_Raw_data___Sheet13[[#This Row],[Customer Rating]])</f>
        <v>4</v>
      </c>
    </row>
    <row r="349" spans="1:18" x14ac:dyDescent="0.3">
      <c r="A349" t="s">
        <v>377</v>
      </c>
      <c r="B349" t="s">
        <v>34</v>
      </c>
      <c r="C349" t="s">
        <v>32</v>
      </c>
      <c r="D349" s="1">
        <v>45934</v>
      </c>
      <c r="E349" s="1">
        <v>45937</v>
      </c>
      <c r="F349" s="1">
        <v>45938</v>
      </c>
      <c r="G349" s="1">
        <v>45945</v>
      </c>
      <c r="H349" t="s">
        <v>18</v>
      </c>
      <c r="I349" t="s">
        <v>19</v>
      </c>
      <c r="J349" s="1">
        <v>45965</v>
      </c>
      <c r="K349">
        <v>3</v>
      </c>
      <c r="L349">
        <v>1</v>
      </c>
      <c r="M349">
        <v>7</v>
      </c>
      <c r="N349">
        <v>8</v>
      </c>
      <c r="O349">
        <v>11</v>
      </c>
      <c r="P349" t="b">
        <f>IF(EPe_BA_intern_assesment_Raw_data___Sheet13[[#This Row],[Customer Rating]]&gt;8,EPe_BA_intern_assesment_Raw_data___Sheet13[[#This Row],[Customer Rating]])</f>
        <v>0</v>
      </c>
      <c r="Q349">
        <f>IF(AND(EPe_BA_intern_assesment_Raw_data___Sheet13[[#This Row],[Customer Rating]]&gt;6,EPe_BA_intern_assesment_Raw_data___Sheet13[[#This Row],[Customer Rating]]&lt;9), EPe_BA_intern_assesment_Raw_data___Sheet13[[#This Row],[Customer Rating]], "")</f>
        <v>8</v>
      </c>
      <c r="R349" t="b">
        <f>IF(EPe_BA_intern_assesment_Raw_data___Sheet13[[#This Row],[Customer Rating]]&lt;7,EPe_BA_intern_assesment_Raw_data___Sheet13[[#This Row],[Customer Rating]])</f>
        <v>0</v>
      </c>
    </row>
    <row r="350" spans="1:18" x14ac:dyDescent="0.3">
      <c r="A350" t="s">
        <v>378</v>
      </c>
      <c r="B350" t="s">
        <v>23</v>
      </c>
      <c r="C350" t="s">
        <v>17</v>
      </c>
      <c r="D350" s="1">
        <v>45958</v>
      </c>
      <c r="E350" s="1">
        <v>45959</v>
      </c>
      <c r="F350" s="1">
        <v>45963</v>
      </c>
      <c r="G350" s="1">
        <v>45970</v>
      </c>
      <c r="H350" t="s">
        <v>18</v>
      </c>
      <c r="I350" t="s">
        <v>19</v>
      </c>
      <c r="J350" s="1">
        <v>45982</v>
      </c>
      <c r="K350">
        <v>1</v>
      </c>
      <c r="L350">
        <v>4</v>
      </c>
      <c r="M350">
        <v>7</v>
      </c>
      <c r="N350">
        <v>4</v>
      </c>
      <c r="O350">
        <v>12</v>
      </c>
      <c r="P350" t="b">
        <f>IF(EPe_BA_intern_assesment_Raw_data___Sheet13[[#This Row],[Customer Rating]]&gt;8,EPe_BA_intern_assesment_Raw_data___Sheet13[[#This Row],[Customer Rating]])</f>
        <v>0</v>
      </c>
      <c r="Q350" t="str">
        <f>IF(AND(EPe_BA_intern_assesment_Raw_data___Sheet13[[#This Row],[Customer Rating]]&gt;6,EPe_BA_intern_assesment_Raw_data___Sheet13[[#This Row],[Customer Rating]]&lt;9), EPe_BA_intern_assesment_Raw_data___Sheet13[[#This Row],[Customer Rating]], "")</f>
        <v/>
      </c>
      <c r="R350">
        <f>IF(EPe_BA_intern_assesment_Raw_data___Sheet13[[#This Row],[Customer Rating]]&lt;7,EPe_BA_intern_assesment_Raw_data___Sheet13[[#This Row],[Customer Rating]])</f>
        <v>4</v>
      </c>
    </row>
    <row r="351" spans="1:18" x14ac:dyDescent="0.3">
      <c r="A351" t="s">
        <v>379</v>
      </c>
      <c r="B351" t="s">
        <v>21</v>
      </c>
      <c r="C351" t="s">
        <v>17</v>
      </c>
      <c r="D351" s="1">
        <v>45936</v>
      </c>
      <c r="E351" s="1">
        <v>45941</v>
      </c>
      <c r="F351" s="1">
        <v>45942</v>
      </c>
      <c r="G351" s="1">
        <v>45945</v>
      </c>
      <c r="H351" t="s">
        <v>18</v>
      </c>
      <c r="I351" t="s">
        <v>19</v>
      </c>
      <c r="J351" s="1">
        <v>45957</v>
      </c>
      <c r="K351">
        <v>5</v>
      </c>
      <c r="L351">
        <v>1</v>
      </c>
      <c r="M351">
        <v>3</v>
      </c>
      <c r="N351">
        <v>6</v>
      </c>
      <c r="O351">
        <v>9</v>
      </c>
      <c r="P351" t="b">
        <f>IF(EPe_BA_intern_assesment_Raw_data___Sheet13[[#This Row],[Customer Rating]]&gt;8,EPe_BA_intern_assesment_Raw_data___Sheet13[[#This Row],[Customer Rating]])</f>
        <v>0</v>
      </c>
      <c r="Q351" t="str">
        <f>IF(AND(EPe_BA_intern_assesment_Raw_data___Sheet13[[#This Row],[Customer Rating]]&gt;6,EPe_BA_intern_assesment_Raw_data___Sheet13[[#This Row],[Customer Rating]]&lt;9), EPe_BA_intern_assesment_Raw_data___Sheet13[[#This Row],[Customer Rating]], "")</f>
        <v/>
      </c>
      <c r="R351">
        <f>IF(EPe_BA_intern_assesment_Raw_data___Sheet13[[#This Row],[Customer Rating]]&lt;7,EPe_BA_intern_assesment_Raw_data___Sheet13[[#This Row],[Customer Rating]])</f>
        <v>6</v>
      </c>
    </row>
    <row r="352" spans="1:18" x14ac:dyDescent="0.3">
      <c r="A352" t="s">
        <v>380</v>
      </c>
      <c r="B352" t="s">
        <v>21</v>
      </c>
      <c r="C352" t="s">
        <v>17</v>
      </c>
      <c r="D352" s="1">
        <v>45941</v>
      </c>
      <c r="E352" s="1">
        <v>45943</v>
      </c>
      <c r="F352" s="1">
        <v>45946</v>
      </c>
      <c r="G352" s="1">
        <v>45948</v>
      </c>
      <c r="H352" t="s">
        <v>25</v>
      </c>
      <c r="I352" t="s">
        <v>26</v>
      </c>
      <c r="J352" s="1"/>
      <c r="K352">
        <v>2</v>
      </c>
      <c r="L352">
        <v>3</v>
      </c>
      <c r="M352">
        <v>2</v>
      </c>
      <c r="O352">
        <v>7</v>
      </c>
      <c r="P352" t="b">
        <f>IF(EPe_BA_intern_assesment_Raw_data___Sheet13[[#This Row],[Customer Rating]]&gt;8,EPe_BA_intern_assesment_Raw_data___Sheet13[[#This Row],[Customer Rating]])</f>
        <v>0</v>
      </c>
      <c r="Q352" t="str">
        <f>IF(AND(EPe_BA_intern_assesment_Raw_data___Sheet13[[#This Row],[Customer Rating]]&gt;6,EPe_BA_intern_assesment_Raw_data___Sheet13[[#This Row],[Customer Rating]]&lt;9), EPe_BA_intern_assesment_Raw_data___Sheet13[[#This Row],[Customer Rating]], "")</f>
        <v/>
      </c>
      <c r="R352">
        <f>IF(EPe_BA_intern_assesment_Raw_data___Sheet13[[#This Row],[Customer Rating]]&lt;7,EPe_BA_intern_assesment_Raw_data___Sheet13[[#This Row],[Customer Rating]])</f>
        <v>0</v>
      </c>
    </row>
    <row r="353" spans="1:18" x14ac:dyDescent="0.3">
      <c r="A353" t="s">
        <v>381</v>
      </c>
      <c r="B353" t="s">
        <v>16</v>
      </c>
      <c r="C353" t="s">
        <v>17</v>
      </c>
      <c r="D353" s="1">
        <v>45944</v>
      </c>
      <c r="E353" s="1">
        <v>45947</v>
      </c>
      <c r="F353" s="1">
        <v>45951</v>
      </c>
      <c r="G353" s="1">
        <v>45956</v>
      </c>
      <c r="H353" t="s">
        <v>25</v>
      </c>
      <c r="I353" t="s">
        <v>35</v>
      </c>
      <c r="J353" s="1"/>
      <c r="K353">
        <v>3</v>
      </c>
      <c r="L353">
        <v>4</v>
      </c>
      <c r="M353">
        <v>5</v>
      </c>
      <c r="O353">
        <v>12</v>
      </c>
      <c r="P353" t="b">
        <f>IF(EPe_BA_intern_assesment_Raw_data___Sheet13[[#This Row],[Customer Rating]]&gt;8,EPe_BA_intern_assesment_Raw_data___Sheet13[[#This Row],[Customer Rating]])</f>
        <v>0</v>
      </c>
      <c r="Q353" t="str">
        <f>IF(AND(EPe_BA_intern_assesment_Raw_data___Sheet13[[#This Row],[Customer Rating]]&gt;6,EPe_BA_intern_assesment_Raw_data___Sheet13[[#This Row],[Customer Rating]]&lt;9), EPe_BA_intern_assesment_Raw_data___Sheet13[[#This Row],[Customer Rating]], "")</f>
        <v/>
      </c>
      <c r="R353">
        <f>IF(EPe_BA_intern_assesment_Raw_data___Sheet13[[#This Row],[Customer Rating]]&lt;7,EPe_BA_intern_assesment_Raw_data___Sheet13[[#This Row],[Customer Rating]])</f>
        <v>0</v>
      </c>
    </row>
    <row r="354" spans="1:18" x14ac:dyDescent="0.3">
      <c r="A354" t="s">
        <v>382</v>
      </c>
      <c r="B354" t="s">
        <v>21</v>
      </c>
      <c r="C354" t="s">
        <v>17</v>
      </c>
      <c r="D354" s="1">
        <v>45953</v>
      </c>
      <c r="E354" s="1">
        <v>45956</v>
      </c>
      <c r="F354" s="1">
        <v>45958</v>
      </c>
      <c r="G354" s="1">
        <v>45965</v>
      </c>
      <c r="H354" t="s">
        <v>18</v>
      </c>
      <c r="I354" t="s">
        <v>19</v>
      </c>
      <c r="J354" s="1">
        <v>45987</v>
      </c>
      <c r="K354">
        <v>3</v>
      </c>
      <c r="L354">
        <v>2</v>
      </c>
      <c r="M354">
        <v>7</v>
      </c>
      <c r="N354">
        <v>5</v>
      </c>
      <c r="O354">
        <v>12</v>
      </c>
      <c r="P354" t="b">
        <f>IF(EPe_BA_intern_assesment_Raw_data___Sheet13[[#This Row],[Customer Rating]]&gt;8,EPe_BA_intern_assesment_Raw_data___Sheet13[[#This Row],[Customer Rating]])</f>
        <v>0</v>
      </c>
      <c r="Q354" t="str">
        <f>IF(AND(EPe_BA_intern_assesment_Raw_data___Sheet13[[#This Row],[Customer Rating]]&gt;6,EPe_BA_intern_assesment_Raw_data___Sheet13[[#This Row],[Customer Rating]]&lt;9), EPe_BA_intern_assesment_Raw_data___Sheet13[[#This Row],[Customer Rating]], "")</f>
        <v/>
      </c>
      <c r="R354">
        <f>IF(EPe_BA_intern_assesment_Raw_data___Sheet13[[#This Row],[Customer Rating]]&lt;7,EPe_BA_intern_assesment_Raw_data___Sheet13[[#This Row],[Customer Rating]])</f>
        <v>5</v>
      </c>
    </row>
    <row r="355" spans="1:18" x14ac:dyDescent="0.3">
      <c r="A355" t="s">
        <v>383</v>
      </c>
      <c r="B355" t="s">
        <v>34</v>
      </c>
      <c r="C355" t="s">
        <v>24</v>
      </c>
      <c r="D355" s="1">
        <v>45946</v>
      </c>
      <c r="E355" s="1"/>
      <c r="F355" s="1"/>
      <c r="G355" s="1"/>
      <c r="H355" t="s">
        <v>25</v>
      </c>
      <c r="I355" t="s">
        <v>28</v>
      </c>
      <c r="J355" s="1"/>
      <c r="P355" t="b">
        <f>IF(EPe_BA_intern_assesment_Raw_data___Sheet13[[#This Row],[Customer Rating]]&gt;8,EPe_BA_intern_assesment_Raw_data___Sheet13[[#This Row],[Customer Rating]])</f>
        <v>0</v>
      </c>
      <c r="Q355" t="str">
        <f>IF(AND(EPe_BA_intern_assesment_Raw_data___Sheet13[[#This Row],[Customer Rating]]&gt;6,EPe_BA_intern_assesment_Raw_data___Sheet13[[#This Row],[Customer Rating]]&lt;9), EPe_BA_intern_assesment_Raw_data___Sheet13[[#This Row],[Customer Rating]], "")</f>
        <v/>
      </c>
      <c r="R355">
        <f>IF(EPe_BA_intern_assesment_Raw_data___Sheet13[[#This Row],[Customer Rating]]&lt;7,EPe_BA_intern_assesment_Raw_data___Sheet13[[#This Row],[Customer Rating]])</f>
        <v>0</v>
      </c>
    </row>
    <row r="356" spans="1:18" x14ac:dyDescent="0.3">
      <c r="A356" t="s">
        <v>384</v>
      </c>
      <c r="B356" t="s">
        <v>21</v>
      </c>
      <c r="C356" t="s">
        <v>32</v>
      </c>
      <c r="D356" s="1">
        <v>45940</v>
      </c>
      <c r="E356" s="1">
        <v>45944</v>
      </c>
      <c r="F356" s="1">
        <v>45946</v>
      </c>
      <c r="G356" s="1">
        <v>45950</v>
      </c>
      <c r="H356" t="s">
        <v>18</v>
      </c>
      <c r="I356" t="s">
        <v>19</v>
      </c>
      <c r="J356" s="1">
        <v>45977</v>
      </c>
      <c r="K356">
        <v>4</v>
      </c>
      <c r="L356">
        <v>2</v>
      </c>
      <c r="M356">
        <v>4</v>
      </c>
      <c r="N356">
        <v>2</v>
      </c>
      <c r="O356">
        <v>10</v>
      </c>
      <c r="P356" t="b">
        <f>IF(EPe_BA_intern_assesment_Raw_data___Sheet13[[#This Row],[Customer Rating]]&gt;8,EPe_BA_intern_assesment_Raw_data___Sheet13[[#This Row],[Customer Rating]])</f>
        <v>0</v>
      </c>
      <c r="Q356" t="str">
        <f>IF(AND(EPe_BA_intern_assesment_Raw_data___Sheet13[[#This Row],[Customer Rating]]&gt;6,EPe_BA_intern_assesment_Raw_data___Sheet13[[#This Row],[Customer Rating]]&lt;9), EPe_BA_intern_assesment_Raw_data___Sheet13[[#This Row],[Customer Rating]], "")</f>
        <v/>
      </c>
      <c r="R356">
        <f>IF(EPe_BA_intern_assesment_Raw_data___Sheet13[[#This Row],[Customer Rating]]&lt;7,EPe_BA_intern_assesment_Raw_data___Sheet13[[#This Row],[Customer Rating]])</f>
        <v>2</v>
      </c>
    </row>
    <row r="357" spans="1:18" x14ac:dyDescent="0.3">
      <c r="A357" t="s">
        <v>385</v>
      </c>
      <c r="B357" t="s">
        <v>23</v>
      </c>
      <c r="C357" t="s">
        <v>17</v>
      </c>
      <c r="D357" s="1">
        <v>45952</v>
      </c>
      <c r="E357" s="1">
        <v>45954</v>
      </c>
      <c r="F357" s="1">
        <v>45958</v>
      </c>
      <c r="G357" s="1">
        <v>45965</v>
      </c>
      <c r="H357" t="s">
        <v>18</v>
      </c>
      <c r="I357" t="s">
        <v>19</v>
      </c>
      <c r="J357" s="1">
        <v>45987</v>
      </c>
      <c r="K357">
        <v>2</v>
      </c>
      <c r="L357">
        <v>4</v>
      </c>
      <c r="M357">
        <v>7</v>
      </c>
      <c r="N357">
        <v>3</v>
      </c>
      <c r="O357">
        <v>13</v>
      </c>
      <c r="P357" t="b">
        <f>IF(EPe_BA_intern_assesment_Raw_data___Sheet13[[#This Row],[Customer Rating]]&gt;8,EPe_BA_intern_assesment_Raw_data___Sheet13[[#This Row],[Customer Rating]])</f>
        <v>0</v>
      </c>
      <c r="Q357" t="str">
        <f>IF(AND(EPe_BA_intern_assesment_Raw_data___Sheet13[[#This Row],[Customer Rating]]&gt;6,EPe_BA_intern_assesment_Raw_data___Sheet13[[#This Row],[Customer Rating]]&lt;9), EPe_BA_intern_assesment_Raw_data___Sheet13[[#This Row],[Customer Rating]], "")</f>
        <v/>
      </c>
      <c r="R357">
        <f>IF(EPe_BA_intern_assesment_Raw_data___Sheet13[[#This Row],[Customer Rating]]&lt;7,EPe_BA_intern_assesment_Raw_data___Sheet13[[#This Row],[Customer Rating]])</f>
        <v>3</v>
      </c>
    </row>
    <row r="358" spans="1:18" x14ac:dyDescent="0.3">
      <c r="A358" t="s">
        <v>386</v>
      </c>
      <c r="B358" t="s">
        <v>21</v>
      </c>
      <c r="C358" t="s">
        <v>17</v>
      </c>
      <c r="D358" s="1">
        <v>45961</v>
      </c>
      <c r="E358" s="1">
        <v>45966</v>
      </c>
      <c r="F358" s="1">
        <v>45969</v>
      </c>
      <c r="G358" s="1">
        <v>45976</v>
      </c>
      <c r="H358" t="s">
        <v>18</v>
      </c>
      <c r="I358" t="s">
        <v>19</v>
      </c>
      <c r="J358" s="1">
        <v>46003</v>
      </c>
      <c r="K358">
        <v>5</v>
      </c>
      <c r="L358">
        <v>3</v>
      </c>
      <c r="M358">
        <v>7</v>
      </c>
      <c r="N358">
        <v>10</v>
      </c>
      <c r="O358">
        <v>15</v>
      </c>
      <c r="P358">
        <f>IF(EPe_BA_intern_assesment_Raw_data___Sheet13[[#This Row],[Customer Rating]]&gt;8,EPe_BA_intern_assesment_Raw_data___Sheet13[[#This Row],[Customer Rating]])</f>
        <v>10</v>
      </c>
      <c r="Q358" t="str">
        <f>IF(AND(EPe_BA_intern_assesment_Raw_data___Sheet13[[#This Row],[Customer Rating]]&gt;6,EPe_BA_intern_assesment_Raw_data___Sheet13[[#This Row],[Customer Rating]]&lt;9), EPe_BA_intern_assesment_Raw_data___Sheet13[[#This Row],[Customer Rating]], "")</f>
        <v/>
      </c>
      <c r="R358" t="b">
        <f>IF(EPe_BA_intern_assesment_Raw_data___Sheet13[[#This Row],[Customer Rating]]&lt;7,EPe_BA_intern_assesment_Raw_data___Sheet13[[#This Row],[Customer Rating]])</f>
        <v>0</v>
      </c>
    </row>
    <row r="359" spans="1:18" x14ac:dyDescent="0.3">
      <c r="A359" t="s">
        <v>387</v>
      </c>
      <c r="B359" t="s">
        <v>16</v>
      </c>
      <c r="C359" t="s">
        <v>17</v>
      </c>
      <c r="D359" s="1">
        <v>45943</v>
      </c>
      <c r="E359" s="1">
        <v>45944</v>
      </c>
      <c r="F359" s="1">
        <v>45948</v>
      </c>
      <c r="G359" s="1">
        <v>45951</v>
      </c>
      <c r="H359" t="s">
        <v>18</v>
      </c>
      <c r="I359" t="s">
        <v>19</v>
      </c>
      <c r="J359" s="1">
        <v>45971</v>
      </c>
      <c r="K359">
        <v>1</v>
      </c>
      <c r="L359">
        <v>4</v>
      </c>
      <c r="M359">
        <v>3</v>
      </c>
      <c r="N359">
        <v>3</v>
      </c>
      <c r="O359">
        <v>8</v>
      </c>
      <c r="P359" t="b">
        <f>IF(EPe_BA_intern_assesment_Raw_data___Sheet13[[#This Row],[Customer Rating]]&gt;8,EPe_BA_intern_assesment_Raw_data___Sheet13[[#This Row],[Customer Rating]])</f>
        <v>0</v>
      </c>
      <c r="Q359" t="str">
        <f>IF(AND(EPe_BA_intern_assesment_Raw_data___Sheet13[[#This Row],[Customer Rating]]&gt;6,EPe_BA_intern_assesment_Raw_data___Sheet13[[#This Row],[Customer Rating]]&lt;9), EPe_BA_intern_assesment_Raw_data___Sheet13[[#This Row],[Customer Rating]], "")</f>
        <v/>
      </c>
      <c r="R359">
        <f>IF(EPe_BA_intern_assesment_Raw_data___Sheet13[[#This Row],[Customer Rating]]&lt;7,EPe_BA_intern_assesment_Raw_data___Sheet13[[#This Row],[Customer Rating]])</f>
        <v>3</v>
      </c>
    </row>
    <row r="360" spans="1:18" x14ac:dyDescent="0.3">
      <c r="A360" t="s">
        <v>388</v>
      </c>
      <c r="B360" t="s">
        <v>21</v>
      </c>
      <c r="C360" t="s">
        <v>24</v>
      </c>
      <c r="D360" s="1">
        <v>45957</v>
      </c>
      <c r="E360" s="1"/>
      <c r="F360" s="1"/>
      <c r="G360" s="1"/>
      <c r="H360" t="s">
        <v>25</v>
      </c>
      <c r="I360" t="s">
        <v>26</v>
      </c>
      <c r="J360" s="1"/>
      <c r="P360" t="b">
        <f>IF(EPe_BA_intern_assesment_Raw_data___Sheet13[[#This Row],[Customer Rating]]&gt;8,EPe_BA_intern_assesment_Raw_data___Sheet13[[#This Row],[Customer Rating]])</f>
        <v>0</v>
      </c>
      <c r="Q360" t="str">
        <f>IF(AND(EPe_BA_intern_assesment_Raw_data___Sheet13[[#This Row],[Customer Rating]]&gt;6,EPe_BA_intern_assesment_Raw_data___Sheet13[[#This Row],[Customer Rating]]&lt;9), EPe_BA_intern_assesment_Raw_data___Sheet13[[#This Row],[Customer Rating]], "")</f>
        <v/>
      </c>
      <c r="R360">
        <f>IF(EPe_BA_intern_assesment_Raw_data___Sheet13[[#This Row],[Customer Rating]]&lt;7,EPe_BA_intern_assesment_Raw_data___Sheet13[[#This Row],[Customer Rating]])</f>
        <v>0</v>
      </c>
    </row>
    <row r="361" spans="1:18" x14ac:dyDescent="0.3">
      <c r="A361" t="s">
        <v>389</v>
      </c>
      <c r="B361" t="s">
        <v>23</v>
      </c>
      <c r="C361" t="s">
        <v>32</v>
      </c>
      <c r="D361" s="1">
        <v>45955</v>
      </c>
      <c r="E361" s="1">
        <v>45958</v>
      </c>
      <c r="F361" s="1">
        <v>45962</v>
      </c>
      <c r="G361" s="1">
        <v>45967</v>
      </c>
      <c r="H361" t="s">
        <v>18</v>
      </c>
      <c r="I361" t="s">
        <v>19</v>
      </c>
      <c r="J361" s="1">
        <v>45985</v>
      </c>
      <c r="K361">
        <v>3</v>
      </c>
      <c r="L361">
        <v>4</v>
      </c>
      <c r="M361">
        <v>5</v>
      </c>
      <c r="N361">
        <v>5</v>
      </c>
      <c r="O361">
        <v>12</v>
      </c>
      <c r="P361" t="b">
        <f>IF(EPe_BA_intern_assesment_Raw_data___Sheet13[[#This Row],[Customer Rating]]&gt;8,EPe_BA_intern_assesment_Raw_data___Sheet13[[#This Row],[Customer Rating]])</f>
        <v>0</v>
      </c>
      <c r="Q361" t="str">
        <f>IF(AND(EPe_BA_intern_assesment_Raw_data___Sheet13[[#This Row],[Customer Rating]]&gt;6,EPe_BA_intern_assesment_Raw_data___Sheet13[[#This Row],[Customer Rating]]&lt;9), EPe_BA_intern_assesment_Raw_data___Sheet13[[#This Row],[Customer Rating]], "")</f>
        <v/>
      </c>
      <c r="R361">
        <f>IF(EPe_BA_intern_assesment_Raw_data___Sheet13[[#This Row],[Customer Rating]]&lt;7,EPe_BA_intern_assesment_Raw_data___Sheet13[[#This Row],[Customer Rating]])</f>
        <v>5</v>
      </c>
    </row>
    <row r="362" spans="1:18" x14ac:dyDescent="0.3">
      <c r="A362" t="s">
        <v>390</v>
      </c>
      <c r="B362" t="s">
        <v>23</v>
      </c>
      <c r="C362" t="s">
        <v>17</v>
      </c>
      <c r="D362" s="1">
        <v>45948</v>
      </c>
      <c r="E362" s="1">
        <v>45953</v>
      </c>
      <c r="F362" s="1">
        <v>45957</v>
      </c>
      <c r="G362" s="1">
        <v>45964</v>
      </c>
      <c r="H362" t="s">
        <v>18</v>
      </c>
      <c r="I362" t="s">
        <v>19</v>
      </c>
      <c r="J362" s="1">
        <v>45990</v>
      </c>
      <c r="K362">
        <v>5</v>
      </c>
      <c r="L362">
        <v>4</v>
      </c>
      <c r="M362">
        <v>7</v>
      </c>
      <c r="N362">
        <v>8</v>
      </c>
      <c r="O362">
        <v>16</v>
      </c>
      <c r="P362" t="b">
        <f>IF(EPe_BA_intern_assesment_Raw_data___Sheet13[[#This Row],[Customer Rating]]&gt;8,EPe_BA_intern_assesment_Raw_data___Sheet13[[#This Row],[Customer Rating]])</f>
        <v>0</v>
      </c>
      <c r="Q362">
        <f>IF(AND(EPe_BA_intern_assesment_Raw_data___Sheet13[[#This Row],[Customer Rating]]&gt;6,EPe_BA_intern_assesment_Raw_data___Sheet13[[#This Row],[Customer Rating]]&lt;9), EPe_BA_intern_assesment_Raw_data___Sheet13[[#This Row],[Customer Rating]], "")</f>
        <v>8</v>
      </c>
      <c r="R362" t="b">
        <f>IF(EPe_BA_intern_assesment_Raw_data___Sheet13[[#This Row],[Customer Rating]]&lt;7,EPe_BA_intern_assesment_Raw_data___Sheet13[[#This Row],[Customer Rating]])</f>
        <v>0</v>
      </c>
    </row>
    <row r="363" spans="1:18" x14ac:dyDescent="0.3">
      <c r="A363" t="s">
        <v>391</v>
      </c>
      <c r="B363" t="s">
        <v>34</v>
      </c>
      <c r="C363" t="s">
        <v>17</v>
      </c>
      <c r="D363" s="1">
        <v>45932</v>
      </c>
      <c r="E363" s="1">
        <v>45936</v>
      </c>
      <c r="F363" s="1">
        <v>45940</v>
      </c>
      <c r="G363" s="1">
        <v>45942</v>
      </c>
      <c r="H363" t="s">
        <v>18</v>
      </c>
      <c r="I363" t="s">
        <v>19</v>
      </c>
      <c r="J363" s="1">
        <v>45966</v>
      </c>
      <c r="K363">
        <v>4</v>
      </c>
      <c r="L363">
        <v>4</v>
      </c>
      <c r="M363">
        <v>2</v>
      </c>
      <c r="N363">
        <v>0</v>
      </c>
      <c r="O363">
        <v>10</v>
      </c>
      <c r="P363" t="b">
        <f>IF(EPe_BA_intern_assesment_Raw_data___Sheet13[[#This Row],[Customer Rating]]&gt;8,EPe_BA_intern_assesment_Raw_data___Sheet13[[#This Row],[Customer Rating]])</f>
        <v>0</v>
      </c>
      <c r="Q363" t="str">
        <f>IF(AND(EPe_BA_intern_assesment_Raw_data___Sheet13[[#This Row],[Customer Rating]]&gt;6,EPe_BA_intern_assesment_Raw_data___Sheet13[[#This Row],[Customer Rating]]&lt;9), EPe_BA_intern_assesment_Raw_data___Sheet13[[#This Row],[Customer Rating]], "")</f>
        <v/>
      </c>
      <c r="R363">
        <f>IF(EPe_BA_intern_assesment_Raw_data___Sheet13[[#This Row],[Customer Rating]]&lt;7,EPe_BA_intern_assesment_Raw_data___Sheet13[[#This Row],[Customer Rating]])</f>
        <v>0</v>
      </c>
    </row>
    <row r="364" spans="1:18" x14ac:dyDescent="0.3">
      <c r="A364" t="s">
        <v>392</v>
      </c>
      <c r="B364" t="s">
        <v>21</v>
      </c>
      <c r="C364" t="s">
        <v>17</v>
      </c>
      <c r="D364" s="1">
        <v>45945</v>
      </c>
      <c r="E364" s="1">
        <v>45948</v>
      </c>
      <c r="F364" s="1">
        <v>45949</v>
      </c>
      <c r="G364" s="1">
        <v>45956</v>
      </c>
      <c r="H364" t="s">
        <v>18</v>
      </c>
      <c r="I364" t="s">
        <v>19</v>
      </c>
      <c r="J364" s="1">
        <v>45966</v>
      </c>
      <c r="K364">
        <v>3</v>
      </c>
      <c r="L364">
        <v>1</v>
      </c>
      <c r="M364">
        <v>7</v>
      </c>
      <c r="N364">
        <v>1</v>
      </c>
      <c r="O364">
        <v>11</v>
      </c>
      <c r="P364" t="b">
        <f>IF(EPe_BA_intern_assesment_Raw_data___Sheet13[[#This Row],[Customer Rating]]&gt;8,EPe_BA_intern_assesment_Raw_data___Sheet13[[#This Row],[Customer Rating]])</f>
        <v>0</v>
      </c>
      <c r="Q364" t="str">
        <f>IF(AND(EPe_BA_intern_assesment_Raw_data___Sheet13[[#This Row],[Customer Rating]]&gt;6,EPe_BA_intern_assesment_Raw_data___Sheet13[[#This Row],[Customer Rating]]&lt;9), EPe_BA_intern_assesment_Raw_data___Sheet13[[#This Row],[Customer Rating]], "")</f>
        <v/>
      </c>
      <c r="R364">
        <f>IF(EPe_BA_intern_assesment_Raw_data___Sheet13[[#This Row],[Customer Rating]]&lt;7,EPe_BA_intern_assesment_Raw_data___Sheet13[[#This Row],[Customer Rating]])</f>
        <v>1</v>
      </c>
    </row>
    <row r="365" spans="1:18" x14ac:dyDescent="0.3">
      <c r="A365" t="s">
        <v>393</v>
      </c>
      <c r="B365" t="s">
        <v>23</v>
      </c>
      <c r="C365" t="s">
        <v>17</v>
      </c>
      <c r="D365" s="1">
        <v>45933</v>
      </c>
      <c r="E365" s="1">
        <v>45935</v>
      </c>
      <c r="F365" s="1">
        <v>45940</v>
      </c>
      <c r="G365" s="1">
        <v>45942</v>
      </c>
      <c r="H365" t="s">
        <v>18</v>
      </c>
      <c r="I365" t="s">
        <v>19</v>
      </c>
      <c r="J365" s="1">
        <v>45971</v>
      </c>
      <c r="K365">
        <v>2</v>
      </c>
      <c r="L365">
        <v>5</v>
      </c>
      <c r="M365">
        <v>2</v>
      </c>
      <c r="N365">
        <v>4</v>
      </c>
      <c r="O365">
        <v>9</v>
      </c>
      <c r="P365" t="b">
        <f>IF(EPe_BA_intern_assesment_Raw_data___Sheet13[[#This Row],[Customer Rating]]&gt;8,EPe_BA_intern_assesment_Raw_data___Sheet13[[#This Row],[Customer Rating]])</f>
        <v>0</v>
      </c>
      <c r="Q365" t="str">
        <f>IF(AND(EPe_BA_intern_assesment_Raw_data___Sheet13[[#This Row],[Customer Rating]]&gt;6,EPe_BA_intern_assesment_Raw_data___Sheet13[[#This Row],[Customer Rating]]&lt;9), EPe_BA_intern_assesment_Raw_data___Sheet13[[#This Row],[Customer Rating]], "")</f>
        <v/>
      </c>
      <c r="R365">
        <f>IF(EPe_BA_intern_assesment_Raw_data___Sheet13[[#This Row],[Customer Rating]]&lt;7,EPe_BA_intern_assesment_Raw_data___Sheet13[[#This Row],[Customer Rating]])</f>
        <v>4</v>
      </c>
    </row>
    <row r="366" spans="1:18" x14ac:dyDescent="0.3">
      <c r="A366" t="s">
        <v>394</v>
      </c>
      <c r="B366" t="s">
        <v>16</v>
      </c>
      <c r="C366" t="s">
        <v>17</v>
      </c>
      <c r="D366" s="1">
        <v>45941</v>
      </c>
      <c r="E366" s="1">
        <v>45946</v>
      </c>
      <c r="F366" s="1">
        <v>45948</v>
      </c>
      <c r="G366" s="1">
        <v>45950</v>
      </c>
      <c r="H366" t="s">
        <v>18</v>
      </c>
      <c r="I366" t="s">
        <v>19</v>
      </c>
      <c r="J366" s="1">
        <v>45978</v>
      </c>
      <c r="K366">
        <v>5</v>
      </c>
      <c r="L366">
        <v>2</v>
      </c>
      <c r="M366">
        <v>2</v>
      </c>
      <c r="N366">
        <v>5</v>
      </c>
      <c r="O366">
        <v>9</v>
      </c>
      <c r="P366" t="b">
        <f>IF(EPe_BA_intern_assesment_Raw_data___Sheet13[[#This Row],[Customer Rating]]&gt;8,EPe_BA_intern_assesment_Raw_data___Sheet13[[#This Row],[Customer Rating]])</f>
        <v>0</v>
      </c>
      <c r="Q366" t="str">
        <f>IF(AND(EPe_BA_intern_assesment_Raw_data___Sheet13[[#This Row],[Customer Rating]]&gt;6,EPe_BA_intern_assesment_Raw_data___Sheet13[[#This Row],[Customer Rating]]&lt;9), EPe_BA_intern_assesment_Raw_data___Sheet13[[#This Row],[Customer Rating]], "")</f>
        <v/>
      </c>
      <c r="R366">
        <f>IF(EPe_BA_intern_assesment_Raw_data___Sheet13[[#This Row],[Customer Rating]]&lt;7,EPe_BA_intern_assesment_Raw_data___Sheet13[[#This Row],[Customer Rating]])</f>
        <v>5</v>
      </c>
    </row>
    <row r="367" spans="1:18" x14ac:dyDescent="0.3">
      <c r="A367" t="s">
        <v>395</v>
      </c>
      <c r="B367" t="s">
        <v>34</v>
      </c>
      <c r="C367" t="s">
        <v>17</v>
      </c>
      <c r="D367" s="1">
        <v>45939</v>
      </c>
      <c r="E367" s="1">
        <v>45940</v>
      </c>
      <c r="F367" s="1">
        <v>45943</v>
      </c>
      <c r="G367" s="1">
        <v>45946</v>
      </c>
      <c r="H367" t="s">
        <v>18</v>
      </c>
      <c r="I367" t="s">
        <v>19</v>
      </c>
      <c r="J367" s="1">
        <v>45972</v>
      </c>
      <c r="K367">
        <v>1</v>
      </c>
      <c r="L367">
        <v>3</v>
      </c>
      <c r="M367">
        <v>3</v>
      </c>
      <c r="N367">
        <v>10</v>
      </c>
      <c r="O367">
        <v>7</v>
      </c>
      <c r="P367">
        <f>IF(EPe_BA_intern_assesment_Raw_data___Sheet13[[#This Row],[Customer Rating]]&gt;8,EPe_BA_intern_assesment_Raw_data___Sheet13[[#This Row],[Customer Rating]])</f>
        <v>10</v>
      </c>
      <c r="Q367" t="str">
        <f>IF(AND(EPe_BA_intern_assesment_Raw_data___Sheet13[[#This Row],[Customer Rating]]&gt;6,EPe_BA_intern_assesment_Raw_data___Sheet13[[#This Row],[Customer Rating]]&lt;9), EPe_BA_intern_assesment_Raw_data___Sheet13[[#This Row],[Customer Rating]], "")</f>
        <v/>
      </c>
      <c r="R367" t="b">
        <f>IF(EPe_BA_intern_assesment_Raw_data___Sheet13[[#This Row],[Customer Rating]]&lt;7,EPe_BA_intern_assesment_Raw_data___Sheet13[[#This Row],[Customer Rating]])</f>
        <v>0</v>
      </c>
    </row>
    <row r="368" spans="1:18" x14ac:dyDescent="0.3">
      <c r="A368" t="s">
        <v>396</v>
      </c>
      <c r="B368" t="s">
        <v>16</v>
      </c>
      <c r="C368" t="s">
        <v>17</v>
      </c>
      <c r="D368" s="1">
        <v>45941</v>
      </c>
      <c r="E368" s="1">
        <v>45945</v>
      </c>
      <c r="F368" s="1">
        <v>45946</v>
      </c>
      <c r="G368" s="1">
        <v>45951</v>
      </c>
      <c r="H368" t="s">
        <v>18</v>
      </c>
      <c r="I368" t="s">
        <v>19</v>
      </c>
      <c r="J368" s="1">
        <v>45974</v>
      </c>
      <c r="K368">
        <v>4</v>
      </c>
      <c r="L368">
        <v>1</v>
      </c>
      <c r="M368">
        <v>5</v>
      </c>
      <c r="N368">
        <v>3</v>
      </c>
      <c r="O368">
        <v>10</v>
      </c>
      <c r="P368" t="b">
        <f>IF(EPe_BA_intern_assesment_Raw_data___Sheet13[[#This Row],[Customer Rating]]&gt;8,EPe_BA_intern_assesment_Raw_data___Sheet13[[#This Row],[Customer Rating]])</f>
        <v>0</v>
      </c>
      <c r="Q368" t="str">
        <f>IF(AND(EPe_BA_intern_assesment_Raw_data___Sheet13[[#This Row],[Customer Rating]]&gt;6,EPe_BA_intern_assesment_Raw_data___Sheet13[[#This Row],[Customer Rating]]&lt;9), EPe_BA_intern_assesment_Raw_data___Sheet13[[#This Row],[Customer Rating]], "")</f>
        <v/>
      </c>
      <c r="R368">
        <f>IF(EPe_BA_intern_assesment_Raw_data___Sheet13[[#This Row],[Customer Rating]]&lt;7,EPe_BA_intern_assesment_Raw_data___Sheet13[[#This Row],[Customer Rating]])</f>
        <v>3</v>
      </c>
    </row>
    <row r="369" spans="1:18" x14ac:dyDescent="0.3">
      <c r="A369" t="s">
        <v>397</v>
      </c>
      <c r="B369" t="s">
        <v>21</v>
      </c>
      <c r="C369" t="s">
        <v>32</v>
      </c>
      <c r="D369" s="1">
        <v>45934</v>
      </c>
      <c r="E369" s="1">
        <v>45939</v>
      </c>
      <c r="F369" s="1">
        <v>45941</v>
      </c>
      <c r="G369" s="1">
        <v>45943</v>
      </c>
      <c r="H369" t="s">
        <v>25</v>
      </c>
      <c r="I369" t="s">
        <v>28</v>
      </c>
      <c r="J369" s="1"/>
      <c r="K369">
        <v>5</v>
      </c>
      <c r="L369">
        <v>2</v>
      </c>
      <c r="M369">
        <v>2</v>
      </c>
      <c r="O369">
        <v>9</v>
      </c>
      <c r="P369" t="b">
        <f>IF(EPe_BA_intern_assesment_Raw_data___Sheet13[[#This Row],[Customer Rating]]&gt;8,EPe_BA_intern_assesment_Raw_data___Sheet13[[#This Row],[Customer Rating]])</f>
        <v>0</v>
      </c>
      <c r="Q369" t="str">
        <f>IF(AND(EPe_BA_intern_assesment_Raw_data___Sheet13[[#This Row],[Customer Rating]]&gt;6,EPe_BA_intern_assesment_Raw_data___Sheet13[[#This Row],[Customer Rating]]&lt;9), EPe_BA_intern_assesment_Raw_data___Sheet13[[#This Row],[Customer Rating]], "")</f>
        <v/>
      </c>
      <c r="R369">
        <f>IF(EPe_BA_intern_assesment_Raw_data___Sheet13[[#This Row],[Customer Rating]]&lt;7,EPe_BA_intern_assesment_Raw_data___Sheet13[[#This Row],[Customer Rating]])</f>
        <v>0</v>
      </c>
    </row>
    <row r="370" spans="1:18" x14ac:dyDescent="0.3">
      <c r="A370" t="s">
        <v>398</v>
      </c>
      <c r="B370" t="s">
        <v>21</v>
      </c>
      <c r="C370" t="s">
        <v>17</v>
      </c>
      <c r="D370" s="1">
        <v>45955</v>
      </c>
      <c r="E370" s="1">
        <v>45958</v>
      </c>
      <c r="F370" s="1">
        <v>45963</v>
      </c>
      <c r="G370" s="1">
        <v>45966</v>
      </c>
      <c r="H370" t="s">
        <v>18</v>
      </c>
      <c r="I370" t="s">
        <v>19</v>
      </c>
      <c r="J370" s="1">
        <v>45979</v>
      </c>
      <c r="K370">
        <v>3</v>
      </c>
      <c r="L370">
        <v>5</v>
      </c>
      <c r="M370">
        <v>3</v>
      </c>
      <c r="N370">
        <v>10</v>
      </c>
      <c r="O370">
        <v>11</v>
      </c>
      <c r="P370">
        <f>IF(EPe_BA_intern_assesment_Raw_data___Sheet13[[#This Row],[Customer Rating]]&gt;8,EPe_BA_intern_assesment_Raw_data___Sheet13[[#This Row],[Customer Rating]])</f>
        <v>10</v>
      </c>
      <c r="Q370" t="str">
        <f>IF(AND(EPe_BA_intern_assesment_Raw_data___Sheet13[[#This Row],[Customer Rating]]&gt;6,EPe_BA_intern_assesment_Raw_data___Sheet13[[#This Row],[Customer Rating]]&lt;9), EPe_BA_intern_assesment_Raw_data___Sheet13[[#This Row],[Customer Rating]], "")</f>
        <v/>
      </c>
      <c r="R370" t="b">
        <f>IF(EPe_BA_intern_assesment_Raw_data___Sheet13[[#This Row],[Customer Rating]]&lt;7,EPe_BA_intern_assesment_Raw_data___Sheet13[[#This Row],[Customer Rating]])</f>
        <v>0</v>
      </c>
    </row>
    <row r="371" spans="1:18" x14ac:dyDescent="0.3">
      <c r="A371" t="s">
        <v>399</v>
      </c>
      <c r="B371" t="s">
        <v>21</v>
      </c>
      <c r="C371" t="s">
        <v>32</v>
      </c>
      <c r="D371" s="1">
        <v>45943</v>
      </c>
      <c r="E371" s="1">
        <v>45944</v>
      </c>
      <c r="F371" s="1">
        <v>45948</v>
      </c>
      <c r="G371" s="1">
        <v>45954</v>
      </c>
      <c r="H371" t="s">
        <v>18</v>
      </c>
      <c r="I371" t="s">
        <v>19</v>
      </c>
      <c r="J371" s="1">
        <v>45977</v>
      </c>
      <c r="K371">
        <v>1</v>
      </c>
      <c r="L371">
        <v>4</v>
      </c>
      <c r="M371">
        <v>6</v>
      </c>
      <c r="N371">
        <v>4</v>
      </c>
      <c r="O371">
        <v>11</v>
      </c>
      <c r="P371" t="b">
        <f>IF(EPe_BA_intern_assesment_Raw_data___Sheet13[[#This Row],[Customer Rating]]&gt;8,EPe_BA_intern_assesment_Raw_data___Sheet13[[#This Row],[Customer Rating]])</f>
        <v>0</v>
      </c>
      <c r="Q371" t="str">
        <f>IF(AND(EPe_BA_intern_assesment_Raw_data___Sheet13[[#This Row],[Customer Rating]]&gt;6,EPe_BA_intern_assesment_Raw_data___Sheet13[[#This Row],[Customer Rating]]&lt;9), EPe_BA_intern_assesment_Raw_data___Sheet13[[#This Row],[Customer Rating]], "")</f>
        <v/>
      </c>
      <c r="R371">
        <f>IF(EPe_BA_intern_assesment_Raw_data___Sheet13[[#This Row],[Customer Rating]]&lt;7,EPe_BA_intern_assesment_Raw_data___Sheet13[[#This Row],[Customer Rating]])</f>
        <v>4</v>
      </c>
    </row>
    <row r="372" spans="1:18" x14ac:dyDescent="0.3">
      <c r="A372" t="s">
        <v>400</v>
      </c>
      <c r="B372" t="s">
        <v>34</v>
      </c>
      <c r="C372" t="s">
        <v>17</v>
      </c>
      <c r="D372" s="1">
        <v>45958</v>
      </c>
      <c r="E372" s="1">
        <v>45961</v>
      </c>
      <c r="F372" s="1">
        <v>45966</v>
      </c>
      <c r="G372" s="1">
        <v>45969</v>
      </c>
      <c r="H372" t="s">
        <v>18</v>
      </c>
      <c r="I372" t="s">
        <v>19</v>
      </c>
      <c r="J372" s="1">
        <v>45983</v>
      </c>
      <c r="K372">
        <v>3</v>
      </c>
      <c r="L372">
        <v>5</v>
      </c>
      <c r="M372">
        <v>3</v>
      </c>
      <c r="N372">
        <v>7</v>
      </c>
      <c r="O372">
        <v>11</v>
      </c>
      <c r="P372" t="b">
        <f>IF(EPe_BA_intern_assesment_Raw_data___Sheet13[[#This Row],[Customer Rating]]&gt;8,EPe_BA_intern_assesment_Raw_data___Sheet13[[#This Row],[Customer Rating]])</f>
        <v>0</v>
      </c>
      <c r="Q372">
        <f>IF(AND(EPe_BA_intern_assesment_Raw_data___Sheet13[[#This Row],[Customer Rating]]&gt;6,EPe_BA_intern_assesment_Raw_data___Sheet13[[#This Row],[Customer Rating]]&lt;9), EPe_BA_intern_assesment_Raw_data___Sheet13[[#This Row],[Customer Rating]], "")</f>
        <v>7</v>
      </c>
      <c r="R372" t="b">
        <f>IF(EPe_BA_intern_assesment_Raw_data___Sheet13[[#This Row],[Customer Rating]]&lt;7,EPe_BA_intern_assesment_Raw_data___Sheet13[[#This Row],[Customer Rating]])</f>
        <v>0</v>
      </c>
    </row>
    <row r="373" spans="1:18" x14ac:dyDescent="0.3">
      <c r="A373" t="s">
        <v>401</v>
      </c>
      <c r="B373" t="s">
        <v>23</v>
      </c>
      <c r="C373" t="s">
        <v>17</v>
      </c>
      <c r="D373" s="1">
        <v>45947</v>
      </c>
      <c r="E373" s="1">
        <v>45950</v>
      </c>
      <c r="F373" s="1">
        <v>45952</v>
      </c>
      <c r="G373" s="1">
        <v>45958</v>
      </c>
      <c r="H373" t="s">
        <v>18</v>
      </c>
      <c r="I373" t="s">
        <v>19</v>
      </c>
      <c r="J373" s="1">
        <v>45972</v>
      </c>
      <c r="K373">
        <v>3</v>
      </c>
      <c r="L373">
        <v>2</v>
      </c>
      <c r="M373">
        <v>6</v>
      </c>
      <c r="N373">
        <v>1</v>
      </c>
      <c r="O373">
        <v>11</v>
      </c>
      <c r="P373" t="b">
        <f>IF(EPe_BA_intern_assesment_Raw_data___Sheet13[[#This Row],[Customer Rating]]&gt;8,EPe_BA_intern_assesment_Raw_data___Sheet13[[#This Row],[Customer Rating]])</f>
        <v>0</v>
      </c>
      <c r="Q373" t="str">
        <f>IF(AND(EPe_BA_intern_assesment_Raw_data___Sheet13[[#This Row],[Customer Rating]]&gt;6,EPe_BA_intern_assesment_Raw_data___Sheet13[[#This Row],[Customer Rating]]&lt;9), EPe_BA_intern_assesment_Raw_data___Sheet13[[#This Row],[Customer Rating]], "")</f>
        <v/>
      </c>
      <c r="R373">
        <f>IF(EPe_BA_intern_assesment_Raw_data___Sheet13[[#This Row],[Customer Rating]]&lt;7,EPe_BA_intern_assesment_Raw_data___Sheet13[[#This Row],[Customer Rating]])</f>
        <v>1</v>
      </c>
    </row>
    <row r="374" spans="1:18" x14ac:dyDescent="0.3">
      <c r="A374" t="s">
        <v>402</v>
      </c>
      <c r="B374" t="s">
        <v>34</v>
      </c>
      <c r="C374" t="s">
        <v>17</v>
      </c>
      <c r="D374" s="1">
        <v>45957</v>
      </c>
      <c r="E374" s="1">
        <v>45959</v>
      </c>
      <c r="F374" s="1">
        <v>45961</v>
      </c>
      <c r="G374" s="1">
        <v>45968</v>
      </c>
      <c r="H374" t="s">
        <v>18</v>
      </c>
      <c r="I374" t="s">
        <v>19</v>
      </c>
      <c r="J374" s="1">
        <v>45996</v>
      </c>
      <c r="K374">
        <v>2</v>
      </c>
      <c r="L374">
        <v>2</v>
      </c>
      <c r="M374">
        <v>7</v>
      </c>
      <c r="N374">
        <v>5</v>
      </c>
      <c r="O374">
        <v>11</v>
      </c>
      <c r="P374" t="b">
        <f>IF(EPe_BA_intern_assesment_Raw_data___Sheet13[[#This Row],[Customer Rating]]&gt;8,EPe_BA_intern_assesment_Raw_data___Sheet13[[#This Row],[Customer Rating]])</f>
        <v>0</v>
      </c>
      <c r="Q374" t="str">
        <f>IF(AND(EPe_BA_intern_assesment_Raw_data___Sheet13[[#This Row],[Customer Rating]]&gt;6,EPe_BA_intern_assesment_Raw_data___Sheet13[[#This Row],[Customer Rating]]&lt;9), EPe_BA_intern_assesment_Raw_data___Sheet13[[#This Row],[Customer Rating]], "")</f>
        <v/>
      </c>
      <c r="R374">
        <f>IF(EPe_BA_intern_assesment_Raw_data___Sheet13[[#This Row],[Customer Rating]]&lt;7,EPe_BA_intern_assesment_Raw_data___Sheet13[[#This Row],[Customer Rating]])</f>
        <v>5</v>
      </c>
    </row>
    <row r="375" spans="1:18" x14ac:dyDescent="0.3">
      <c r="A375" t="s">
        <v>403</v>
      </c>
      <c r="B375" t="s">
        <v>16</v>
      </c>
      <c r="C375" t="s">
        <v>17</v>
      </c>
      <c r="D375" s="1">
        <v>45931</v>
      </c>
      <c r="E375" s="1">
        <v>45933</v>
      </c>
      <c r="F375" s="1">
        <v>45934</v>
      </c>
      <c r="G375" s="1">
        <v>45939</v>
      </c>
      <c r="H375" t="s">
        <v>18</v>
      </c>
      <c r="I375" t="s">
        <v>19</v>
      </c>
      <c r="J375" s="1">
        <v>45967</v>
      </c>
      <c r="K375">
        <v>2</v>
      </c>
      <c r="L375">
        <v>1</v>
      </c>
      <c r="M375">
        <v>5</v>
      </c>
      <c r="N375">
        <v>2</v>
      </c>
      <c r="O375">
        <v>8</v>
      </c>
      <c r="P375" t="b">
        <f>IF(EPe_BA_intern_assesment_Raw_data___Sheet13[[#This Row],[Customer Rating]]&gt;8,EPe_BA_intern_assesment_Raw_data___Sheet13[[#This Row],[Customer Rating]])</f>
        <v>0</v>
      </c>
      <c r="Q375" t="str">
        <f>IF(AND(EPe_BA_intern_assesment_Raw_data___Sheet13[[#This Row],[Customer Rating]]&gt;6,EPe_BA_intern_assesment_Raw_data___Sheet13[[#This Row],[Customer Rating]]&lt;9), EPe_BA_intern_assesment_Raw_data___Sheet13[[#This Row],[Customer Rating]], "")</f>
        <v/>
      </c>
      <c r="R375">
        <f>IF(EPe_BA_intern_assesment_Raw_data___Sheet13[[#This Row],[Customer Rating]]&lt;7,EPe_BA_intern_assesment_Raw_data___Sheet13[[#This Row],[Customer Rating]])</f>
        <v>2</v>
      </c>
    </row>
    <row r="376" spans="1:18" x14ac:dyDescent="0.3">
      <c r="A376" t="s">
        <v>404</v>
      </c>
      <c r="B376" t="s">
        <v>34</v>
      </c>
      <c r="C376" t="s">
        <v>32</v>
      </c>
      <c r="D376" s="1">
        <v>45952</v>
      </c>
      <c r="E376" s="1">
        <v>45955</v>
      </c>
      <c r="F376" s="1">
        <v>45956</v>
      </c>
      <c r="G376" s="1">
        <v>45958</v>
      </c>
      <c r="H376" t="s">
        <v>18</v>
      </c>
      <c r="I376" t="s">
        <v>19</v>
      </c>
      <c r="J376" s="1">
        <v>45986</v>
      </c>
      <c r="K376">
        <v>3</v>
      </c>
      <c r="L376">
        <v>1</v>
      </c>
      <c r="M376">
        <v>2</v>
      </c>
      <c r="N376">
        <v>9</v>
      </c>
      <c r="O376">
        <v>6</v>
      </c>
      <c r="P376">
        <f>IF(EPe_BA_intern_assesment_Raw_data___Sheet13[[#This Row],[Customer Rating]]&gt;8,EPe_BA_intern_assesment_Raw_data___Sheet13[[#This Row],[Customer Rating]])</f>
        <v>9</v>
      </c>
      <c r="Q376" t="str">
        <f>IF(AND(EPe_BA_intern_assesment_Raw_data___Sheet13[[#This Row],[Customer Rating]]&gt;6,EPe_BA_intern_assesment_Raw_data___Sheet13[[#This Row],[Customer Rating]]&lt;9), EPe_BA_intern_assesment_Raw_data___Sheet13[[#This Row],[Customer Rating]], "")</f>
        <v/>
      </c>
      <c r="R376" t="b">
        <f>IF(EPe_BA_intern_assesment_Raw_data___Sheet13[[#This Row],[Customer Rating]]&lt;7,EPe_BA_intern_assesment_Raw_data___Sheet13[[#This Row],[Customer Rating]])</f>
        <v>0</v>
      </c>
    </row>
    <row r="377" spans="1:18" x14ac:dyDescent="0.3">
      <c r="A377" t="s">
        <v>405</v>
      </c>
      <c r="B377" t="s">
        <v>16</v>
      </c>
      <c r="C377" t="s">
        <v>17</v>
      </c>
      <c r="D377" s="1">
        <v>45958</v>
      </c>
      <c r="E377" s="1">
        <v>45962</v>
      </c>
      <c r="F377" s="1">
        <v>45965</v>
      </c>
      <c r="G377" s="1">
        <v>45967</v>
      </c>
      <c r="H377" t="s">
        <v>25</v>
      </c>
      <c r="I377" t="s">
        <v>35</v>
      </c>
      <c r="J377" s="1"/>
      <c r="K377">
        <v>4</v>
      </c>
      <c r="L377">
        <v>3</v>
      </c>
      <c r="M377">
        <v>2</v>
      </c>
      <c r="O377">
        <v>9</v>
      </c>
      <c r="P377" t="b">
        <f>IF(EPe_BA_intern_assesment_Raw_data___Sheet13[[#This Row],[Customer Rating]]&gt;8,EPe_BA_intern_assesment_Raw_data___Sheet13[[#This Row],[Customer Rating]])</f>
        <v>0</v>
      </c>
      <c r="Q377" t="str">
        <f>IF(AND(EPe_BA_intern_assesment_Raw_data___Sheet13[[#This Row],[Customer Rating]]&gt;6,EPe_BA_intern_assesment_Raw_data___Sheet13[[#This Row],[Customer Rating]]&lt;9), EPe_BA_intern_assesment_Raw_data___Sheet13[[#This Row],[Customer Rating]], "")</f>
        <v/>
      </c>
      <c r="R377">
        <f>IF(EPe_BA_intern_assesment_Raw_data___Sheet13[[#This Row],[Customer Rating]]&lt;7,EPe_BA_intern_assesment_Raw_data___Sheet13[[#This Row],[Customer Rating]])</f>
        <v>0</v>
      </c>
    </row>
    <row r="378" spans="1:18" x14ac:dyDescent="0.3">
      <c r="A378" t="s">
        <v>406</v>
      </c>
      <c r="B378" t="s">
        <v>34</v>
      </c>
      <c r="C378" t="s">
        <v>17</v>
      </c>
      <c r="D378" s="1">
        <v>45948</v>
      </c>
      <c r="E378" s="1">
        <v>45950</v>
      </c>
      <c r="F378" s="1">
        <v>45954</v>
      </c>
      <c r="G378" s="1">
        <v>45961</v>
      </c>
      <c r="H378" t="s">
        <v>18</v>
      </c>
      <c r="I378" t="s">
        <v>19</v>
      </c>
      <c r="J378" s="1">
        <v>45974</v>
      </c>
      <c r="K378">
        <v>2</v>
      </c>
      <c r="L378">
        <v>4</v>
      </c>
      <c r="M378">
        <v>7</v>
      </c>
      <c r="N378">
        <v>3</v>
      </c>
      <c r="O378">
        <v>13</v>
      </c>
      <c r="P378" t="b">
        <f>IF(EPe_BA_intern_assesment_Raw_data___Sheet13[[#This Row],[Customer Rating]]&gt;8,EPe_BA_intern_assesment_Raw_data___Sheet13[[#This Row],[Customer Rating]])</f>
        <v>0</v>
      </c>
      <c r="Q378" t="str">
        <f>IF(AND(EPe_BA_intern_assesment_Raw_data___Sheet13[[#This Row],[Customer Rating]]&gt;6,EPe_BA_intern_assesment_Raw_data___Sheet13[[#This Row],[Customer Rating]]&lt;9), EPe_BA_intern_assesment_Raw_data___Sheet13[[#This Row],[Customer Rating]], "")</f>
        <v/>
      </c>
      <c r="R378">
        <f>IF(EPe_BA_intern_assesment_Raw_data___Sheet13[[#This Row],[Customer Rating]]&lt;7,EPe_BA_intern_assesment_Raw_data___Sheet13[[#This Row],[Customer Rating]])</f>
        <v>3</v>
      </c>
    </row>
    <row r="379" spans="1:18" x14ac:dyDescent="0.3">
      <c r="A379" t="s">
        <v>407</v>
      </c>
      <c r="B379" t="s">
        <v>23</v>
      </c>
      <c r="C379" t="s">
        <v>17</v>
      </c>
      <c r="D379" s="1">
        <v>45945</v>
      </c>
      <c r="E379" s="1">
        <v>45947</v>
      </c>
      <c r="F379" s="1">
        <v>45952</v>
      </c>
      <c r="G379" s="1">
        <v>45956</v>
      </c>
      <c r="H379" t="s">
        <v>18</v>
      </c>
      <c r="I379" t="s">
        <v>19</v>
      </c>
      <c r="J379" s="1">
        <v>45969</v>
      </c>
      <c r="K379">
        <v>2</v>
      </c>
      <c r="L379">
        <v>5</v>
      </c>
      <c r="M379">
        <v>4</v>
      </c>
      <c r="N379">
        <v>9</v>
      </c>
      <c r="O379">
        <v>11</v>
      </c>
      <c r="P379">
        <f>IF(EPe_BA_intern_assesment_Raw_data___Sheet13[[#This Row],[Customer Rating]]&gt;8,EPe_BA_intern_assesment_Raw_data___Sheet13[[#This Row],[Customer Rating]])</f>
        <v>9</v>
      </c>
      <c r="Q379" t="str">
        <f>IF(AND(EPe_BA_intern_assesment_Raw_data___Sheet13[[#This Row],[Customer Rating]]&gt;6,EPe_BA_intern_assesment_Raw_data___Sheet13[[#This Row],[Customer Rating]]&lt;9), EPe_BA_intern_assesment_Raw_data___Sheet13[[#This Row],[Customer Rating]], "")</f>
        <v/>
      </c>
      <c r="R379" t="b">
        <f>IF(EPe_BA_intern_assesment_Raw_data___Sheet13[[#This Row],[Customer Rating]]&lt;7,EPe_BA_intern_assesment_Raw_data___Sheet13[[#This Row],[Customer Rating]])</f>
        <v>0</v>
      </c>
    </row>
    <row r="380" spans="1:18" x14ac:dyDescent="0.3">
      <c r="A380" t="s">
        <v>408</v>
      </c>
      <c r="B380" t="s">
        <v>16</v>
      </c>
      <c r="C380" t="s">
        <v>24</v>
      </c>
      <c r="D380" s="1">
        <v>45944</v>
      </c>
      <c r="E380" s="1"/>
      <c r="F380" s="1"/>
      <c r="G380" s="1"/>
      <c r="H380" t="s">
        <v>25</v>
      </c>
      <c r="I380" t="s">
        <v>65</v>
      </c>
      <c r="J380" s="1"/>
      <c r="P380" t="b">
        <f>IF(EPe_BA_intern_assesment_Raw_data___Sheet13[[#This Row],[Customer Rating]]&gt;8,EPe_BA_intern_assesment_Raw_data___Sheet13[[#This Row],[Customer Rating]])</f>
        <v>0</v>
      </c>
      <c r="Q380" t="str">
        <f>IF(AND(EPe_BA_intern_assesment_Raw_data___Sheet13[[#This Row],[Customer Rating]]&gt;6,EPe_BA_intern_assesment_Raw_data___Sheet13[[#This Row],[Customer Rating]]&lt;9), EPe_BA_intern_assesment_Raw_data___Sheet13[[#This Row],[Customer Rating]], "")</f>
        <v/>
      </c>
      <c r="R380">
        <f>IF(EPe_BA_intern_assesment_Raw_data___Sheet13[[#This Row],[Customer Rating]]&lt;7,EPe_BA_intern_assesment_Raw_data___Sheet13[[#This Row],[Customer Rating]])</f>
        <v>0</v>
      </c>
    </row>
    <row r="381" spans="1:18" x14ac:dyDescent="0.3">
      <c r="A381" t="s">
        <v>409</v>
      </c>
      <c r="B381" t="s">
        <v>21</v>
      </c>
      <c r="C381" t="s">
        <v>32</v>
      </c>
      <c r="D381" s="1">
        <v>45932</v>
      </c>
      <c r="E381" s="1">
        <v>45934</v>
      </c>
      <c r="F381" s="1">
        <v>45938</v>
      </c>
      <c r="G381" s="1">
        <v>45940</v>
      </c>
      <c r="H381" t="s">
        <v>18</v>
      </c>
      <c r="I381" t="s">
        <v>19</v>
      </c>
      <c r="J381" s="1">
        <v>45968</v>
      </c>
      <c r="K381">
        <v>2</v>
      </c>
      <c r="L381">
        <v>4</v>
      </c>
      <c r="M381">
        <v>2</v>
      </c>
      <c r="N381">
        <v>10</v>
      </c>
      <c r="O381">
        <v>8</v>
      </c>
      <c r="P381">
        <f>IF(EPe_BA_intern_assesment_Raw_data___Sheet13[[#This Row],[Customer Rating]]&gt;8,EPe_BA_intern_assesment_Raw_data___Sheet13[[#This Row],[Customer Rating]])</f>
        <v>10</v>
      </c>
      <c r="Q381" t="str">
        <f>IF(AND(EPe_BA_intern_assesment_Raw_data___Sheet13[[#This Row],[Customer Rating]]&gt;6,EPe_BA_intern_assesment_Raw_data___Sheet13[[#This Row],[Customer Rating]]&lt;9), EPe_BA_intern_assesment_Raw_data___Sheet13[[#This Row],[Customer Rating]], "")</f>
        <v/>
      </c>
      <c r="R381" t="b">
        <f>IF(EPe_BA_intern_assesment_Raw_data___Sheet13[[#This Row],[Customer Rating]]&lt;7,EPe_BA_intern_assesment_Raw_data___Sheet13[[#This Row],[Customer Rating]])</f>
        <v>0</v>
      </c>
    </row>
    <row r="382" spans="1:18" x14ac:dyDescent="0.3">
      <c r="A382" t="s">
        <v>410</v>
      </c>
      <c r="B382" t="s">
        <v>21</v>
      </c>
      <c r="C382" t="s">
        <v>17</v>
      </c>
      <c r="D382" s="1">
        <v>45937</v>
      </c>
      <c r="E382" s="1">
        <v>45939</v>
      </c>
      <c r="F382" s="1">
        <v>45944</v>
      </c>
      <c r="G382" s="1">
        <v>45949</v>
      </c>
      <c r="H382" t="s">
        <v>18</v>
      </c>
      <c r="I382" t="s">
        <v>19</v>
      </c>
      <c r="J382" s="1">
        <v>45962</v>
      </c>
      <c r="K382">
        <v>2</v>
      </c>
      <c r="L382">
        <v>5</v>
      </c>
      <c r="M382">
        <v>5</v>
      </c>
      <c r="N382">
        <v>1</v>
      </c>
      <c r="O382">
        <v>12</v>
      </c>
      <c r="P382" t="b">
        <f>IF(EPe_BA_intern_assesment_Raw_data___Sheet13[[#This Row],[Customer Rating]]&gt;8,EPe_BA_intern_assesment_Raw_data___Sheet13[[#This Row],[Customer Rating]])</f>
        <v>0</v>
      </c>
      <c r="Q382" t="str">
        <f>IF(AND(EPe_BA_intern_assesment_Raw_data___Sheet13[[#This Row],[Customer Rating]]&gt;6,EPe_BA_intern_assesment_Raw_data___Sheet13[[#This Row],[Customer Rating]]&lt;9), EPe_BA_intern_assesment_Raw_data___Sheet13[[#This Row],[Customer Rating]], "")</f>
        <v/>
      </c>
      <c r="R382">
        <f>IF(EPe_BA_intern_assesment_Raw_data___Sheet13[[#This Row],[Customer Rating]]&lt;7,EPe_BA_intern_assesment_Raw_data___Sheet13[[#This Row],[Customer Rating]])</f>
        <v>1</v>
      </c>
    </row>
    <row r="383" spans="1:18" x14ac:dyDescent="0.3">
      <c r="A383" t="s">
        <v>411</v>
      </c>
      <c r="B383" t="s">
        <v>34</v>
      </c>
      <c r="C383" t="s">
        <v>17</v>
      </c>
      <c r="D383" s="1">
        <v>45947</v>
      </c>
      <c r="E383" s="1">
        <v>45948</v>
      </c>
      <c r="F383" s="1">
        <v>45952</v>
      </c>
      <c r="G383" s="1">
        <v>45959</v>
      </c>
      <c r="H383" t="s">
        <v>18</v>
      </c>
      <c r="I383" t="s">
        <v>19</v>
      </c>
      <c r="J383" s="1">
        <v>45978</v>
      </c>
      <c r="K383">
        <v>1</v>
      </c>
      <c r="L383">
        <v>4</v>
      </c>
      <c r="M383">
        <v>7</v>
      </c>
      <c r="N383">
        <v>8</v>
      </c>
      <c r="O383">
        <v>12</v>
      </c>
      <c r="P383" t="b">
        <f>IF(EPe_BA_intern_assesment_Raw_data___Sheet13[[#This Row],[Customer Rating]]&gt;8,EPe_BA_intern_assesment_Raw_data___Sheet13[[#This Row],[Customer Rating]])</f>
        <v>0</v>
      </c>
      <c r="Q383">
        <f>IF(AND(EPe_BA_intern_assesment_Raw_data___Sheet13[[#This Row],[Customer Rating]]&gt;6,EPe_BA_intern_assesment_Raw_data___Sheet13[[#This Row],[Customer Rating]]&lt;9), EPe_BA_intern_assesment_Raw_data___Sheet13[[#This Row],[Customer Rating]], "")</f>
        <v>8</v>
      </c>
      <c r="R383" t="b">
        <f>IF(EPe_BA_intern_assesment_Raw_data___Sheet13[[#This Row],[Customer Rating]]&lt;7,EPe_BA_intern_assesment_Raw_data___Sheet13[[#This Row],[Customer Rating]])</f>
        <v>0</v>
      </c>
    </row>
    <row r="384" spans="1:18" x14ac:dyDescent="0.3">
      <c r="A384" t="s">
        <v>412</v>
      </c>
      <c r="B384" t="s">
        <v>21</v>
      </c>
      <c r="C384" t="s">
        <v>17</v>
      </c>
      <c r="D384" s="1">
        <v>45942</v>
      </c>
      <c r="E384" s="1">
        <v>45945</v>
      </c>
      <c r="F384" s="1">
        <v>45947</v>
      </c>
      <c r="G384" s="1">
        <v>45950</v>
      </c>
      <c r="H384" t="s">
        <v>18</v>
      </c>
      <c r="I384" t="s">
        <v>19</v>
      </c>
      <c r="J384" s="1">
        <v>45977</v>
      </c>
      <c r="K384">
        <v>3</v>
      </c>
      <c r="L384">
        <v>2</v>
      </c>
      <c r="M384">
        <v>3</v>
      </c>
      <c r="N384">
        <v>4</v>
      </c>
      <c r="O384">
        <v>8</v>
      </c>
      <c r="P384" t="b">
        <f>IF(EPe_BA_intern_assesment_Raw_data___Sheet13[[#This Row],[Customer Rating]]&gt;8,EPe_BA_intern_assesment_Raw_data___Sheet13[[#This Row],[Customer Rating]])</f>
        <v>0</v>
      </c>
      <c r="Q384" t="str">
        <f>IF(AND(EPe_BA_intern_assesment_Raw_data___Sheet13[[#This Row],[Customer Rating]]&gt;6,EPe_BA_intern_assesment_Raw_data___Sheet13[[#This Row],[Customer Rating]]&lt;9), EPe_BA_intern_assesment_Raw_data___Sheet13[[#This Row],[Customer Rating]], "")</f>
        <v/>
      </c>
      <c r="R384">
        <f>IF(EPe_BA_intern_assesment_Raw_data___Sheet13[[#This Row],[Customer Rating]]&lt;7,EPe_BA_intern_assesment_Raw_data___Sheet13[[#This Row],[Customer Rating]])</f>
        <v>4</v>
      </c>
    </row>
    <row r="385" spans="1:18" x14ac:dyDescent="0.3">
      <c r="A385" t="s">
        <v>413</v>
      </c>
      <c r="B385" t="s">
        <v>16</v>
      </c>
      <c r="C385" t="s">
        <v>32</v>
      </c>
      <c r="D385" s="1">
        <v>45950</v>
      </c>
      <c r="E385" s="1">
        <v>45951</v>
      </c>
      <c r="F385" s="1">
        <v>45953</v>
      </c>
      <c r="G385" s="1">
        <v>45958</v>
      </c>
      <c r="H385" t="s">
        <v>18</v>
      </c>
      <c r="I385" t="s">
        <v>19</v>
      </c>
      <c r="J385" s="1">
        <v>45979</v>
      </c>
      <c r="K385">
        <v>1</v>
      </c>
      <c r="L385">
        <v>2</v>
      </c>
      <c r="M385">
        <v>5</v>
      </c>
      <c r="N385">
        <v>9</v>
      </c>
      <c r="O385">
        <v>8</v>
      </c>
      <c r="P385">
        <f>IF(EPe_BA_intern_assesment_Raw_data___Sheet13[[#This Row],[Customer Rating]]&gt;8,EPe_BA_intern_assesment_Raw_data___Sheet13[[#This Row],[Customer Rating]])</f>
        <v>9</v>
      </c>
      <c r="Q385" t="str">
        <f>IF(AND(EPe_BA_intern_assesment_Raw_data___Sheet13[[#This Row],[Customer Rating]]&gt;6,EPe_BA_intern_assesment_Raw_data___Sheet13[[#This Row],[Customer Rating]]&lt;9), EPe_BA_intern_assesment_Raw_data___Sheet13[[#This Row],[Customer Rating]], "")</f>
        <v/>
      </c>
      <c r="R385" t="b">
        <f>IF(EPe_BA_intern_assesment_Raw_data___Sheet13[[#This Row],[Customer Rating]]&lt;7,EPe_BA_intern_assesment_Raw_data___Sheet13[[#This Row],[Customer Rating]])</f>
        <v>0</v>
      </c>
    </row>
    <row r="386" spans="1:18" x14ac:dyDescent="0.3">
      <c r="A386" t="s">
        <v>414</v>
      </c>
      <c r="B386" t="s">
        <v>21</v>
      </c>
      <c r="C386" t="s">
        <v>32</v>
      </c>
      <c r="D386" s="1">
        <v>45955</v>
      </c>
      <c r="E386" s="1">
        <v>45960</v>
      </c>
      <c r="F386" s="1">
        <v>45964</v>
      </c>
      <c r="G386" s="1">
        <v>45966</v>
      </c>
      <c r="H386" t="s">
        <v>25</v>
      </c>
      <c r="I386" t="s">
        <v>28</v>
      </c>
      <c r="J386" s="1"/>
      <c r="K386">
        <v>5</v>
      </c>
      <c r="L386">
        <v>4</v>
      </c>
      <c r="M386">
        <v>2</v>
      </c>
      <c r="O386">
        <v>11</v>
      </c>
      <c r="P386" t="b">
        <f>IF(EPe_BA_intern_assesment_Raw_data___Sheet13[[#This Row],[Customer Rating]]&gt;8,EPe_BA_intern_assesment_Raw_data___Sheet13[[#This Row],[Customer Rating]])</f>
        <v>0</v>
      </c>
      <c r="Q386" t="str">
        <f>IF(AND(EPe_BA_intern_assesment_Raw_data___Sheet13[[#This Row],[Customer Rating]]&gt;6,EPe_BA_intern_assesment_Raw_data___Sheet13[[#This Row],[Customer Rating]]&lt;9), EPe_BA_intern_assesment_Raw_data___Sheet13[[#This Row],[Customer Rating]], "")</f>
        <v/>
      </c>
      <c r="R386">
        <f>IF(EPe_BA_intern_assesment_Raw_data___Sheet13[[#This Row],[Customer Rating]]&lt;7,EPe_BA_intern_assesment_Raw_data___Sheet13[[#This Row],[Customer Rating]])</f>
        <v>0</v>
      </c>
    </row>
    <row r="387" spans="1:18" x14ac:dyDescent="0.3">
      <c r="A387" t="s">
        <v>415</v>
      </c>
      <c r="B387" t="s">
        <v>23</v>
      </c>
      <c r="C387" t="s">
        <v>24</v>
      </c>
      <c r="D387" s="1">
        <v>45946</v>
      </c>
      <c r="E387" s="1"/>
      <c r="F387" s="1"/>
      <c r="G387" s="1"/>
      <c r="H387" t="s">
        <v>25</v>
      </c>
      <c r="I387" t="s">
        <v>103</v>
      </c>
      <c r="J387" s="1"/>
      <c r="P387" t="b">
        <f>IF(EPe_BA_intern_assesment_Raw_data___Sheet13[[#This Row],[Customer Rating]]&gt;8,EPe_BA_intern_assesment_Raw_data___Sheet13[[#This Row],[Customer Rating]])</f>
        <v>0</v>
      </c>
      <c r="Q387" t="str">
        <f>IF(AND(EPe_BA_intern_assesment_Raw_data___Sheet13[[#This Row],[Customer Rating]]&gt;6,EPe_BA_intern_assesment_Raw_data___Sheet13[[#This Row],[Customer Rating]]&lt;9), EPe_BA_intern_assesment_Raw_data___Sheet13[[#This Row],[Customer Rating]], "")</f>
        <v/>
      </c>
      <c r="R387">
        <f>IF(EPe_BA_intern_assesment_Raw_data___Sheet13[[#This Row],[Customer Rating]]&lt;7,EPe_BA_intern_assesment_Raw_data___Sheet13[[#This Row],[Customer Rating]])</f>
        <v>0</v>
      </c>
    </row>
    <row r="388" spans="1:18" x14ac:dyDescent="0.3">
      <c r="A388" t="s">
        <v>416</v>
      </c>
      <c r="B388" t="s">
        <v>23</v>
      </c>
      <c r="C388" t="s">
        <v>17</v>
      </c>
      <c r="D388" s="1">
        <v>45951</v>
      </c>
      <c r="E388" s="1">
        <v>45956</v>
      </c>
      <c r="F388" s="1">
        <v>45959</v>
      </c>
      <c r="G388" s="1">
        <v>45962</v>
      </c>
      <c r="H388" t="s">
        <v>18</v>
      </c>
      <c r="I388" t="s">
        <v>19</v>
      </c>
      <c r="J388" s="1">
        <v>45985</v>
      </c>
      <c r="K388">
        <v>5</v>
      </c>
      <c r="L388">
        <v>3</v>
      </c>
      <c r="M388">
        <v>3</v>
      </c>
      <c r="N388">
        <v>5</v>
      </c>
      <c r="O388">
        <v>11</v>
      </c>
      <c r="P388" t="b">
        <f>IF(EPe_BA_intern_assesment_Raw_data___Sheet13[[#This Row],[Customer Rating]]&gt;8,EPe_BA_intern_assesment_Raw_data___Sheet13[[#This Row],[Customer Rating]])</f>
        <v>0</v>
      </c>
      <c r="Q388" t="str">
        <f>IF(AND(EPe_BA_intern_assesment_Raw_data___Sheet13[[#This Row],[Customer Rating]]&gt;6,EPe_BA_intern_assesment_Raw_data___Sheet13[[#This Row],[Customer Rating]]&lt;9), EPe_BA_intern_assesment_Raw_data___Sheet13[[#This Row],[Customer Rating]], "")</f>
        <v/>
      </c>
      <c r="R388">
        <f>IF(EPe_BA_intern_assesment_Raw_data___Sheet13[[#This Row],[Customer Rating]]&lt;7,EPe_BA_intern_assesment_Raw_data___Sheet13[[#This Row],[Customer Rating]])</f>
        <v>5</v>
      </c>
    </row>
    <row r="389" spans="1:18" x14ac:dyDescent="0.3">
      <c r="A389" t="s">
        <v>417</v>
      </c>
      <c r="B389" t="s">
        <v>34</v>
      </c>
      <c r="C389" t="s">
        <v>17</v>
      </c>
      <c r="D389" s="1">
        <v>45945</v>
      </c>
      <c r="E389" s="1">
        <v>45950</v>
      </c>
      <c r="F389" s="1">
        <v>45952</v>
      </c>
      <c r="G389" s="1">
        <v>45957</v>
      </c>
      <c r="H389" t="s">
        <v>25</v>
      </c>
      <c r="I389" t="s">
        <v>103</v>
      </c>
      <c r="J389" s="1"/>
      <c r="K389">
        <v>5</v>
      </c>
      <c r="L389">
        <v>2</v>
      </c>
      <c r="M389">
        <v>5</v>
      </c>
      <c r="O389">
        <v>12</v>
      </c>
      <c r="P389" t="b">
        <f>IF(EPe_BA_intern_assesment_Raw_data___Sheet13[[#This Row],[Customer Rating]]&gt;8,EPe_BA_intern_assesment_Raw_data___Sheet13[[#This Row],[Customer Rating]])</f>
        <v>0</v>
      </c>
      <c r="Q389" t="str">
        <f>IF(AND(EPe_BA_intern_assesment_Raw_data___Sheet13[[#This Row],[Customer Rating]]&gt;6,EPe_BA_intern_assesment_Raw_data___Sheet13[[#This Row],[Customer Rating]]&lt;9), EPe_BA_intern_assesment_Raw_data___Sheet13[[#This Row],[Customer Rating]], "")</f>
        <v/>
      </c>
      <c r="R389">
        <f>IF(EPe_BA_intern_assesment_Raw_data___Sheet13[[#This Row],[Customer Rating]]&lt;7,EPe_BA_intern_assesment_Raw_data___Sheet13[[#This Row],[Customer Rating]])</f>
        <v>0</v>
      </c>
    </row>
    <row r="390" spans="1:18" x14ac:dyDescent="0.3">
      <c r="A390" t="s">
        <v>418</v>
      </c>
      <c r="B390" t="s">
        <v>16</v>
      </c>
      <c r="C390" t="s">
        <v>17</v>
      </c>
      <c r="D390" s="1">
        <v>45955</v>
      </c>
      <c r="E390" s="1">
        <v>45956</v>
      </c>
      <c r="F390" s="1">
        <v>45959</v>
      </c>
      <c r="G390" s="1">
        <v>45961</v>
      </c>
      <c r="H390" t="s">
        <v>18</v>
      </c>
      <c r="I390" t="s">
        <v>19</v>
      </c>
      <c r="J390" s="1">
        <v>45979</v>
      </c>
      <c r="K390">
        <v>1</v>
      </c>
      <c r="L390">
        <v>3</v>
      </c>
      <c r="M390">
        <v>2</v>
      </c>
      <c r="N390">
        <v>3</v>
      </c>
      <c r="O390">
        <v>6</v>
      </c>
      <c r="P390" t="b">
        <f>IF(EPe_BA_intern_assesment_Raw_data___Sheet13[[#This Row],[Customer Rating]]&gt;8,EPe_BA_intern_assesment_Raw_data___Sheet13[[#This Row],[Customer Rating]])</f>
        <v>0</v>
      </c>
      <c r="Q390" t="str">
        <f>IF(AND(EPe_BA_intern_assesment_Raw_data___Sheet13[[#This Row],[Customer Rating]]&gt;6,EPe_BA_intern_assesment_Raw_data___Sheet13[[#This Row],[Customer Rating]]&lt;9), EPe_BA_intern_assesment_Raw_data___Sheet13[[#This Row],[Customer Rating]], "")</f>
        <v/>
      </c>
      <c r="R390">
        <f>IF(EPe_BA_intern_assesment_Raw_data___Sheet13[[#This Row],[Customer Rating]]&lt;7,EPe_BA_intern_assesment_Raw_data___Sheet13[[#This Row],[Customer Rating]])</f>
        <v>3</v>
      </c>
    </row>
    <row r="391" spans="1:18" x14ac:dyDescent="0.3">
      <c r="A391" t="s">
        <v>419</v>
      </c>
      <c r="B391" t="s">
        <v>23</v>
      </c>
      <c r="C391" t="s">
        <v>17</v>
      </c>
      <c r="D391" s="1">
        <v>45932</v>
      </c>
      <c r="E391" s="1">
        <v>45935</v>
      </c>
      <c r="F391" s="1">
        <v>45937</v>
      </c>
      <c r="G391" s="1">
        <v>45944</v>
      </c>
      <c r="H391" t="s">
        <v>18</v>
      </c>
      <c r="I391" t="s">
        <v>19</v>
      </c>
      <c r="J391" s="1">
        <v>45966</v>
      </c>
      <c r="K391">
        <v>3</v>
      </c>
      <c r="L391">
        <v>2</v>
      </c>
      <c r="M391">
        <v>7</v>
      </c>
      <c r="N391">
        <v>6</v>
      </c>
      <c r="O391">
        <v>12</v>
      </c>
      <c r="P391" t="b">
        <f>IF(EPe_BA_intern_assesment_Raw_data___Sheet13[[#This Row],[Customer Rating]]&gt;8,EPe_BA_intern_assesment_Raw_data___Sheet13[[#This Row],[Customer Rating]])</f>
        <v>0</v>
      </c>
      <c r="Q391" t="str">
        <f>IF(AND(EPe_BA_intern_assesment_Raw_data___Sheet13[[#This Row],[Customer Rating]]&gt;6,EPe_BA_intern_assesment_Raw_data___Sheet13[[#This Row],[Customer Rating]]&lt;9), EPe_BA_intern_assesment_Raw_data___Sheet13[[#This Row],[Customer Rating]], "")</f>
        <v/>
      </c>
      <c r="R391">
        <f>IF(EPe_BA_intern_assesment_Raw_data___Sheet13[[#This Row],[Customer Rating]]&lt;7,EPe_BA_intern_assesment_Raw_data___Sheet13[[#This Row],[Customer Rating]])</f>
        <v>6</v>
      </c>
    </row>
    <row r="392" spans="1:18" x14ac:dyDescent="0.3">
      <c r="A392" t="s">
        <v>420</v>
      </c>
      <c r="B392" t="s">
        <v>23</v>
      </c>
      <c r="C392" t="s">
        <v>32</v>
      </c>
      <c r="D392" s="1">
        <v>45937</v>
      </c>
      <c r="E392" s="1">
        <v>45942</v>
      </c>
      <c r="F392" s="1">
        <v>45943</v>
      </c>
      <c r="G392" s="1">
        <v>45945</v>
      </c>
      <c r="H392" t="s">
        <v>18</v>
      </c>
      <c r="I392" t="s">
        <v>19</v>
      </c>
      <c r="J392" s="1">
        <v>45975</v>
      </c>
      <c r="K392">
        <v>5</v>
      </c>
      <c r="L392">
        <v>1</v>
      </c>
      <c r="M392">
        <v>2</v>
      </c>
      <c r="N392">
        <v>1</v>
      </c>
      <c r="O392">
        <v>8</v>
      </c>
      <c r="P392" t="b">
        <f>IF(EPe_BA_intern_assesment_Raw_data___Sheet13[[#This Row],[Customer Rating]]&gt;8,EPe_BA_intern_assesment_Raw_data___Sheet13[[#This Row],[Customer Rating]])</f>
        <v>0</v>
      </c>
      <c r="Q392" t="str">
        <f>IF(AND(EPe_BA_intern_assesment_Raw_data___Sheet13[[#This Row],[Customer Rating]]&gt;6,EPe_BA_intern_assesment_Raw_data___Sheet13[[#This Row],[Customer Rating]]&lt;9), EPe_BA_intern_assesment_Raw_data___Sheet13[[#This Row],[Customer Rating]], "")</f>
        <v/>
      </c>
      <c r="R392">
        <f>IF(EPe_BA_intern_assesment_Raw_data___Sheet13[[#This Row],[Customer Rating]]&lt;7,EPe_BA_intern_assesment_Raw_data___Sheet13[[#This Row],[Customer Rating]])</f>
        <v>1</v>
      </c>
    </row>
    <row r="393" spans="1:18" x14ac:dyDescent="0.3">
      <c r="A393" t="s">
        <v>421</v>
      </c>
      <c r="B393" t="s">
        <v>16</v>
      </c>
      <c r="C393" t="s">
        <v>17</v>
      </c>
      <c r="D393" s="1">
        <v>45939</v>
      </c>
      <c r="E393" s="1">
        <v>45941</v>
      </c>
      <c r="F393" s="1">
        <v>45942</v>
      </c>
      <c r="G393" s="1">
        <v>45944</v>
      </c>
      <c r="H393" t="s">
        <v>18</v>
      </c>
      <c r="I393" t="s">
        <v>19</v>
      </c>
      <c r="J393" s="1">
        <v>45969</v>
      </c>
      <c r="K393">
        <v>2</v>
      </c>
      <c r="L393">
        <v>1</v>
      </c>
      <c r="M393">
        <v>2</v>
      </c>
      <c r="N393">
        <v>4</v>
      </c>
      <c r="O393">
        <v>5</v>
      </c>
      <c r="P393" t="b">
        <f>IF(EPe_BA_intern_assesment_Raw_data___Sheet13[[#This Row],[Customer Rating]]&gt;8,EPe_BA_intern_assesment_Raw_data___Sheet13[[#This Row],[Customer Rating]])</f>
        <v>0</v>
      </c>
      <c r="Q393" t="str">
        <f>IF(AND(EPe_BA_intern_assesment_Raw_data___Sheet13[[#This Row],[Customer Rating]]&gt;6,EPe_BA_intern_assesment_Raw_data___Sheet13[[#This Row],[Customer Rating]]&lt;9), EPe_BA_intern_assesment_Raw_data___Sheet13[[#This Row],[Customer Rating]], "")</f>
        <v/>
      </c>
      <c r="R393">
        <f>IF(EPe_BA_intern_assesment_Raw_data___Sheet13[[#This Row],[Customer Rating]]&lt;7,EPe_BA_intern_assesment_Raw_data___Sheet13[[#This Row],[Customer Rating]])</f>
        <v>4</v>
      </c>
    </row>
    <row r="394" spans="1:18" x14ac:dyDescent="0.3">
      <c r="A394" t="s">
        <v>422</v>
      </c>
      <c r="B394" t="s">
        <v>21</v>
      </c>
      <c r="C394" t="s">
        <v>17</v>
      </c>
      <c r="D394" s="1">
        <v>45948</v>
      </c>
      <c r="E394" s="1">
        <v>45953</v>
      </c>
      <c r="F394" s="1">
        <v>45957</v>
      </c>
      <c r="G394" s="1">
        <v>45961</v>
      </c>
      <c r="H394" t="s">
        <v>18</v>
      </c>
      <c r="I394" t="s">
        <v>19</v>
      </c>
      <c r="J394" s="1">
        <v>45989</v>
      </c>
      <c r="K394">
        <v>5</v>
      </c>
      <c r="L394">
        <v>4</v>
      </c>
      <c r="M394">
        <v>4</v>
      </c>
      <c r="N394">
        <v>6</v>
      </c>
      <c r="O394">
        <v>13</v>
      </c>
      <c r="P394" t="b">
        <f>IF(EPe_BA_intern_assesment_Raw_data___Sheet13[[#This Row],[Customer Rating]]&gt;8,EPe_BA_intern_assesment_Raw_data___Sheet13[[#This Row],[Customer Rating]])</f>
        <v>0</v>
      </c>
      <c r="Q394" t="str">
        <f>IF(AND(EPe_BA_intern_assesment_Raw_data___Sheet13[[#This Row],[Customer Rating]]&gt;6,EPe_BA_intern_assesment_Raw_data___Sheet13[[#This Row],[Customer Rating]]&lt;9), EPe_BA_intern_assesment_Raw_data___Sheet13[[#This Row],[Customer Rating]], "")</f>
        <v/>
      </c>
      <c r="R394">
        <f>IF(EPe_BA_intern_assesment_Raw_data___Sheet13[[#This Row],[Customer Rating]]&lt;7,EPe_BA_intern_assesment_Raw_data___Sheet13[[#This Row],[Customer Rating]])</f>
        <v>6</v>
      </c>
    </row>
    <row r="395" spans="1:18" x14ac:dyDescent="0.3">
      <c r="A395" t="s">
        <v>423</v>
      </c>
      <c r="B395" t="s">
        <v>21</v>
      </c>
      <c r="C395" t="s">
        <v>24</v>
      </c>
      <c r="D395" s="1">
        <v>45935</v>
      </c>
      <c r="E395" s="1"/>
      <c r="F395" s="1"/>
      <c r="G395" s="1"/>
      <c r="H395" t="s">
        <v>25</v>
      </c>
      <c r="I395" t="s">
        <v>26</v>
      </c>
      <c r="J395" s="1"/>
      <c r="P395" t="b">
        <f>IF(EPe_BA_intern_assesment_Raw_data___Sheet13[[#This Row],[Customer Rating]]&gt;8,EPe_BA_intern_assesment_Raw_data___Sheet13[[#This Row],[Customer Rating]])</f>
        <v>0</v>
      </c>
      <c r="Q395" t="str">
        <f>IF(AND(EPe_BA_intern_assesment_Raw_data___Sheet13[[#This Row],[Customer Rating]]&gt;6,EPe_BA_intern_assesment_Raw_data___Sheet13[[#This Row],[Customer Rating]]&lt;9), EPe_BA_intern_assesment_Raw_data___Sheet13[[#This Row],[Customer Rating]], "")</f>
        <v/>
      </c>
      <c r="R395">
        <f>IF(EPe_BA_intern_assesment_Raw_data___Sheet13[[#This Row],[Customer Rating]]&lt;7,EPe_BA_intern_assesment_Raw_data___Sheet13[[#This Row],[Customer Rating]])</f>
        <v>0</v>
      </c>
    </row>
    <row r="396" spans="1:18" x14ac:dyDescent="0.3">
      <c r="A396" t="s">
        <v>424</v>
      </c>
      <c r="B396" t="s">
        <v>34</v>
      </c>
      <c r="C396" t="s">
        <v>32</v>
      </c>
      <c r="D396" s="1">
        <v>45960</v>
      </c>
      <c r="E396" s="1">
        <v>45964</v>
      </c>
      <c r="F396" s="1">
        <v>45969</v>
      </c>
      <c r="G396" s="1">
        <v>45973</v>
      </c>
      <c r="H396" t="s">
        <v>18</v>
      </c>
      <c r="I396" t="s">
        <v>19</v>
      </c>
      <c r="J396" s="1">
        <v>46002</v>
      </c>
      <c r="K396">
        <v>4</v>
      </c>
      <c r="L396">
        <v>5</v>
      </c>
      <c r="M396">
        <v>4</v>
      </c>
      <c r="N396">
        <v>2</v>
      </c>
      <c r="O396">
        <v>13</v>
      </c>
      <c r="P396" t="b">
        <f>IF(EPe_BA_intern_assesment_Raw_data___Sheet13[[#This Row],[Customer Rating]]&gt;8,EPe_BA_intern_assesment_Raw_data___Sheet13[[#This Row],[Customer Rating]])</f>
        <v>0</v>
      </c>
      <c r="Q396" t="str">
        <f>IF(AND(EPe_BA_intern_assesment_Raw_data___Sheet13[[#This Row],[Customer Rating]]&gt;6,EPe_BA_intern_assesment_Raw_data___Sheet13[[#This Row],[Customer Rating]]&lt;9), EPe_BA_intern_assesment_Raw_data___Sheet13[[#This Row],[Customer Rating]], "")</f>
        <v/>
      </c>
      <c r="R396">
        <f>IF(EPe_BA_intern_assesment_Raw_data___Sheet13[[#This Row],[Customer Rating]]&lt;7,EPe_BA_intern_assesment_Raw_data___Sheet13[[#This Row],[Customer Rating]])</f>
        <v>2</v>
      </c>
    </row>
    <row r="397" spans="1:18" x14ac:dyDescent="0.3">
      <c r="A397" t="s">
        <v>425</v>
      </c>
      <c r="B397" t="s">
        <v>21</v>
      </c>
      <c r="C397" t="s">
        <v>17</v>
      </c>
      <c r="D397" s="1">
        <v>45940</v>
      </c>
      <c r="E397" s="1">
        <v>45942</v>
      </c>
      <c r="F397" s="1">
        <v>45943</v>
      </c>
      <c r="G397" s="1">
        <v>45947</v>
      </c>
      <c r="H397" t="s">
        <v>18</v>
      </c>
      <c r="I397" t="s">
        <v>19</v>
      </c>
      <c r="J397" s="1">
        <v>45972</v>
      </c>
      <c r="K397">
        <v>2</v>
      </c>
      <c r="L397">
        <v>1</v>
      </c>
      <c r="M397">
        <v>4</v>
      </c>
      <c r="N397">
        <v>8</v>
      </c>
      <c r="O397">
        <v>7</v>
      </c>
      <c r="P397" t="b">
        <f>IF(EPe_BA_intern_assesment_Raw_data___Sheet13[[#This Row],[Customer Rating]]&gt;8,EPe_BA_intern_assesment_Raw_data___Sheet13[[#This Row],[Customer Rating]])</f>
        <v>0</v>
      </c>
      <c r="Q397">
        <f>IF(AND(EPe_BA_intern_assesment_Raw_data___Sheet13[[#This Row],[Customer Rating]]&gt;6,EPe_BA_intern_assesment_Raw_data___Sheet13[[#This Row],[Customer Rating]]&lt;9), EPe_BA_intern_assesment_Raw_data___Sheet13[[#This Row],[Customer Rating]], "")</f>
        <v>8</v>
      </c>
      <c r="R397" t="b">
        <f>IF(EPe_BA_intern_assesment_Raw_data___Sheet13[[#This Row],[Customer Rating]]&lt;7,EPe_BA_intern_assesment_Raw_data___Sheet13[[#This Row],[Customer Rating]])</f>
        <v>0</v>
      </c>
    </row>
    <row r="398" spans="1:18" x14ac:dyDescent="0.3">
      <c r="A398" t="s">
        <v>426</v>
      </c>
      <c r="B398" t="s">
        <v>16</v>
      </c>
      <c r="C398" t="s">
        <v>17</v>
      </c>
      <c r="D398" s="1">
        <v>45945</v>
      </c>
      <c r="E398" s="1">
        <v>45947</v>
      </c>
      <c r="F398" s="1">
        <v>45949</v>
      </c>
      <c r="G398" s="1">
        <v>45952</v>
      </c>
      <c r="H398" t="s">
        <v>18</v>
      </c>
      <c r="I398" t="s">
        <v>19</v>
      </c>
      <c r="J398" s="1">
        <v>45963</v>
      </c>
      <c r="K398">
        <v>2</v>
      </c>
      <c r="L398">
        <v>2</v>
      </c>
      <c r="M398">
        <v>3</v>
      </c>
      <c r="N398">
        <v>6</v>
      </c>
      <c r="O398">
        <v>7</v>
      </c>
      <c r="P398" t="b">
        <f>IF(EPe_BA_intern_assesment_Raw_data___Sheet13[[#This Row],[Customer Rating]]&gt;8,EPe_BA_intern_assesment_Raw_data___Sheet13[[#This Row],[Customer Rating]])</f>
        <v>0</v>
      </c>
      <c r="Q398" t="str">
        <f>IF(AND(EPe_BA_intern_assesment_Raw_data___Sheet13[[#This Row],[Customer Rating]]&gt;6,EPe_BA_intern_assesment_Raw_data___Sheet13[[#This Row],[Customer Rating]]&lt;9), EPe_BA_intern_assesment_Raw_data___Sheet13[[#This Row],[Customer Rating]], "")</f>
        <v/>
      </c>
      <c r="R398">
        <f>IF(EPe_BA_intern_assesment_Raw_data___Sheet13[[#This Row],[Customer Rating]]&lt;7,EPe_BA_intern_assesment_Raw_data___Sheet13[[#This Row],[Customer Rating]])</f>
        <v>6</v>
      </c>
    </row>
    <row r="399" spans="1:18" x14ac:dyDescent="0.3">
      <c r="A399" t="s">
        <v>427</v>
      </c>
      <c r="B399" t="s">
        <v>23</v>
      </c>
      <c r="C399" t="s">
        <v>17</v>
      </c>
      <c r="D399" s="1">
        <v>45959</v>
      </c>
      <c r="E399" s="1">
        <v>45961</v>
      </c>
      <c r="F399" s="1">
        <v>45963</v>
      </c>
      <c r="G399" s="1">
        <v>45968</v>
      </c>
      <c r="H399" t="s">
        <v>18</v>
      </c>
      <c r="I399" t="s">
        <v>19</v>
      </c>
      <c r="J399" s="1">
        <v>45983</v>
      </c>
      <c r="K399">
        <v>2</v>
      </c>
      <c r="L399">
        <v>2</v>
      </c>
      <c r="M399">
        <v>5</v>
      </c>
      <c r="N399">
        <v>2</v>
      </c>
      <c r="O399">
        <v>9</v>
      </c>
      <c r="P399" t="b">
        <f>IF(EPe_BA_intern_assesment_Raw_data___Sheet13[[#This Row],[Customer Rating]]&gt;8,EPe_BA_intern_assesment_Raw_data___Sheet13[[#This Row],[Customer Rating]])</f>
        <v>0</v>
      </c>
      <c r="Q399" t="str">
        <f>IF(AND(EPe_BA_intern_assesment_Raw_data___Sheet13[[#This Row],[Customer Rating]]&gt;6,EPe_BA_intern_assesment_Raw_data___Sheet13[[#This Row],[Customer Rating]]&lt;9), EPe_BA_intern_assesment_Raw_data___Sheet13[[#This Row],[Customer Rating]], "")</f>
        <v/>
      </c>
      <c r="R399">
        <f>IF(EPe_BA_intern_assesment_Raw_data___Sheet13[[#This Row],[Customer Rating]]&lt;7,EPe_BA_intern_assesment_Raw_data___Sheet13[[#This Row],[Customer Rating]])</f>
        <v>2</v>
      </c>
    </row>
    <row r="400" spans="1:18" x14ac:dyDescent="0.3">
      <c r="A400" t="s">
        <v>428</v>
      </c>
      <c r="B400" t="s">
        <v>21</v>
      </c>
      <c r="C400" t="s">
        <v>17</v>
      </c>
      <c r="D400" s="1">
        <v>45953</v>
      </c>
      <c r="E400" s="1">
        <v>45958</v>
      </c>
      <c r="F400" s="1">
        <v>45959</v>
      </c>
      <c r="G400" s="1">
        <v>45962</v>
      </c>
      <c r="H400" t="s">
        <v>18</v>
      </c>
      <c r="I400" t="s">
        <v>19</v>
      </c>
      <c r="J400" s="1">
        <v>45980</v>
      </c>
      <c r="K400">
        <v>5</v>
      </c>
      <c r="L400">
        <v>1</v>
      </c>
      <c r="M400">
        <v>3</v>
      </c>
      <c r="N400">
        <v>6</v>
      </c>
      <c r="O400">
        <v>9</v>
      </c>
      <c r="P400" t="b">
        <f>IF(EPe_BA_intern_assesment_Raw_data___Sheet13[[#This Row],[Customer Rating]]&gt;8,EPe_BA_intern_assesment_Raw_data___Sheet13[[#This Row],[Customer Rating]])</f>
        <v>0</v>
      </c>
      <c r="Q400" t="str">
        <f>IF(AND(EPe_BA_intern_assesment_Raw_data___Sheet13[[#This Row],[Customer Rating]]&gt;6,EPe_BA_intern_assesment_Raw_data___Sheet13[[#This Row],[Customer Rating]]&lt;9), EPe_BA_intern_assesment_Raw_data___Sheet13[[#This Row],[Customer Rating]], "")</f>
        <v/>
      </c>
      <c r="R400">
        <f>IF(EPe_BA_intern_assesment_Raw_data___Sheet13[[#This Row],[Customer Rating]]&lt;7,EPe_BA_intern_assesment_Raw_data___Sheet13[[#This Row],[Customer Rating]])</f>
        <v>6</v>
      </c>
    </row>
    <row r="401" spans="1:18" x14ac:dyDescent="0.3">
      <c r="A401" t="s">
        <v>429</v>
      </c>
      <c r="B401" t="s">
        <v>34</v>
      </c>
      <c r="C401" t="s">
        <v>17</v>
      </c>
      <c r="D401" s="1">
        <v>45946</v>
      </c>
      <c r="E401" s="1">
        <v>45948</v>
      </c>
      <c r="F401" s="1">
        <v>45949</v>
      </c>
      <c r="G401" s="1">
        <v>45956</v>
      </c>
      <c r="H401" t="s">
        <v>18</v>
      </c>
      <c r="I401" t="s">
        <v>19</v>
      </c>
      <c r="J401" s="1">
        <v>45978</v>
      </c>
      <c r="K401">
        <v>2</v>
      </c>
      <c r="L401">
        <v>1</v>
      </c>
      <c r="M401">
        <v>7</v>
      </c>
      <c r="N401">
        <v>7</v>
      </c>
      <c r="O401">
        <v>10</v>
      </c>
      <c r="P401" t="b">
        <f>IF(EPe_BA_intern_assesment_Raw_data___Sheet13[[#This Row],[Customer Rating]]&gt;8,EPe_BA_intern_assesment_Raw_data___Sheet13[[#This Row],[Customer Rating]])</f>
        <v>0</v>
      </c>
      <c r="Q401">
        <f>IF(AND(EPe_BA_intern_assesment_Raw_data___Sheet13[[#This Row],[Customer Rating]]&gt;6,EPe_BA_intern_assesment_Raw_data___Sheet13[[#This Row],[Customer Rating]]&lt;9), EPe_BA_intern_assesment_Raw_data___Sheet13[[#This Row],[Customer Rating]], "")</f>
        <v>7</v>
      </c>
      <c r="R401" t="b">
        <f>IF(EPe_BA_intern_assesment_Raw_data___Sheet13[[#This Row],[Customer Rating]]&lt;7,EPe_BA_intern_assesment_Raw_data___Sheet13[[#This Row],[Customer Rating]])</f>
        <v>0</v>
      </c>
    </row>
    <row r="402" spans="1:18" x14ac:dyDescent="0.3">
      <c r="A402" t="s">
        <v>430</v>
      </c>
      <c r="B402" t="s">
        <v>21</v>
      </c>
      <c r="C402" t="s">
        <v>17</v>
      </c>
      <c r="D402" s="1">
        <v>45934</v>
      </c>
      <c r="E402" s="1">
        <v>45938</v>
      </c>
      <c r="F402" s="1">
        <v>45943</v>
      </c>
      <c r="G402" s="1">
        <v>45950</v>
      </c>
      <c r="H402" t="s">
        <v>18</v>
      </c>
      <c r="I402" t="s">
        <v>19</v>
      </c>
      <c r="J402" s="1">
        <v>45964</v>
      </c>
      <c r="K402">
        <v>4</v>
      </c>
      <c r="L402">
        <v>5</v>
      </c>
      <c r="M402">
        <v>7</v>
      </c>
      <c r="N402">
        <v>1</v>
      </c>
      <c r="O402">
        <v>16</v>
      </c>
      <c r="P402" t="b">
        <f>IF(EPe_BA_intern_assesment_Raw_data___Sheet13[[#This Row],[Customer Rating]]&gt;8,EPe_BA_intern_assesment_Raw_data___Sheet13[[#This Row],[Customer Rating]])</f>
        <v>0</v>
      </c>
      <c r="Q402" t="str">
        <f>IF(AND(EPe_BA_intern_assesment_Raw_data___Sheet13[[#This Row],[Customer Rating]]&gt;6,EPe_BA_intern_assesment_Raw_data___Sheet13[[#This Row],[Customer Rating]]&lt;9), EPe_BA_intern_assesment_Raw_data___Sheet13[[#This Row],[Customer Rating]], "")</f>
        <v/>
      </c>
      <c r="R402">
        <f>IF(EPe_BA_intern_assesment_Raw_data___Sheet13[[#This Row],[Customer Rating]]&lt;7,EPe_BA_intern_assesment_Raw_data___Sheet13[[#This Row],[Customer Rating]])</f>
        <v>1</v>
      </c>
    </row>
    <row r="403" spans="1:18" x14ac:dyDescent="0.3">
      <c r="A403" t="s">
        <v>431</v>
      </c>
      <c r="B403" t="s">
        <v>16</v>
      </c>
      <c r="C403" t="s">
        <v>17</v>
      </c>
      <c r="D403" s="1">
        <v>45931</v>
      </c>
      <c r="E403" s="1">
        <v>45932</v>
      </c>
      <c r="F403" s="1">
        <v>45933</v>
      </c>
      <c r="G403" s="1">
        <v>45936</v>
      </c>
      <c r="H403" t="s">
        <v>18</v>
      </c>
      <c r="I403" t="s">
        <v>19</v>
      </c>
      <c r="J403" s="1">
        <v>45965</v>
      </c>
      <c r="K403">
        <v>1</v>
      </c>
      <c r="L403">
        <v>1</v>
      </c>
      <c r="M403">
        <v>3</v>
      </c>
      <c r="N403">
        <v>8</v>
      </c>
      <c r="O403">
        <v>5</v>
      </c>
      <c r="P403" t="b">
        <f>IF(EPe_BA_intern_assesment_Raw_data___Sheet13[[#This Row],[Customer Rating]]&gt;8,EPe_BA_intern_assesment_Raw_data___Sheet13[[#This Row],[Customer Rating]])</f>
        <v>0</v>
      </c>
      <c r="Q403">
        <f>IF(AND(EPe_BA_intern_assesment_Raw_data___Sheet13[[#This Row],[Customer Rating]]&gt;6,EPe_BA_intern_assesment_Raw_data___Sheet13[[#This Row],[Customer Rating]]&lt;9), EPe_BA_intern_assesment_Raw_data___Sheet13[[#This Row],[Customer Rating]], "")</f>
        <v>8</v>
      </c>
      <c r="R403" t="b">
        <f>IF(EPe_BA_intern_assesment_Raw_data___Sheet13[[#This Row],[Customer Rating]]&lt;7,EPe_BA_intern_assesment_Raw_data___Sheet13[[#This Row],[Customer Rating]])</f>
        <v>0</v>
      </c>
    </row>
    <row r="404" spans="1:18" x14ac:dyDescent="0.3">
      <c r="A404" t="s">
        <v>432</v>
      </c>
      <c r="B404" t="s">
        <v>34</v>
      </c>
      <c r="C404" t="s">
        <v>17</v>
      </c>
      <c r="D404" s="1">
        <v>45951</v>
      </c>
      <c r="E404" s="1">
        <v>45955</v>
      </c>
      <c r="F404" s="1">
        <v>45959</v>
      </c>
      <c r="G404" s="1">
        <v>45961</v>
      </c>
      <c r="H404" t="s">
        <v>18</v>
      </c>
      <c r="I404" t="s">
        <v>19</v>
      </c>
      <c r="J404" s="1">
        <v>45990</v>
      </c>
      <c r="K404">
        <v>4</v>
      </c>
      <c r="L404">
        <v>4</v>
      </c>
      <c r="M404">
        <v>2</v>
      </c>
      <c r="N404">
        <v>7</v>
      </c>
      <c r="O404">
        <v>10</v>
      </c>
      <c r="P404" t="b">
        <f>IF(EPe_BA_intern_assesment_Raw_data___Sheet13[[#This Row],[Customer Rating]]&gt;8,EPe_BA_intern_assesment_Raw_data___Sheet13[[#This Row],[Customer Rating]])</f>
        <v>0</v>
      </c>
      <c r="Q404">
        <f>IF(AND(EPe_BA_intern_assesment_Raw_data___Sheet13[[#This Row],[Customer Rating]]&gt;6,EPe_BA_intern_assesment_Raw_data___Sheet13[[#This Row],[Customer Rating]]&lt;9), EPe_BA_intern_assesment_Raw_data___Sheet13[[#This Row],[Customer Rating]], "")</f>
        <v>7</v>
      </c>
      <c r="R404" t="b">
        <f>IF(EPe_BA_intern_assesment_Raw_data___Sheet13[[#This Row],[Customer Rating]]&lt;7,EPe_BA_intern_assesment_Raw_data___Sheet13[[#This Row],[Customer Rating]])</f>
        <v>0</v>
      </c>
    </row>
    <row r="405" spans="1:18" x14ac:dyDescent="0.3">
      <c r="A405" t="s">
        <v>433</v>
      </c>
      <c r="B405" t="s">
        <v>21</v>
      </c>
      <c r="C405" t="s">
        <v>24</v>
      </c>
      <c r="D405" s="1">
        <v>45950</v>
      </c>
      <c r="E405" s="1"/>
      <c r="F405" s="1"/>
      <c r="G405" s="1"/>
      <c r="H405" t="s">
        <v>25</v>
      </c>
      <c r="I405" t="s">
        <v>35</v>
      </c>
      <c r="J405" s="1"/>
      <c r="P405" t="b">
        <f>IF(EPe_BA_intern_assesment_Raw_data___Sheet13[[#This Row],[Customer Rating]]&gt;8,EPe_BA_intern_assesment_Raw_data___Sheet13[[#This Row],[Customer Rating]])</f>
        <v>0</v>
      </c>
      <c r="Q405" t="str">
        <f>IF(AND(EPe_BA_intern_assesment_Raw_data___Sheet13[[#This Row],[Customer Rating]]&gt;6,EPe_BA_intern_assesment_Raw_data___Sheet13[[#This Row],[Customer Rating]]&lt;9), EPe_BA_intern_assesment_Raw_data___Sheet13[[#This Row],[Customer Rating]], "")</f>
        <v/>
      </c>
      <c r="R405">
        <f>IF(EPe_BA_intern_assesment_Raw_data___Sheet13[[#This Row],[Customer Rating]]&lt;7,EPe_BA_intern_assesment_Raw_data___Sheet13[[#This Row],[Customer Rating]])</f>
        <v>0</v>
      </c>
    </row>
    <row r="406" spans="1:18" x14ac:dyDescent="0.3">
      <c r="A406" t="s">
        <v>434</v>
      </c>
      <c r="B406" t="s">
        <v>34</v>
      </c>
      <c r="C406" t="s">
        <v>17</v>
      </c>
      <c r="D406" s="1">
        <v>45956</v>
      </c>
      <c r="E406" s="1">
        <v>45959</v>
      </c>
      <c r="F406" s="1">
        <v>45964</v>
      </c>
      <c r="G406" s="1">
        <v>45970</v>
      </c>
      <c r="H406" t="s">
        <v>25</v>
      </c>
      <c r="I406" t="s">
        <v>26</v>
      </c>
      <c r="J406" s="1"/>
      <c r="K406">
        <v>3</v>
      </c>
      <c r="L406">
        <v>5</v>
      </c>
      <c r="M406">
        <v>6</v>
      </c>
      <c r="O406">
        <v>14</v>
      </c>
      <c r="P406" t="b">
        <f>IF(EPe_BA_intern_assesment_Raw_data___Sheet13[[#This Row],[Customer Rating]]&gt;8,EPe_BA_intern_assesment_Raw_data___Sheet13[[#This Row],[Customer Rating]])</f>
        <v>0</v>
      </c>
      <c r="Q406" t="str">
        <f>IF(AND(EPe_BA_intern_assesment_Raw_data___Sheet13[[#This Row],[Customer Rating]]&gt;6,EPe_BA_intern_assesment_Raw_data___Sheet13[[#This Row],[Customer Rating]]&lt;9), EPe_BA_intern_assesment_Raw_data___Sheet13[[#This Row],[Customer Rating]], "")</f>
        <v/>
      </c>
      <c r="R406">
        <f>IF(EPe_BA_intern_assesment_Raw_data___Sheet13[[#This Row],[Customer Rating]]&lt;7,EPe_BA_intern_assesment_Raw_data___Sheet13[[#This Row],[Customer Rating]])</f>
        <v>0</v>
      </c>
    </row>
    <row r="407" spans="1:18" x14ac:dyDescent="0.3">
      <c r="A407" t="s">
        <v>435</v>
      </c>
      <c r="B407" t="s">
        <v>16</v>
      </c>
      <c r="C407" t="s">
        <v>17</v>
      </c>
      <c r="D407" s="1">
        <v>45938</v>
      </c>
      <c r="E407" s="1">
        <v>45940</v>
      </c>
      <c r="F407" s="1">
        <v>45941</v>
      </c>
      <c r="G407" s="1">
        <v>45947</v>
      </c>
      <c r="H407" t="s">
        <v>18</v>
      </c>
      <c r="I407" t="s">
        <v>19</v>
      </c>
      <c r="J407" s="1">
        <v>45969</v>
      </c>
      <c r="K407">
        <v>2</v>
      </c>
      <c r="L407">
        <v>1</v>
      </c>
      <c r="M407">
        <v>6</v>
      </c>
      <c r="N407">
        <v>7</v>
      </c>
      <c r="O407">
        <v>9</v>
      </c>
      <c r="P407" t="b">
        <f>IF(EPe_BA_intern_assesment_Raw_data___Sheet13[[#This Row],[Customer Rating]]&gt;8,EPe_BA_intern_assesment_Raw_data___Sheet13[[#This Row],[Customer Rating]])</f>
        <v>0</v>
      </c>
      <c r="Q407">
        <f>IF(AND(EPe_BA_intern_assesment_Raw_data___Sheet13[[#This Row],[Customer Rating]]&gt;6,EPe_BA_intern_assesment_Raw_data___Sheet13[[#This Row],[Customer Rating]]&lt;9), EPe_BA_intern_assesment_Raw_data___Sheet13[[#This Row],[Customer Rating]], "")</f>
        <v>7</v>
      </c>
      <c r="R407" t="b">
        <f>IF(EPe_BA_intern_assesment_Raw_data___Sheet13[[#This Row],[Customer Rating]]&lt;7,EPe_BA_intern_assesment_Raw_data___Sheet13[[#This Row],[Customer Rating]])</f>
        <v>0</v>
      </c>
    </row>
    <row r="408" spans="1:18" x14ac:dyDescent="0.3">
      <c r="A408" t="s">
        <v>436</v>
      </c>
      <c r="B408" t="s">
        <v>23</v>
      </c>
      <c r="C408" t="s">
        <v>32</v>
      </c>
      <c r="D408" s="1">
        <v>45953</v>
      </c>
      <c r="E408" s="1">
        <v>45957</v>
      </c>
      <c r="F408" s="1">
        <v>45959</v>
      </c>
      <c r="G408" s="1">
        <v>45961</v>
      </c>
      <c r="H408" t="s">
        <v>18</v>
      </c>
      <c r="I408" t="s">
        <v>19</v>
      </c>
      <c r="J408" s="1">
        <v>45972</v>
      </c>
      <c r="K408">
        <v>4</v>
      </c>
      <c r="L408">
        <v>2</v>
      </c>
      <c r="M408">
        <v>2</v>
      </c>
      <c r="N408">
        <v>7</v>
      </c>
      <c r="O408">
        <v>8</v>
      </c>
      <c r="P408" t="b">
        <f>IF(EPe_BA_intern_assesment_Raw_data___Sheet13[[#This Row],[Customer Rating]]&gt;8,EPe_BA_intern_assesment_Raw_data___Sheet13[[#This Row],[Customer Rating]])</f>
        <v>0</v>
      </c>
      <c r="Q408">
        <f>IF(AND(EPe_BA_intern_assesment_Raw_data___Sheet13[[#This Row],[Customer Rating]]&gt;6,EPe_BA_intern_assesment_Raw_data___Sheet13[[#This Row],[Customer Rating]]&lt;9), EPe_BA_intern_assesment_Raw_data___Sheet13[[#This Row],[Customer Rating]], "")</f>
        <v>7</v>
      </c>
      <c r="R408" t="b">
        <f>IF(EPe_BA_intern_assesment_Raw_data___Sheet13[[#This Row],[Customer Rating]]&lt;7,EPe_BA_intern_assesment_Raw_data___Sheet13[[#This Row],[Customer Rating]])</f>
        <v>0</v>
      </c>
    </row>
    <row r="409" spans="1:18" x14ac:dyDescent="0.3">
      <c r="A409" t="s">
        <v>437</v>
      </c>
      <c r="B409" t="s">
        <v>16</v>
      </c>
      <c r="C409" t="s">
        <v>24</v>
      </c>
      <c r="D409" s="1">
        <v>45936</v>
      </c>
      <c r="E409" s="1"/>
      <c r="F409" s="1"/>
      <c r="G409" s="1"/>
      <c r="H409" t="s">
        <v>25</v>
      </c>
      <c r="I409" t="s">
        <v>26</v>
      </c>
      <c r="J409" s="1"/>
      <c r="P409" t="b">
        <f>IF(EPe_BA_intern_assesment_Raw_data___Sheet13[[#This Row],[Customer Rating]]&gt;8,EPe_BA_intern_assesment_Raw_data___Sheet13[[#This Row],[Customer Rating]])</f>
        <v>0</v>
      </c>
      <c r="Q409" t="str">
        <f>IF(AND(EPe_BA_intern_assesment_Raw_data___Sheet13[[#This Row],[Customer Rating]]&gt;6,EPe_BA_intern_assesment_Raw_data___Sheet13[[#This Row],[Customer Rating]]&lt;9), EPe_BA_intern_assesment_Raw_data___Sheet13[[#This Row],[Customer Rating]], "")</f>
        <v/>
      </c>
      <c r="R409">
        <f>IF(EPe_BA_intern_assesment_Raw_data___Sheet13[[#This Row],[Customer Rating]]&lt;7,EPe_BA_intern_assesment_Raw_data___Sheet13[[#This Row],[Customer Rating]])</f>
        <v>0</v>
      </c>
    </row>
    <row r="410" spans="1:18" x14ac:dyDescent="0.3">
      <c r="A410" t="s">
        <v>438</v>
      </c>
      <c r="B410" t="s">
        <v>16</v>
      </c>
      <c r="C410" t="s">
        <v>32</v>
      </c>
      <c r="D410" s="1">
        <v>45940</v>
      </c>
      <c r="E410" s="1">
        <v>45945</v>
      </c>
      <c r="F410" s="1">
        <v>45946</v>
      </c>
      <c r="G410" s="1">
        <v>45952</v>
      </c>
      <c r="H410" t="s">
        <v>25</v>
      </c>
      <c r="I410" t="s">
        <v>26</v>
      </c>
      <c r="J410" s="1"/>
      <c r="K410">
        <v>5</v>
      </c>
      <c r="L410">
        <v>1</v>
      </c>
      <c r="M410">
        <v>6</v>
      </c>
      <c r="O410">
        <v>12</v>
      </c>
      <c r="P410" t="b">
        <f>IF(EPe_BA_intern_assesment_Raw_data___Sheet13[[#This Row],[Customer Rating]]&gt;8,EPe_BA_intern_assesment_Raw_data___Sheet13[[#This Row],[Customer Rating]])</f>
        <v>0</v>
      </c>
      <c r="Q410" t="str">
        <f>IF(AND(EPe_BA_intern_assesment_Raw_data___Sheet13[[#This Row],[Customer Rating]]&gt;6,EPe_BA_intern_assesment_Raw_data___Sheet13[[#This Row],[Customer Rating]]&lt;9), EPe_BA_intern_assesment_Raw_data___Sheet13[[#This Row],[Customer Rating]], "")</f>
        <v/>
      </c>
      <c r="R410">
        <f>IF(EPe_BA_intern_assesment_Raw_data___Sheet13[[#This Row],[Customer Rating]]&lt;7,EPe_BA_intern_assesment_Raw_data___Sheet13[[#This Row],[Customer Rating]])</f>
        <v>0</v>
      </c>
    </row>
    <row r="411" spans="1:18" x14ac:dyDescent="0.3">
      <c r="A411" t="s">
        <v>439</v>
      </c>
      <c r="B411" t="s">
        <v>16</v>
      </c>
      <c r="C411" t="s">
        <v>32</v>
      </c>
      <c r="D411" s="1">
        <v>45948</v>
      </c>
      <c r="E411" s="1">
        <v>45951</v>
      </c>
      <c r="F411" s="1">
        <v>45955</v>
      </c>
      <c r="G411" s="1">
        <v>45962</v>
      </c>
      <c r="H411" t="s">
        <v>18</v>
      </c>
      <c r="I411" t="s">
        <v>19</v>
      </c>
      <c r="J411" s="1">
        <v>45984</v>
      </c>
      <c r="K411">
        <v>3</v>
      </c>
      <c r="L411">
        <v>4</v>
      </c>
      <c r="M411">
        <v>7</v>
      </c>
      <c r="N411">
        <v>1</v>
      </c>
      <c r="O411">
        <v>14</v>
      </c>
      <c r="P411" t="b">
        <f>IF(EPe_BA_intern_assesment_Raw_data___Sheet13[[#This Row],[Customer Rating]]&gt;8,EPe_BA_intern_assesment_Raw_data___Sheet13[[#This Row],[Customer Rating]])</f>
        <v>0</v>
      </c>
      <c r="Q411" t="str">
        <f>IF(AND(EPe_BA_intern_assesment_Raw_data___Sheet13[[#This Row],[Customer Rating]]&gt;6,EPe_BA_intern_assesment_Raw_data___Sheet13[[#This Row],[Customer Rating]]&lt;9), EPe_BA_intern_assesment_Raw_data___Sheet13[[#This Row],[Customer Rating]], "")</f>
        <v/>
      </c>
      <c r="R411">
        <f>IF(EPe_BA_intern_assesment_Raw_data___Sheet13[[#This Row],[Customer Rating]]&lt;7,EPe_BA_intern_assesment_Raw_data___Sheet13[[#This Row],[Customer Rating]])</f>
        <v>1</v>
      </c>
    </row>
    <row r="412" spans="1:18" x14ac:dyDescent="0.3">
      <c r="A412" t="s">
        <v>440</v>
      </c>
      <c r="B412" t="s">
        <v>16</v>
      </c>
      <c r="C412" t="s">
        <v>32</v>
      </c>
      <c r="D412" s="1">
        <v>45931</v>
      </c>
      <c r="E412" s="1">
        <v>45935</v>
      </c>
      <c r="F412" s="1">
        <v>45939</v>
      </c>
      <c r="G412" s="1">
        <v>45942</v>
      </c>
      <c r="H412" t="s">
        <v>18</v>
      </c>
      <c r="I412" t="s">
        <v>19</v>
      </c>
      <c r="J412" s="1">
        <v>45962</v>
      </c>
      <c r="K412">
        <v>4</v>
      </c>
      <c r="L412">
        <v>4</v>
      </c>
      <c r="M412">
        <v>3</v>
      </c>
      <c r="N412">
        <v>1</v>
      </c>
      <c r="O412">
        <v>11</v>
      </c>
      <c r="P412" t="b">
        <f>IF(EPe_BA_intern_assesment_Raw_data___Sheet13[[#This Row],[Customer Rating]]&gt;8,EPe_BA_intern_assesment_Raw_data___Sheet13[[#This Row],[Customer Rating]])</f>
        <v>0</v>
      </c>
      <c r="Q412" t="str">
        <f>IF(AND(EPe_BA_intern_assesment_Raw_data___Sheet13[[#This Row],[Customer Rating]]&gt;6,EPe_BA_intern_assesment_Raw_data___Sheet13[[#This Row],[Customer Rating]]&lt;9), EPe_BA_intern_assesment_Raw_data___Sheet13[[#This Row],[Customer Rating]], "")</f>
        <v/>
      </c>
      <c r="R412">
        <f>IF(EPe_BA_intern_assesment_Raw_data___Sheet13[[#This Row],[Customer Rating]]&lt;7,EPe_BA_intern_assesment_Raw_data___Sheet13[[#This Row],[Customer Rating]])</f>
        <v>1</v>
      </c>
    </row>
    <row r="413" spans="1:18" x14ac:dyDescent="0.3">
      <c r="A413" t="s">
        <v>441</v>
      </c>
      <c r="B413" t="s">
        <v>23</v>
      </c>
      <c r="C413" t="s">
        <v>17</v>
      </c>
      <c r="D413" s="1">
        <v>45948</v>
      </c>
      <c r="E413" s="1">
        <v>45950</v>
      </c>
      <c r="F413" s="1">
        <v>45952</v>
      </c>
      <c r="G413" s="1">
        <v>45957</v>
      </c>
      <c r="H413" t="s">
        <v>18</v>
      </c>
      <c r="I413" t="s">
        <v>19</v>
      </c>
      <c r="J413" s="1">
        <v>45974</v>
      </c>
      <c r="K413">
        <v>2</v>
      </c>
      <c r="L413">
        <v>2</v>
      </c>
      <c r="M413">
        <v>5</v>
      </c>
      <c r="N413">
        <v>10</v>
      </c>
      <c r="O413">
        <v>9</v>
      </c>
      <c r="P413">
        <f>IF(EPe_BA_intern_assesment_Raw_data___Sheet13[[#This Row],[Customer Rating]]&gt;8,EPe_BA_intern_assesment_Raw_data___Sheet13[[#This Row],[Customer Rating]])</f>
        <v>10</v>
      </c>
      <c r="Q413" t="str">
        <f>IF(AND(EPe_BA_intern_assesment_Raw_data___Sheet13[[#This Row],[Customer Rating]]&gt;6,EPe_BA_intern_assesment_Raw_data___Sheet13[[#This Row],[Customer Rating]]&lt;9), EPe_BA_intern_assesment_Raw_data___Sheet13[[#This Row],[Customer Rating]], "")</f>
        <v/>
      </c>
      <c r="R413" t="b">
        <f>IF(EPe_BA_intern_assesment_Raw_data___Sheet13[[#This Row],[Customer Rating]]&lt;7,EPe_BA_intern_assesment_Raw_data___Sheet13[[#This Row],[Customer Rating]])</f>
        <v>0</v>
      </c>
    </row>
    <row r="414" spans="1:18" x14ac:dyDescent="0.3">
      <c r="A414" t="s">
        <v>442</v>
      </c>
      <c r="B414" t="s">
        <v>23</v>
      </c>
      <c r="C414" t="s">
        <v>32</v>
      </c>
      <c r="D414" s="1">
        <v>45944</v>
      </c>
      <c r="E414" s="1">
        <v>45949</v>
      </c>
      <c r="F414" s="1">
        <v>45954</v>
      </c>
      <c r="G414" s="1">
        <v>45958</v>
      </c>
      <c r="H414" t="s">
        <v>18</v>
      </c>
      <c r="I414" t="s">
        <v>19</v>
      </c>
      <c r="J414" s="1">
        <v>45969</v>
      </c>
      <c r="K414">
        <v>5</v>
      </c>
      <c r="L414">
        <v>5</v>
      </c>
      <c r="M414">
        <v>4</v>
      </c>
      <c r="N414">
        <v>7</v>
      </c>
      <c r="O414">
        <v>14</v>
      </c>
      <c r="P414" t="b">
        <f>IF(EPe_BA_intern_assesment_Raw_data___Sheet13[[#This Row],[Customer Rating]]&gt;8,EPe_BA_intern_assesment_Raw_data___Sheet13[[#This Row],[Customer Rating]])</f>
        <v>0</v>
      </c>
      <c r="Q414">
        <f>IF(AND(EPe_BA_intern_assesment_Raw_data___Sheet13[[#This Row],[Customer Rating]]&gt;6,EPe_BA_intern_assesment_Raw_data___Sheet13[[#This Row],[Customer Rating]]&lt;9), EPe_BA_intern_assesment_Raw_data___Sheet13[[#This Row],[Customer Rating]], "")</f>
        <v>7</v>
      </c>
      <c r="R414" t="b">
        <f>IF(EPe_BA_intern_assesment_Raw_data___Sheet13[[#This Row],[Customer Rating]]&lt;7,EPe_BA_intern_assesment_Raw_data___Sheet13[[#This Row],[Customer Rating]])</f>
        <v>0</v>
      </c>
    </row>
    <row r="415" spans="1:18" x14ac:dyDescent="0.3">
      <c r="A415" t="s">
        <v>443</v>
      </c>
      <c r="B415" t="s">
        <v>34</v>
      </c>
      <c r="C415" t="s">
        <v>32</v>
      </c>
      <c r="D415" s="1">
        <v>45933</v>
      </c>
      <c r="E415" s="1">
        <v>45935</v>
      </c>
      <c r="F415" s="1">
        <v>45937</v>
      </c>
      <c r="G415" s="1">
        <v>45944</v>
      </c>
      <c r="H415" t="s">
        <v>18</v>
      </c>
      <c r="I415" t="s">
        <v>19</v>
      </c>
      <c r="J415" s="1">
        <v>45969</v>
      </c>
      <c r="K415">
        <v>2</v>
      </c>
      <c r="L415">
        <v>2</v>
      </c>
      <c r="M415">
        <v>7</v>
      </c>
      <c r="N415">
        <v>3</v>
      </c>
      <c r="O415">
        <v>11</v>
      </c>
      <c r="P415" t="b">
        <f>IF(EPe_BA_intern_assesment_Raw_data___Sheet13[[#This Row],[Customer Rating]]&gt;8,EPe_BA_intern_assesment_Raw_data___Sheet13[[#This Row],[Customer Rating]])</f>
        <v>0</v>
      </c>
      <c r="Q415" t="str">
        <f>IF(AND(EPe_BA_intern_assesment_Raw_data___Sheet13[[#This Row],[Customer Rating]]&gt;6,EPe_BA_intern_assesment_Raw_data___Sheet13[[#This Row],[Customer Rating]]&lt;9), EPe_BA_intern_assesment_Raw_data___Sheet13[[#This Row],[Customer Rating]], "")</f>
        <v/>
      </c>
      <c r="R415">
        <f>IF(EPe_BA_intern_assesment_Raw_data___Sheet13[[#This Row],[Customer Rating]]&lt;7,EPe_BA_intern_assesment_Raw_data___Sheet13[[#This Row],[Customer Rating]])</f>
        <v>3</v>
      </c>
    </row>
    <row r="416" spans="1:18" x14ac:dyDescent="0.3">
      <c r="A416" t="s">
        <v>444</v>
      </c>
      <c r="B416" t="s">
        <v>21</v>
      </c>
      <c r="C416" t="s">
        <v>32</v>
      </c>
      <c r="D416" s="1">
        <v>45938</v>
      </c>
      <c r="E416" s="1">
        <v>45941</v>
      </c>
      <c r="F416" s="1">
        <v>45942</v>
      </c>
      <c r="G416" s="1">
        <v>45945</v>
      </c>
      <c r="H416" t="s">
        <v>25</v>
      </c>
      <c r="I416" t="s">
        <v>103</v>
      </c>
      <c r="J416" s="1"/>
      <c r="K416">
        <v>3</v>
      </c>
      <c r="L416">
        <v>1</v>
      </c>
      <c r="M416">
        <v>3</v>
      </c>
      <c r="O416">
        <v>7</v>
      </c>
      <c r="P416" t="b">
        <f>IF(EPe_BA_intern_assesment_Raw_data___Sheet13[[#This Row],[Customer Rating]]&gt;8,EPe_BA_intern_assesment_Raw_data___Sheet13[[#This Row],[Customer Rating]])</f>
        <v>0</v>
      </c>
      <c r="Q416" t="str">
        <f>IF(AND(EPe_BA_intern_assesment_Raw_data___Sheet13[[#This Row],[Customer Rating]]&gt;6,EPe_BA_intern_assesment_Raw_data___Sheet13[[#This Row],[Customer Rating]]&lt;9), EPe_BA_intern_assesment_Raw_data___Sheet13[[#This Row],[Customer Rating]], "")</f>
        <v/>
      </c>
      <c r="R416">
        <f>IF(EPe_BA_intern_assesment_Raw_data___Sheet13[[#This Row],[Customer Rating]]&lt;7,EPe_BA_intern_assesment_Raw_data___Sheet13[[#This Row],[Customer Rating]])</f>
        <v>0</v>
      </c>
    </row>
    <row r="417" spans="1:18" x14ac:dyDescent="0.3">
      <c r="A417" t="s">
        <v>445</v>
      </c>
      <c r="B417" t="s">
        <v>23</v>
      </c>
      <c r="C417" t="s">
        <v>32</v>
      </c>
      <c r="D417" s="1">
        <v>45957</v>
      </c>
      <c r="E417" s="1">
        <v>45961</v>
      </c>
      <c r="F417" s="1">
        <v>45963</v>
      </c>
      <c r="G417" s="1">
        <v>45970</v>
      </c>
      <c r="H417" t="s">
        <v>18</v>
      </c>
      <c r="I417" t="s">
        <v>19</v>
      </c>
      <c r="J417" s="1">
        <v>45988</v>
      </c>
      <c r="K417">
        <v>4</v>
      </c>
      <c r="L417">
        <v>2</v>
      </c>
      <c r="M417">
        <v>7</v>
      </c>
      <c r="N417">
        <v>0</v>
      </c>
      <c r="O417">
        <v>13</v>
      </c>
      <c r="P417" t="b">
        <f>IF(EPe_BA_intern_assesment_Raw_data___Sheet13[[#This Row],[Customer Rating]]&gt;8,EPe_BA_intern_assesment_Raw_data___Sheet13[[#This Row],[Customer Rating]])</f>
        <v>0</v>
      </c>
      <c r="Q417" t="str">
        <f>IF(AND(EPe_BA_intern_assesment_Raw_data___Sheet13[[#This Row],[Customer Rating]]&gt;6,EPe_BA_intern_assesment_Raw_data___Sheet13[[#This Row],[Customer Rating]]&lt;9), EPe_BA_intern_assesment_Raw_data___Sheet13[[#This Row],[Customer Rating]], "")</f>
        <v/>
      </c>
      <c r="R417">
        <f>IF(EPe_BA_intern_assesment_Raw_data___Sheet13[[#This Row],[Customer Rating]]&lt;7,EPe_BA_intern_assesment_Raw_data___Sheet13[[#This Row],[Customer Rating]])</f>
        <v>0</v>
      </c>
    </row>
    <row r="418" spans="1:18" x14ac:dyDescent="0.3">
      <c r="A418" t="s">
        <v>446</v>
      </c>
      <c r="B418" t="s">
        <v>23</v>
      </c>
      <c r="C418" t="s">
        <v>17</v>
      </c>
      <c r="D418" s="1">
        <v>45960</v>
      </c>
      <c r="E418" s="1">
        <v>45962</v>
      </c>
      <c r="F418" s="1">
        <v>45967</v>
      </c>
      <c r="G418" s="1">
        <v>45974</v>
      </c>
      <c r="H418" t="s">
        <v>18</v>
      </c>
      <c r="I418" t="s">
        <v>19</v>
      </c>
      <c r="J418" s="1">
        <v>45995</v>
      </c>
      <c r="K418">
        <v>2</v>
      </c>
      <c r="L418">
        <v>5</v>
      </c>
      <c r="M418">
        <v>7</v>
      </c>
      <c r="N418">
        <v>4</v>
      </c>
      <c r="O418">
        <v>14</v>
      </c>
      <c r="P418" t="b">
        <f>IF(EPe_BA_intern_assesment_Raw_data___Sheet13[[#This Row],[Customer Rating]]&gt;8,EPe_BA_intern_assesment_Raw_data___Sheet13[[#This Row],[Customer Rating]])</f>
        <v>0</v>
      </c>
      <c r="Q418" t="str">
        <f>IF(AND(EPe_BA_intern_assesment_Raw_data___Sheet13[[#This Row],[Customer Rating]]&gt;6,EPe_BA_intern_assesment_Raw_data___Sheet13[[#This Row],[Customer Rating]]&lt;9), EPe_BA_intern_assesment_Raw_data___Sheet13[[#This Row],[Customer Rating]], "")</f>
        <v/>
      </c>
      <c r="R418">
        <f>IF(EPe_BA_intern_assesment_Raw_data___Sheet13[[#This Row],[Customer Rating]]&lt;7,EPe_BA_intern_assesment_Raw_data___Sheet13[[#This Row],[Customer Rating]])</f>
        <v>4</v>
      </c>
    </row>
    <row r="419" spans="1:18" x14ac:dyDescent="0.3">
      <c r="A419" t="s">
        <v>447</v>
      </c>
      <c r="B419" t="s">
        <v>21</v>
      </c>
      <c r="C419" t="s">
        <v>17</v>
      </c>
      <c r="D419" s="1">
        <v>45934</v>
      </c>
      <c r="E419" s="1">
        <v>45937</v>
      </c>
      <c r="F419" s="1">
        <v>45940</v>
      </c>
      <c r="G419" s="1">
        <v>45943</v>
      </c>
      <c r="H419" t="s">
        <v>18</v>
      </c>
      <c r="I419" t="s">
        <v>19</v>
      </c>
      <c r="J419" s="1">
        <v>45953</v>
      </c>
      <c r="K419">
        <v>3</v>
      </c>
      <c r="L419">
        <v>3</v>
      </c>
      <c r="M419">
        <v>3</v>
      </c>
      <c r="N419">
        <v>10</v>
      </c>
      <c r="O419">
        <v>9</v>
      </c>
      <c r="P419">
        <f>IF(EPe_BA_intern_assesment_Raw_data___Sheet13[[#This Row],[Customer Rating]]&gt;8,EPe_BA_intern_assesment_Raw_data___Sheet13[[#This Row],[Customer Rating]])</f>
        <v>10</v>
      </c>
      <c r="Q419" t="str">
        <f>IF(AND(EPe_BA_intern_assesment_Raw_data___Sheet13[[#This Row],[Customer Rating]]&gt;6,EPe_BA_intern_assesment_Raw_data___Sheet13[[#This Row],[Customer Rating]]&lt;9), EPe_BA_intern_assesment_Raw_data___Sheet13[[#This Row],[Customer Rating]], "")</f>
        <v/>
      </c>
      <c r="R419" t="b">
        <f>IF(EPe_BA_intern_assesment_Raw_data___Sheet13[[#This Row],[Customer Rating]]&lt;7,EPe_BA_intern_assesment_Raw_data___Sheet13[[#This Row],[Customer Rating]])</f>
        <v>0</v>
      </c>
    </row>
    <row r="420" spans="1:18" x14ac:dyDescent="0.3">
      <c r="A420" t="s">
        <v>448</v>
      </c>
      <c r="B420" t="s">
        <v>23</v>
      </c>
      <c r="C420" t="s">
        <v>17</v>
      </c>
      <c r="D420" s="1">
        <v>45945</v>
      </c>
      <c r="E420" s="1">
        <v>45950</v>
      </c>
      <c r="F420" s="1">
        <v>45952</v>
      </c>
      <c r="G420" s="1">
        <v>45957</v>
      </c>
      <c r="H420" t="s">
        <v>18</v>
      </c>
      <c r="I420" t="s">
        <v>19</v>
      </c>
      <c r="J420" s="1">
        <v>45977</v>
      </c>
      <c r="K420">
        <v>5</v>
      </c>
      <c r="L420">
        <v>2</v>
      </c>
      <c r="M420">
        <v>5</v>
      </c>
      <c r="N420">
        <v>9</v>
      </c>
      <c r="O420">
        <v>12</v>
      </c>
      <c r="P420">
        <f>IF(EPe_BA_intern_assesment_Raw_data___Sheet13[[#This Row],[Customer Rating]]&gt;8,EPe_BA_intern_assesment_Raw_data___Sheet13[[#This Row],[Customer Rating]])</f>
        <v>9</v>
      </c>
      <c r="Q420" t="str">
        <f>IF(AND(EPe_BA_intern_assesment_Raw_data___Sheet13[[#This Row],[Customer Rating]]&gt;6,EPe_BA_intern_assesment_Raw_data___Sheet13[[#This Row],[Customer Rating]]&lt;9), EPe_BA_intern_assesment_Raw_data___Sheet13[[#This Row],[Customer Rating]], "")</f>
        <v/>
      </c>
      <c r="R420" t="b">
        <f>IF(EPe_BA_intern_assesment_Raw_data___Sheet13[[#This Row],[Customer Rating]]&lt;7,EPe_BA_intern_assesment_Raw_data___Sheet13[[#This Row],[Customer Rating]])</f>
        <v>0</v>
      </c>
    </row>
    <row r="421" spans="1:18" x14ac:dyDescent="0.3">
      <c r="A421" t="s">
        <v>449</v>
      </c>
      <c r="B421" t="s">
        <v>16</v>
      </c>
      <c r="C421" t="s">
        <v>17</v>
      </c>
      <c r="D421" s="1">
        <v>45961</v>
      </c>
      <c r="E421" s="1">
        <v>45965</v>
      </c>
      <c r="F421" s="1">
        <v>45970</v>
      </c>
      <c r="G421" s="1">
        <v>45976</v>
      </c>
      <c r="H421" t="s">
        <v>18</v>
      </c>
      <c r="I421" t="s">
        <v>19</v>
      </c>
      <c r="J421" s="1">
        <v>45995</v>
      </c>
      <c r="K421">
        <v>4</v>
      </c>
      <c r="L421">
        <v>5</v>
      </c>
      <c r="M421">
        <v>6</v>
      </c>
      <c r="N421">
        <v>5</v>
      </c>
      <c r="O421">
        <v>15</v>
      </c>
      <c r="P421" t="b">
        <f>IF(EPe_BA_intern_assesment_Raw_data___Sheet13[[#This Row],[Customer Rating]]&gt;8,EPe_BA_intern_assesment_Raw_data___Sheet13[[#This Row],[Customer Rating]])</f>
        <v>0</v>
      </c>
      <c r="Q421" t="str">
        <f>IF(AND(EPe_BA_intern_assesment_Raw_data___Sheet13[[#This Row],[Customer Rating]]&gt;6,EPe_BA_intern_assesment_Raw_data___Sheet13[[#This Row],[Customer Rating]]&lt;9), EPe_BA_intern_assesment_Raw_data___Sheet13[[#This Row],[Customer Rating]], "")</f>
        <v/>
      </c>
      <c r="R421">
        <f>IF(EPe_BA_intern_assesment_Raw_data___Sheet13[[#This Row],[Customer Rating]]&lt;7,EPe_BA_intern_assesment_Raw_data___Sheet13[[#This Row],[Customer Rating]])</f>
        <v>5</v>
      </c>
    </row>
    <row r="422" spans="1:18" x14ac:dyDescent="0.3">
      <c r="A422" t="s">
        <v>450</v>
      </c>
      <c r="B422" t="s">
        <v>16</v>
      </c>
      <c r="C422" t="s">
        <v>17</v>
      </c>
      <c r="D422" s="1">
        <v>45934</v>
      </c>
      <c r="E422" s="1">
        <v>45938</v>
      </c>
      <c r="F422" s="1">
        <v>45941</v>
      </c>
      <c r="G422" s="1">
        <v>45948</v>
      </c>
      <c r="H422" t="s">
        <v>18</v>
      </c>
      <c r="I422" t="s">
        <v>19</v>
      </c>
      <c r="J422" s="1">
        <v>45967</v>
      </c>
      <c r="K422">
        <v>4</v>
      </c>
      <c r="L422">
        <v>3</v>
      </c>
      <c r="M422">
        <v>7</v>
      </c>
      <c r="N422">
        <v>1</v>
      </c>
      <c r="O422">
        <v>14</v>
      </c>
      <c r="P422" t="b">
        <f>IF(EPe_BA_intern_assesment_Raw_data___Sheet13[[#This Row],[Customer Rating]]&gt;8,EPe_BA_intern_assesment_Raw_data___Sheet13[[#This Row],[Customer Rating]])</f>
        <v>0</v>
      </c>
      <c r="Q422" t="str">
        <f>IF(AND(EPe_BA_intern_assesment_Raw_data___Sheet13[[#This Row],[Customer Rating]]&gt;6,EPe_BA_intern_assesment_Raw_data___Sheet13[[#This Row],[Customer Rating]]&lt;9), EPe_BA_intern_assesment_Raw_data___Sheet13[[#This Row],[Customer Rating]], "")</f>
        <v/>
      </c>
      <c r="R422">
        <f>IF(EPe_BA_intern_assesment_Raw_data___Sheet13[[#This Row],[Customer Rating]]&lt;7,EPe_BA_intern_assesment_Raw_data___Sheet13[[#This Row],[Customer Rating]])</f>
        <v>1</v>
      </c>
    </row>
    <row r="423" spans="1:18" x14ac:dyDescent="0.3">
      <c r="A423" t="s">
        <v>451</v>
      </c>
      <c r="B423" t="s">
        <v>21</v>
      </c>
      <c r="C423" t="s">
        <v>32</v>
      </c>
      <c r="D423" s="1">
        <v>45951</v>
      </c>
      <c r="E423" s="1">
        <v>45954</v>
      </c>
      <c r="F423" s="1">
        <v>45959</v>
      </c>
      <c r="G423" s="1">
        <v>45964</v>
      </c>
      <c r="H423" t="s">
        <v>18</v>
      </c>
      <c r="I423" t="s">
        <v>19</v>
      </c>
      <c r="J423" s="1">
        <v>45982</v>
      </c>
      <c r="K423">
        <v>3</v>
      </c>
      <c r="L423">
        <v>5</v>
      </c>
      <c r="M423">
        <v>5</v>
      </c>
      <c r="N423">
        <v>7</v>
      </c>
      <c r="O423">
        <v>13</v>
      </c>
      <c r="P423" t="b">
        <f>IF(EPe_BA_intern_assesment_Raw_data___Sheet13[[#This Row],[Customer Rating]]&gt;8,EPe_BA_intern_assesment_Raw_data___Sheet13[[#This Row],[Customer Rating]])</f>
        <v>0</v>
      </c>
      <c r="Q423">
        <f>IF(AND(EPe_BA_intern_assesment_Raw_data___Sheet13[[#This Row],[Customer Rating]]&gt;6,EPe_BA_intern_assesment_Raw_data___Sheet13[[#This Row],[Customer Rating]]&lt;9), EPe_BA_intern_assesment_Raw_data___Sheet13[[#This Row],[Customer Rating]], "")</f>
        <v>7</v>
      </c>
      <c r="R423" t="b">
        <f>IF(EPe_BA_intern_assesment_Raw_data___Sheet13[[#This Row],[Customer Rating]]&lt;7,EPe_BA_intern_assesment_Raw_data___Sheet13[[#This Row],[Customer Rating]])</f>
        <v>0</v>
      </c>
    </row>
    <row r="424" spans="1:18" x14ac:dyDescent="0.3">
      <c r="A424" t="s">
        <v>452</v>
      </c>
      <c r="B424" t="s">
        <v>34</v>
      </c>
      <c r="C424" t="s">
        <v>17</v>
      </c>
      <c r="D424" s="1">
        <v>45957</v>
      </c>
      <c r="E424" s="1">
        <v>45961</v>
      </c>
      <c r="F424" s="1">
        <v>45966</v>
      </c>
      <c r="G424" s="1">
        <v>45969</v>
      </c>
      <c r="H424" t="s">
        <v>18</v>
      </c>
      <c r="I424" t="s">
        <v>19</v>
      </c>
      <c r="J424" s="1">
        <v>45994</v>
      </c>
      <c r="K424">
        <v>4</v>
      </c>
      <c r="L424">
        <v>5</v>
      </c>
      <c r="M424">
        <v>3</v>
      </c>
      <c r="N424">
        <v>2</v>
      </c>
      <c r="O424">
        <v>12</v>
      </c>
      <c r="P424" t="b">
        <f>IF(EPe_BA_intern_assesment_Raw_data___Sheet13[[#This Row],[Customer Rating]]&gt;8,EPe_BA_intern_assesment_Raw_data___Sheet13[[#This Row],[Customer Rating]])</f>
        <v>0</v>
      </c>
      <c r="Q424" t="str">
        <f>IF(AND(EPe_BA_intern_assesment_Raw_data___Sheet13[[#This Row],[Customer Rating]]&gt;6,EPe_BA_intern_assesment_Raw_data___Sheet13[[#This Row],[Customer Rating]]&lt;9), EPe_BA_intern_assesment_Raw_data___Sheet13[[#This Row],[Customer Rating]], "")</f>
        <v/>
      </c>
      <c r="R424">
        <f>IF(EPe_BA_intern_assesment_Raw_data___Sheet13[[#This Row],[Customer Rating]]&lt;7,EPe_BA_intern_assesment_Raw_data___Sheet13[[#This Row],[Customer Rating]])</f>
        <v>2</v>
      </c>
    </row>
    <row r="425" spans="1:18" x14ac:dyDescent="0.3">
      <c r="A425" t="s">
        <v>453</v>
      </c>
      <c r="B425" t="s">
        <v>34</v>
      </c>
      <c r="C425" t="s">
        <v>24</v>
      </c>
      <c r="D425" s="1">
        <v>45935</v>
      </c>
      <c r="E425" s="1"/>
      <c r="F425" s="1"/>
      <c r="G425" s="1"/>
      <c r="H425" t="s">
        <v>25</v>
      </c>
      <c r="I425" t="s">
        <v>103</v>
      </c>
      <c r="J425" s="1"/>
      <c r="P425" t="b">
        <f>IF(EPe_BA_intern_assesment_Raw_data___Sheet13[[#This Row],[Customer Rating]]&gt;8,EPe_BA_intern_assesment_Raw_data___Sheet13[[#This Row],[Customer Rating]])</f>
        <v>0</v>
      </c>
      <c r="Q425" t="str">
        <f>IF(AND(EPe_BA_intern_assesment_Raw_data___Sheet13[[#This Row],[Customer Rating]]&gt;6,EPe_BA_intern_assesment_Raw_data___Sheet13[[#This Row],[Customer Rating]]&lt;9), EPe_BA_intern_assesment_Raw_data___Sheet13[[#This Row],[Customer Rating]], "")</f>
        <v/>
      </c>
      <c r="R425">
        <f>IF(EPe_BA_intern_assesment_Raw_data___Sheet13[[#This Row],[Customer Rating]]&lt;7,EPe_BA_intern_assesment_Raw_data___Sheet13[[#This Row],[Customer Rating]])</f>
        <v>0</v>
      </c>
    </row>
    <row r="426" spans="1:18" x14ac:dyDescent="0.3">
      <c r="A426" t="s">
        <v>454</v>
      </c>
      <c r="B426" t="s">
        <v>21</v>
      </c>
      <c r="C426" t="s">
        <v>17</v>
      </c>
      <c r="D426" s="1">
        <v>45946</v>
      </c>
      <c r="E426" s="1">
        <v>45951</v>
      </c>
      <c r="F426" s="1">
        <v>45954</v>
      </c>
      <c r="G426" s="1">
        <v>45956</v>
      </c>
      <c r="H426" t="s">
        <v>18</v>
      </c>
      <c r="I426" t="s">
        <v>19</v>
      </c>
      <c r="J426" s="1">
        <v>45969</v>
      </c>
      <c r="K426">
        <v>5</v>
      </c>
      <c r="L426">
        <v>3</v>
      </c>
      <c r="M426">
        <v>2</v>
      </c>
      <c r="N426">
        <v>3</v>
      </c>
      <c r="O426">
        <v>10</v>
      </c>
      <c r="P426" t="b">
        <f>IF(EPe_BA_intern_assesment_Raw_data___Sheet13[[#This Row],[Customer Rating]]&gt;8,EPe_BA_intern_assesment_Raw_data___Sheet13[[#This Row],[Customer Rating]])</f>
        <v>0</v>
      </c>
      <c r="Q426" t="str">
        <f>IF(AND(EPe_BA_intern_assesment_Raw_data___Sheet13[[#This Row],[Customer Rating]]&gt;6,EPe_BA_intern_assesment_Raw_data___Sheet13[[#This Row],[Customer Rating]]&lt;9), EPe_BA_intern_assesment_Raw_data___Sheet13[[#This Row],[Customer Rating]], "")</f>
        <v/>
      </c>
      <c r="R426">
        <f>IF(EPe_BA_intern_assesment_Raw_data___Sheet13[[#This Row],[Customer Rating]]&lt;7,EPe_BA_intern_assesment_Raw_data___Sheet13[[#This Row],[Customer Rating]])</f>
        <v>3</v>
      </c>
    </row>
    <row r="427" spans="1:18" x14ac:dyDescent="0.3">
      <c r="A427" t="s">
        <v>455</v>
      </c>
      <c r="B427" t="s">
        <v>21</v>
      </c>
      <c r="C427" t="s">
        <v>32</v>
      </c>
      <c r="D427" s="1">
        <v>45960</v>
      </c>
      <c r="E427" s="1">
        <v>45965</v>
      </c>
      <c r="F427" s="1">
        <v>45967</v>
      </c>
      <c r="G427" s="1">
        <v>45969</v>
      </c>
      <c r="H427" t="s">
        <v>18</v>
      </c>
      <c r="I427" t="s">
        <v>19</v>
      </c>
      <c r="J427" s="1">
        <v>45986</v>
      </c>
      <c r="K427">
        <v>5</v>
      </c>
      <c r="L427">
        <v>2</v>
      </c>
      <c r="M427">
        <v>2</v>
      </c>
      <c r="N427">
        <v>3</v>
      </c>
      <c r="O427">
        <v>9</v>
      </c>
      <c r="P427" t="b">
        <f>IF(EPe_BA_intern_assesment_Raw_data___Sheet13[[#This Row],[Customer Rating]]&gt;8,EPe_BA_intern_assesment_Raw_data___Sheet13[[#This Row],[Customer Rating]])</f>
        <v>0</v>
      </c>
      <c r="Q427" t="str">
        <f>IF(AND(EPe_BA_intern_assesment_Raw_data___Sheet13[[#This Row],[Customer Rating]]&gt;6,EPe_BA_intern_assesment_Raw_data___Sheet13[[#This Row],[Customer Rating]]&lt;9), EPe_BA_intern_assesment_Raw_data___Sheet13[[#This Row],[Customer Rating]], "")</f>
        <v/>
      </c>
      <c r="R427">
        <f>IF(EPe_BA_intern_assesment_Raw_data___Sheet13[[#This Row],[Customer Rating]]&lt;7,EPe_BA_intern_assesment_Raw_data___Sheet13[[#This Row],[Customer Rating]])</f>
        <v>3</v>
      </c>
    </row>
    <row r="428" spans="1:18" x14ac:dyDescent="0.3">
      <c r="A428" t="s">
        <v>456</v>
      </c>
      <c r="B428" t="s">
        <v>16</v>
      </c>
      <c r="C428" t="s">
        <v>17</v>
      </c>
      <c r="D428" s="1">
        <v>45953</v>
      </c>
      <c r="E428" s="1">
        <v>45957</v>
      </c>
      <c r="F428" s="1">
        <v>45960</v>
      </c>
      <c r="G428" s="1">
        <v>45963</v>
      </c>
      <c r="H428" t="s">
        <v>18</v>
      </c>
      <c r="I428" t="s">
        <v>19</v>
      </c>
      <c r="J428" s="1">
        <v>45977</v>
      </c>
      <c r="K428">
        <v>4</v>
      </c>
      <c r="L428">
        <v>3</v>
      </c>
      <c r="M428">
        <v>3</v>
      </c>
      <c r="N428">
        <v>6</v>
      </c>
      <c r="O428">
        <v>10</v>
      </c>
      <c r="P428" t="b">
        <f>IF(EPe_BA_intern_assesment_Raw_data___Sheet13[[#This Row],[Customer Rating]]&gt;8,EPe_BA_intern_assesment_Raw_data___Sheet13[[#This Row],[Customer Rating]])</f>
        <v>0</v>
      </c>
      <c r="Q428" t="str">
        <f>IF(AND(EPe_BA_intern_assesment_Raw_data___Sheet13[[#This Row],[Customer Rating]]&gt;6,EPe_BA_intern_assesment_Raw_data___Sheet13[[#This Row],[Customer Rating]]&lt;9), EPe_BA_intern_assesment_Raw_data___Sheet13[[#This Row],[Customer Rating]], "")</f>
        <v/>
      </c>
      <c r="R428">
        <f>IF(EPe_BA_intern_assesment_Raw_data___Sheet13[[#This Row],[Customer Rating]]&lt;7,EPe_BA_intern_assesment_Raw_data___Sheet13[[#This Row],[Customer Rating]])</f>
        <v>6</v>
      </c>
    </row>
    <row r="429" spans="1:18" x14ac:dyDescent="0.3">
      <c r="A429" t="s">
        <v>457</v>
      </c>
      <c r="B429" t="s">
        <v>34</v>
      </c>
      <c r="C429" t="s">
        <v>17</v>
      </c>
      <c r="D429" s="1">
        <v>45940</v>
      </c>
      <c r="E429" s="1">
        <v>45942</v>
      </c>
      <c r="F429" s="1">
        <v>45944</v>
      </c>
      <c r="G429" s="1">
        <v>45946</v>
      </c>
      <c r="H429" t="s">
        <v>18</v>
      </c>
      <c r="I429" t="s">
        <v>19</v>
      </c>
      <c r="J429" s="1">
        <v>45965</v>
      </c>
      <c r="K429">
        <v>2</v>
      </c>
      <c r="L429">
        <v>2</v>
      </c>
      <c r="M429">
        <v>2</v>
      </c>
      <c r="N429">
        <v>7</v>
      </c>
      <c r="O429">
        <v>6</v>
      </c>
      <c r="P429" t="b">
        <f>IF(EPe_BA_intern_assesment_Raw_data___Sheet13[[#This Row],[Customer Rating]]&gt;8,EPe_BA_intern_assesment_Raw_data___Sheet13[[#This Row],[Customer Rating]])</f>
        <v>0</v>
      </c>
      <c r="Q429">
        <f>IF(AND(EPe_BA_intern_assesment_Raw_data___Sheet13[[#This Row],[Customer Rating]]&gt;6,EPe_BA_intern_assesment_Raw_data___Sheet13[[#This Row],[Customer Rating]]&lt;9), EPe_BA_intern_assesment_Raw_data___Sheet13[[#This Row],[Customer Rating]], "")</f>
        <v>7</v>
      </c>
      <c r="R429" t="b">
        <f>IF(EPe_BA_intern_assesment_Raw_data___Sheet13[[#This Row],[Customer Rating]]&lt;7,EPe_BA_intern_assesment_Raw_data___Sheet13[[#This Row],[Customer Rating]])</f>
        <v>0</v>
      </c>
    </row>
    <row r="430" spans="1:18" x14ac:dyDescent="0.3">
      <c r="A430" t="s">
        <v>458</v>
      </c>
      <c r="B430" t="s">
        <v>23</v>
      </c>
      <c r="C430" t="s">
        <v>17</v>
      </c>
      <c r="D430" s="1">
        <v>45947</v>
      </c>
      <c r="E430" s="1">
        <v>45949</v>
      </c>
      <c r="F430" s="1">
        <v>45954</v>
      </c>
      <c r="G430" s="1">
        <v>45960</v>
      </c>
      <c r="H430" t="s">
        <v>18</v>
      </c>
      <c r="I430" t="s">
        <v>19</v>
      </c>
      <c r="J430" s="1">
        <v>45984</v>
      </c>
      <c r="K430">
        <v>2</v>
      </c>
      <c r="L430">
        <v>5</v>
      </c>
      <c r="M430">
        <v>6</v>
      </c>
      <c r="N430">
        <v>8</v>
      </c>
      <c r="O430">
        <v>13</v>
      </c>
      <c r="P430" t="b">
        <f>IF(EPe_BA_intern_assesment_Raw_data___Sheet13[[#This Row],[Customer Rating]]&gt;8,EPe_BA_intern_assesment_Raw_data___Sheet13[[#This Row],[Customer Rating]])</f>
        <v>0</v>
      </c>
      <c r="Q430">
        <f>IF(AND(EPe_BA_intern_assesment_Raw_data___Sheet13[[#This Row],[Customer Rating]]&gt;6,EPe_BA_intern_assesment_Raw_data___Sheet13[[#This Row],[Customer Rating]]&lt;9), EPe_BA_intern_assesment_Raw_data___Sheet13[[#This Row],[Customer Rating]], "")</f>
        <v>8</v>
      </c>
      <c r="R430" t="b">
        <f>IF(EPe_BA_intern_assesment_Raw_data___Sheet13[[#This Row],[Customer Rating]]&lt;7,EPe_BA_intern_assesment_Raw_data___Sheet13[[#This Row],[Customer Rating]])</f>
        <v>0</v>
      </c>
    </row>
    <row r="431" spans="1:18" x14ac:dyDescent="0.3">
      <c r="A431" t="s">
        <v>459</v>
      </c>
      <c r="B431" t="s">
        <v>16</v>
      </c>
      <c r="C431" t="s">
        <v>32</v>
      </c>
      <c r="D431" s="1">
        <v>45953</v>
      </c>
      <c r="E431" s="1">
        <v>45958</v>
      </c>
      <c r="F431" s="1">
        <v>45960</v>
      </c>
      <c r="G431" s="1">
        <v>45967</v>
      </c>
      <c r="H431" t="s">
        <v>18</v>
      </c>
      <c r="I431" t="s">
        <v>19</v>
      </c>
      <c r="J431" s="1">
        <v>45987</v>
      </c>
      <c r="K431">
        <v>5</v>
      </c>
      <c r="L431">
        <v>2</v>
      </c>
      <c r="M431">
        <v>7</v>
      </c>
      <c r="N431">
        <v>6</v>
      </c>
      <c r="O431">
        <v>14</v>
      </c>
      <c r="P431" t="b">
        <f>IF(EPe_BA_intern_assesment_Raw_data___Sheet13[[#This Row],[Customer Rating]]&gt;8,EPe_BA_intern_assesment_Raw_data___Sheet13[[#This Row],[Customer Rating]])</f>
        <v>0</v>
      </c>
      <c r="Q431" t="str">
        <f>IF(AND(EPe_BA_intern_assesment_Raw_data___Sheet13[[#This Row],[Customer Rating]]&gt;6,EPe_BA_intern_assesment_Raw_data___Sheet13[[#This Row],[Customer Rating]]&lt;9), EPe_BA_intern_assesment_Raw_data___Sheet13[[#This Row],[Customer Rating]], "")</f>
        <v/>
      </c>
      <c r="R431">
        <f>IF(EPe_BA_intern_assesment_Raw_data___Sheet13[[#This Row],[Customer Rating]]&lt;7,EPe_BA_intern_assesment_Raw_data___Sheet13[[#This Row],[Customer Rating]])</f>
        <v>6</v>
      </c>
    </row>
    <row r="432" spans="1:18" x14ac:dyDescent="0.3">
      <c r="A432" t="s">
        <v>460</v>
      </c>
      <c r="B432" t="s">
        <v>21</v>
      </c>
      <c r="C432" t="s">
        <v>32</v>
      </c>
      <c r="D432" s="1">
        <v>45939</v>
      </c>
      <c r="E432" s="1">
        <v>45941</v>
      </c>
      <c r="F432" s="1">
        <v>45945</v>
      </c>
      <c r="G432" s="1">
        <v>45950</v>
      </c>
      <c r="H432" t="s">
        <v>18</v>
      </c>
      <c r="I432" t="s">
        <v>19</v>
      </c>
      <c r="J432" s="1">
        <v>45968</v>
      </c>
      <c r="K432">
        <v>2</v>
      </c>
      <c r="L432">
        <v>4</v>
      </c>
      <c r="M432">
        <v>5</v>
      </c>
      <c r="N432">
        <v>10</v>
      </c>
      <c r="O432">
        <v>11</v>
      </c>
      <c r="P432">
        <f>IF(EPe_BA_intern_assesment_Raw_data___Sheet13[[#This Row],[Customer Rating]]&gt;8,EPe_BA_intern_assesment_Raw_data___Sheet13[[#This Row],[Customer Rating]])</f>
        <v>10</v>
      </c>
      <c r="Q432" t="str">
        <f>IF(AND(EPe_BA_intern_assesment_Raw_data___Sheet13[[#This Row],[Customer Rating]]&gt;6,EPe_BA_intern_assesment_Raw_data___Sheet13[[#This Row],[Customer Rating]]&lt;9), EPe_BA_intern_assesment_Raw_data___Sheet13[[#This Row],[Customer Rating]], "")</f>
        <v/>
      </c>
      <c r="R432" t="b">
        <f>IF(EPe_BA_intern_assesment_Raw_data___Sheet13[[#This Row],[Customer Rating]]&lt;7,EPe_BA_intern_assesment_Raw_data___Sheet13[[#This Row],[Customer Rating]])</f>
        <v>0</v>
      </c>
    </row>
    <row r="433" spans="1:18" x14ac:dyDescent="0.3">
      <c r="A433" t="s">
        <v>461</v>
      </c>
      <c r="B433" t="s">
        <v>34</v>
      </c>
      <c r="C433" t="s">
        <v>32</v>
      </c>
      <c r="D433" s="1">
        <v>45944</v>
      </c>
      <c r="E433" s="1">
        <v>45947</v>
      </c>
      <c r="F433" s="1">
        <v>45950</v>
      </c>
      <c r="G433" s="1">
        <v>45954</v>
      </c>
      <c r="H433" t="s">
        <v>18</v>
      </c>
      <c r="I433" t="s">
        <v>19</v>
      </c>
      <c r="J433" s="1">
        <v>45977</v>
      </c>
      <c r="K433">
        <v>3</v>
      </c>
      <c r="L433">
        <v>3</v>
      </c>
      <c r="M433">
        <v>4</v>
      </c>
      <c r="N433">
        <v>4</v>
      </c>
      <c r="O433">
        <v>10</v>
      </c>
      <c r="P433" t="b">
        <f>IF(EPe_BA_intern_assesment_Raw_data___Sheet13[[#This Row],[Customer Rating]]&gt;8,EPe_BA_intern_assesment_Raw_data___Sheet13[[#This Row],[Customer Rating]])</f>
        <v>0</v>
      </c>
      <c r="Q433" t="str">
        <f>IF(AND(EPe_BA_intern_assesment_Raw_data___Sheet13[[#This Row],[Customer Rating]]&gt;6,EPe_BA_intern_assesment_Raw_data___Sheet13[[#This Row],[Customer Rating]]&lt;9), EPe_BA_intern_assesment_Raw_data___Sheet13[[#This Row],[Customer Rating]], "")</f>
        <v/>
      </c>
      <c r="R433">
        <f>IF(EPe_BA_intern_assesment_Raw_data___Sheet13[[#This Row],[Customer Rating]]&lt;7,EPe_BA_intern_assesment_Raw_data___Sheet13[[#This Row],[Customer Rating]])</f>
        <v>4</v>
      </c>
    </row>
    <row r="434" spans="1:18" x14ac:dyDescent="0.3">
      <c r="A434" t="s">
        <v>462</v>
      </c>
      <c r="B434" t="s">
        <v>23</v>
      </c>
      <c r="C434" t="s">
        <v>24</v>
      </c>
      <c r="D434" s="1">
        <v>45957</v>
      </c>
      <c r="E434" s="1"/>
      <c r="F434" s="1"/>
      <c r="G434" s="1"/>
      <c r="H434" t="s">
        <v>25</v>
      </c>
      <c r="I434" t="s">
        <v>26</v>
      </c>
      <c r="J434" s="1"/>
      <c r="P434" t="b">
        <f>IF(EPe_BA_intern_assesment_Raw_data___Sheet13[[#This Row],[Customer Rating]]&gt;8,EPe_BA_intern_assesment_Raw_data___Sheet13[[#This Row],[Customer Rating]])</f>
        <v>0</v>
      </c>
      <c r="Q434" t="str">
        <f>IF(AND(EPe_BA_intern_assesment_Raw_data___Sheet13[[#This Row],[Customer Rating]]&gt;6,EPe_BA_intern_assesment_Raw_data___Sheet13[[#This Row],[Customer Rating]]&lt;9), EPe_BA_intern_assesment_Raw_data___Sheet13[[#This Row],[Customer Rating]], "")</f>
        <v/>
      </c>
      <c r="R434">
        <f>IF(EPe_BA_intern_assesment_Raw_data___Sheet13[[#This Row],[Customer Rating]]&lt;7,EPe_BA_intern_assesment_Raw_data___Sheet13[[#This Row],[Customer Rating]])</f>
        <v>0</v>
      </c>
    </row>
    <row r="435" spans="1:18" x14ac:dyDescent="0.3">
      <c r="A435" t="s">
        <v>463</v>
      </c>
      <c r="B435" t="s">
        <v>23</v>
      </c>
      <c r="C435" t="s">
        <v>17</v>
      </c>
      <c r="D435" s="1">
        <v>45946</v>
      </c>
      <c r="E435" s="1">
        <v>45947</v>
      </c>
      <c r="F435" s="1">
        <v>45950</v>
      </c>
      <c r="G435" s="1">
        <v>45955</v>
      </c>
      <c r="H435" t="s">
        <v>18</v>
      </c>
      <c r="I435" t="s">
        <v>19</v>
      </c>
      <c r="J435" s="1">
        <v>45984</v>
      </c>
      <c r="K435">
        <v>1</v>
      </c>
      <c r="L435">
        <v>3</v>
      </c>
      <c r="M435">
        <v>5</v>
      </c>
      <c r="N435">
        <v>1</v>
      </c>
      <c r="O435">
        <v>9</v>
      </c>
      <c r="P435" t="b">
        <f>IF(EPe_BA_intern_assesment_Raw_data___Sheet13[[#This Row],[Customer Rating]]&gt;8,EPe_BA_intern_assesment_Raw_data___Sheet13[[#This Row],[Customer Rating]])</f>
        <v>0</v>
      </c>
      <c r="Q435" t="str">
        <f>IF(AND(EPe_BA_intern_assesment_Raw_data___Sheet13[[#This Row],[Customer Rating]]&gt;6,EPe_BA_intern_assesment_Raw_data___Sheet13[[#This Row],[Customer Rating]]&lt;9), EPe_BA_intern_assesment_Raw_data___Sheet13[[#This Row],[Customer Rating]], "")</f>
        <v/>
      </c>
      <c r="R435">
        <f>IF(EPe_BA_intern_assesment_Raw_data___Sheet13[[#This Row],[Customer Rating]]&lt;7,EPe_BA_intern_assesment_Raw_data___Sheet13[[#This Row],[Customer Rating]])</f>
        <v>1</v>
      </c>
    </row>
    <row r="436" spans="1:18" x14ac:dyDescent="0.3">
      <c r="A436" t="s">
        <v>464</v>
      </c>
      <c r="B436" t="s">
        <v>16</v>
      </c>
      <c r="C436" t="s">
        <v>32</v>
      </c>
      <c r="D436" s="1">
        <v>45946</v>
      </c>
      <c r="E436" s="1">
        <v>45950</v>
      </c>
      <c r="F436" s="1">
        <v>45951</v>
      </c>
      <c r="G436" s="1">
        <v>45955</v>
      </c>
      <c r="H436" t="s">
        <v>18</v>
      </c>
      <c r="I436" t="s">
        <v>19</v>
      </c>
      <c r="J436" s="1">
        <v>45985</v>
      </c>
      <c r="K436">
        <v>4</v>
      </c>
      <c r="L436">
        <v>1</v>
      </c>
      <c r="M436">
        <v>4</v>
      </c>
      <c r="N436">
        <v>3</v>
      </c>
      <c r="O436">
        <v>9</v>
      </c>
      <c r="P436" t="b">
        <f>IF(EPe_BA_intern_assesment_Raw_data___Sheet13[[#This Row],[Customer Rating]]&gt;8,EPe_BA_intern_assesment_Raw_data___Sheet13[[#This Row],[Customer Rating]])</f>
        <v>0</v>
      </c>
      <c r="Q436" t="str">
        <f>IF(AND(EPe_BA_intern_assesment_Raw_data___Sheet13[[#This Row],[Customer Rating]]&gt;6,EPe_BA_intern_assesment_Raw_data___Sheet13[[#This Row],[Customer Rating]]&lt;9), EPe_BA_intern_assesment_Raw_data___Sheet13[[#This Row],[Customer Rating]], "")</f>
        <v/>
      </c>
      <c r="R436">
        <f>IF(EPe_BA_intern_assesment_Raw_data___Sheet13[[#This Row],[Customer Rating]]&lt;7,EPe_BA_intern_assesment_Raw_data___Sheet13[[#This Row],[Customer Rating]])</f>
        <v>3</v>
      </c>
    </row>
    <row r="437" spans="1:18" x14ac:dyDescent="0.3">
      <c r="A437" t="s">
        <v>465</v>
      </c>
      <c r="B437" t="s">
        <v>34</v>
      </c>
      <c r="C437" t="s">
        <v>32</v>
      </c>
      <c r="D437" s="1">
        <v>45938</v>
      </c>
      <c r="E437" s="1">
        <v>45941</v>
      </c>
      <c r="F437" s="1">
        <v>45946</v>
      </c>
      <c r="G437" s="1">
        <v>45949</v>
      </c>
      <c r="H437" t="s">
        <v>18</v>
      </c>
      <c r="I437" t="s">
        <v>19</v>
      </c>
      <c r="J437" s="1">
        <v>45961</v>
      </c>
      <c r="K437">
        <v>3</v>
      </c>
      <c r="L437">
        <v>5</v>
      </c>
      <c r="M437">
        <v>3</v>
      </c>
      <c r="N437">
        <v>7</v>
      </c>
      <c r="O437">
        <v>11</v>
      </c>
      <c r="P437" t="b">
        <f>IF(EPe_BA_intern_assesment_Raw_data___Sheet13[[#This Row],[Customer Rating]]&gt;8,EPe_BA_intern_assesment_Raw_data___Sheet13[[#This Row],[Customer Rating]])</f>
        <v>0</v>
      </c>
      <c r="Q437">
        <f>IF(AND(EPe_BA_intern_assesment_Raw_data___Sheet13[[#This Row],[Customer Rating]]&gt;6,EPe_BA_intern_assesment_Raw_data___Sheet13[[#This Row],[Customer Rating]]&lt;9), EPe_BA_intern_assesment_Raw_data___Sheet13[[#This Row],[Customer Rating]], "")</f>
        <v>7</v>
      </c>
      <c r="R437" t="b">
        <f>IF(EPe_BA_intern_assesment_Raw_data___Sheet13[[#This Row],[Customer Rating]]&lt;7,EPe_BA_intern_assesment_Raw_data___Sheet13[[#This Row],[Customer Rating]])</f>
        <v>0</v>
      </c>
    </row>
    <row r="438" spans="1:18" x14ac:dyDescent="0.3">
      <c r="A438" t="s">
        <v>466</v>
      </c>
      <c r="B438" t="s">
        <v>34</v>
      </c>
      <c r="C438" t="s">
        <v>17</v>
      </c>
      <c r="D438" s="1">
        <v>45945</v>
      </c>
      <c r="E438" s="1">
        <v>45950</v>
      </c>
      <c r="F438" s="1">
        <v>45955</v>
      </c>
      <c r="G438" s="1">
        <v>45958</v>
      </c>
      <c r="H438" t="s">
        <v>18</v>
      </c>
      <c r="I438" t="s">
        <v>19</v>
      </c>
      <c r="J438" s="1">
        <v>45974</v>
      </c>
      <c r="K438">
        <v>5</v>
      </c>
      <c r="L438">
        <v>5</v>
      </c>
      <c r="M438">
        <v>3</v>
      </c>
      <c r="N438">
        <v>3</v>
      </c>
      <c r="O438">
        <v>13</v>
      </c>
      <c r="P438" t="b">
        <f>IF(EPe_BA_intern_assesment_Raw_data___Sheet13[[#This Row],[Customer Rating]]&gt;8,EPe_BA_intern_assesment_Raw_data___Sheet13[[#This Row],[Customer Rating]])</f>
        <v>0</v>
      </c>
      <c r="Q438" t="str">
        <f>IF(AND(EPe_BA_intern_assesment_Raw_data___Sheet13[[#This Row],[Customer Rating]]&gt;6,EPe_BA_intern_assesment_Raw_data___Sheet13[[#This Row],[Customer Rating]]&lt;9), EPe_BA_intern_assesment_Raw_data___Sheet13[[#This Row],[Customer Rating]], "")</f>
        <v/>
      </c>
      <c r="R438">
        <f>IF(EPe_BA_intern_assesment_Raw_data___Sheet13[[#This Row],[Customer Rating]]&lt;7,EPe_BA_intern_assesment_Raw_data___Sheet13[[#This Row],[Customer Rating]])</f>
        <v>3</v>
      </c>
    </row>
    <row r="439" spans="1:18" x14ac:dyDescent="0.3">
      <c r="A439" t="s">
        <v>467</v>
      </c>
      <c r="B439" t="s">
        <v>21</v>
      </c>
      <c r="C439" t="s">
        <v>32</v>
      </c>
      <c r="D439" s="1">
        <v>45948</v>
      </c>
      <c r="E439" s="1">
        <v>45949</v>
      </c>
      <c r="F439" s="1">
        <v>45951</v>
      </c>
      <c r="G439" s="1">
        <v>45955</v>
      </c>
      <c r="H439" t="s">
        <v>18</v>
      </c>
      <c r="I439" t="s">
        <v>19</v>
      </c>
      <c r="J439" s="1">
        <v>45979</v>
      </c>
      <c r="K439">
        <v>1</v>
      </c>
      <c r="L439">
        <v>2</v>
      </c>
      <c r="M439">
        <v>4</v>
      </c>
      <c r="N439">
        <v>8</v>
      </c>
      <c r="O439">
        <v>7</v>
      </c>
      <c r="P439" t="b">
        <f>IF(EPe_BA_intern_assesment_Raw_data___Sheet13[[#This Row],[Customer Rating]]&gt;8,EPe_BA_intern_assesment_Raw_data___Sheet13[[#This Row],[Customer Rating]])</f>
        <v>0</v>
      </c>
      <c r="Q439">
        <f>IF(AND(EPe_BA_intern_assesment_Raw_data___Sheet13[[#This Row],[Customer Rating]]&gt;6,EPe_BA_intern_assesment_Raw_data___Sheet13[[#This Row],[Customer Rating]]&lt;9), EPe_BA_intern_assesment_Raw_data___Sheet13[[#This Row],[Customer Rating]], "")</f>
        <v>8</v>
      </c>
      <c r="R439" t="b">
        <f>IF(EPe_BA_intern_assesment_Raw_data___Sheet13[[#This Row],[Customer Rating]]&lt;7,EPe_BA_intern_assesment_Raw_data___Sheet13[[#This Row],[Customer Rating]])</f>
        <v>0</v>
      </c>
    </row>
    <row r="440" spans="1:18" x14ac:dyDescent="0.3">
      <c r="A440" t="s">
        <v>468</v>
      </c>
      <c r="B440" t="s">
        <v>34</v>
      </c>
      <c r="C440" t="s">
        <v>32</v>
      </c>
      <c r="D440" s="1">
        <v>45935</v>
      </c>
      <c r="E440" s="1">
        <v>45940</v>
      </c>
      <c r="F440" s="1">
        <v>45944</v>
      </c>
      <c r="G440" s="1">
        <v>45951</v>
      </c>
      <c r="H440" t="s">
        <v>18</v>
      </c>
      <c r="I440" t="s">
        <v>19</v>
      </c>
      <c r="J440" s="1">
        <v>45967</v>
      </c>
      <c r="K440">
        <v>5</v>
      </c>
      <c r="L440">
        <v>4</v>
      </c>
      <c r="M440">
        <v>7</v>
      </c>
      <c r="N440">
        <v>7</v>
      </c>
      <c r="O440">
        <v>16</v>
      </c>
      <c r="P440" t="b">
        <f>IF(EPe_BA_intern_assesment_Raw_data___Sheet13[[#This Row],[Customer Rating]]&gt;8,EPe_BA_intern_assesment_Raw_data___Sheet13[[#This Row],[Customer Rating]])</f>
        <v>0</v>
      </c>
      <c r="Q440">
        <f>IF(AND(EPe_BA_intern_assesment_Raw_data___Sheet13[[#This Row],[Customer Rating]]&gt;6,EPe_BA_intern_assesment_Raw_data___Sheet13[[#This Row],[Customer Rating]]&lt;9), EPe_BA_intern_assesment_Raw_data___Sheet13[[#This Row],[Customer Rating]], "")</f>
        <v>7</v>
      </c>
      <c r="R440" t="b">
        <f>IF(EPe_BA_intern_assesment_Raw_data___Sheet13[[#This Row],[Customer Rating]]&lt;7,EPe_BA_intern_assesment_Raw_data___Sheet13[[#This Row],[Customer Rating]])</f>
        <v>0</v>
      </c>
    </row>
    <row r="441" spans="1:18" x14ac:dyDescent="0.3">
      <c r="A441" t="s">
        <v>469</v>
      </c>
      <c r="B441" t="s">
        <v>34</v>
      </c>
      <c r="C441" t="s">
        <v>24</v>
      </c>
      <c r="D441" s="1">
        <v>45943</v>
      </c>
      <c r="E441" s="1"/>
      <c r="F441" s="1"/>
      <c r="G441" s="1"/>
      <c r="H441" t="s">
        <v>25</v>
      </c>
      <c r="I441" t="s">
        <v>103</v>
      </c>
      <c r="J441" s="1"/>
      <c r="P441" t="b">
        <f>IF(EPe_BA_intern_assesment_Raw_data___Sheet13[[#This Row],[Customer Rating]]&gt;8,EPe_BA_intern_assesment_Raw_data___Sheet13[[#This Row],[Customer Rating]])</f>
        <v>0</v>
      </c>
      <c r="Q441" t="str">
        <f>IF(AND(EPe_BA_intern_assesment_Raw_data___Sheet13[[#This Row],[Customer Rating]]&gt;6,EPe_BA_intern_assesment_Raw_data___Sheet13[[#This Row],[Customer Rating]]&lt;9), EPe_BA_intern_assesment_Raw_data___Sheet13[[#This Row],[Customer Rating]], "")</f>
        <v/>
      </c>
      <c r="R441">
        <f>IF(EPe_BA_intern_assesment_Raw_data___Sheet13[[#This Row],[Customer Rating]]&lt;7,EPe_BA_intern_assesment_Raw_data___Sheet13[[#This Row],[Customer Rating]])</f>
        <v>0</v>
      </c>
    </row>
    <row r="442" spans="1:18" x14ac:dyDescent="0.3">
      <c r="A442" t="s">
        <v>470</v>
      </c>
      <c r="B442" t="s">
        <v>16</v>
      </c>
      <c r="C442" t="s">
        <v>32</v>
      </c>
      <c r="D442" s="1">
        <v>45937</v>
      </c>
      <c r="E442" s="1">
        <v>45938</v>
      </c>
      <c r="F442" s="1">
        <v>45943</v>
      </c>
      <c r="G442" s="1">
        <v>45945</v>
      </c>
      <c r="H442" t="s">
        <v>18</v>
      </c>
      <c r="I442" t="s">
        <v>19</v>
      </c>
      <c r="J442" s="1">
        <v>45968</v>
      </c>
      <c r="K442">
        <v>1</v>
      </c>
      <c r="L442">
        <v>5</v>
      </c>
      <c r="M442">
        <v>2</v>
      </c>
      <c r="N442">
        <v>1</v>
      </c>
      <c r="O442">
        <v>8</v>
      </c>
      <c r="P442" t="b">
        <f>IF(EPe_BA_intern_assesment_Raw_data___Sheet13[[#This Row],[Customer Rating]]&gt;8,EPe_BA_intern_assesment_Raw_data___Sheet13[[#This Row],[Customer Rating]])</f>
        <v>0</v>
      </c>
      <c r="Q442" t="str">
        <f>IF(AND(EPe_BA_intern_assesment_Raw_data___Sheet13[[#This Row],[Customer Rating]]&gt;6,EPe_BA_intern_assesment_Raw_data___Sheet13[[#This Row],[Customer Rating]]&lt;9), EPe_BA_intern_assesment_Raw_data___Sheet13[[#This Row],[Customer Rating]], "")</f>
        <v/>
      </c>
      <c r="R442">
        <f>IF(EPe_BA_intern_assesment_Raw_data___Sheet13[[#This Row],[Customer Rating]]&lt;7,EPe_BA_intern_assesment_Raw_data___Sheet13[[#This Row],[Customer Rating]])</f>
        <v>1</v>
      </c>
    </row>
    <row r="443" spans="1:18" x14ac:dyDescent="0.3">
      <c r="A443" t="s">
        <v>471</v>
      </c>
      <c r="B443" t="s">
        <v>34</v>
      </c>
      <c r="C443" t="s">
        <v>17</v>
      </c>
      <c r="D443" s="1">
        <v>45960</v>
      </c>
      <c r="E443" s="1">
        <v>45963</v>
      </c>
      <c r="F443" s="1">
        <v>45967</v>
      </c>
      <c r="G443" s="1">
        <v>45970</v>
      </c>
      <c r="H443" t="s">
        <v>18</v>
      </c>
      <c r="I443" t="s">
        <v>19</v>
      </c>
      <c r="J443" s="1">
        <v>45995</v>
      </c>
      <c r="K443">
        <v>3</v>
      </c>
      <c r="L443">
        <v>4</v>
      </c>
      <c r="M443">
        <v>3</v>
      </c>
      <c r="N443">
        <v>8</v>
      </c>
      <c r="O443">
        <v>10</v>
      </c>
      <c r="P443" t="b">
        <f>IF(EPe_BA_intern_assesment_Raw_data___Sheet13[[#This Row],[Customer Rating]]&gt;8,EPe_BA_intern_assesment_Raw_data___Sheet13[[#This Row],[Customer Rating]])</f>
        <v>0</v>
      </c>
      <c r="Q443">
        <f>IF(AND(EPe_BA_intern_assesment_Raw_data___Sheet13[[#This Row],[Customer Rating]]&gt;6,EPe_BA_intern_assesment_Raw_data___Sheet13[[#This Row],[Customer Rating]]&lt;9), EPe_BA_intern_assesment_Raw_data___Sheet13[[#This Row],[Customer Rating]], "")</f>
        <v>8</v>
      </c>
      <c r="R443" t="b">
        <f>IF(EPe_BA_intern_assesment_Raw_data___Sheet13[[#This Row],[Customer Rating]]&lt;7,EPe_BA_intern_assesment_Raw_data___Sheet13[[#This Row],[Customer Rating]])</f>
        <v>0</v>
      </c>
    </row>
    <row r="444" spans="1:18" x14ac:dyDescent="0.3">
      <c r="A444" t="s">
        <v>472</v>
      </c>
      <c r="B444" t="s">
        <v>23</v>
      </c>
      <c r="C444" t="s">
        <v>24</v>
      </c>
      <c r="D444" s="1">
        <v>45950</v>
      </c>
      <c r="E444" s="1"/>
      <c r="F444" s="1"/>
      <c r="G444" s="1"/>
      <c r="H444" t="s">
        <v>25</v>
      </c>
      <c r="I444" t="s">
        <v>35</v>
      </c>
      <c r="J444" s="1"/>
      <c r="P444" t="b">
        <f>IF(EPe_BA_intern_assesment_Raw_data___Sheet13[[#This Row],[Customer Rating]]&gt;8,EPe_BA_intern_assesment_Raw_data___Sheet13[[#This Row],[Customer Rating]])</f>
        <v>0</v>
      </c>
      <c r="Q444" t="str">
        <f>IF(AND(EPe_BA_intern_assesment_Raw_data___Sheet13[[#This Row],[Customer Rating]]&gt;6,EPe_BA_intern_assesment_Raw_data___Sheet13[[#This Row],[Customer Rating]]&lt;9), EPe_BA_intern_assesment_Raw_data___Sheet13[[#This Row],[Customer Rating]], "")</f>
        <v/>
      </c>
      <c r="R444">
        <f>IF(EPe_BA_intern_assesment_Raw_data___Sheet13[[#This Row],[Customer Rating]]&lt;7,EPe_BA_intern_assesment_Raw_data___Sheet13[[#This Row],[Customer Rating]])</f>
        <v>0</v>
      </c>
    </row>
    <row r="445" spans="1:18" x14ac:dyDescent="0.3">
      <c r="A445" t="s">
        <v>473</v>
      </c>
      <c r="B445" t="s">
        <v>16</v>
      </c>
      <c r="C445" t="s">
        <v>17</v>
      </c>
      <c r="D445" s="1">
        <v>45947</v>
      </c>
      <c r="E445" s="1">
        <v>45948</v>
      </c>
      <c r="F445" s="1">
        <v>45949</v>
      </c>
      <c r="G445" s="1">
        <v>45955</v>
      </c>
      <c r="H445" t="s">
        <v>18</v>
      </c>
      <c r="I445" t="s">
        <v>19</v>
      </c>
      <c r="J445" s="1">
        <v>45981</v>
      </c>
      <c r="K445">
        <v>1</v>
      </c>
      <c r="L445">
        <v>1</v>
      </c>
      <c r="M445">
        <v>6</v>
      </c>
      <c r="N445">
        <v>6</v>
      </c>
      <c r="O445">
        <v>8</v>
      </c>
      <c r="P445" t="b">
        <f>IF(EPe_BA_intern_assesment_Raw_data___Sheet13[[#This Row],[Customer Rating]]&gt;8,EPe_BA_intern_assesment_Raw_data___Sheet13[[#This Row],[Customer Rating]])</f>
        <v>0</v>
      </c>
      <c r="Q445" t="str">
        <f>IF(AND(EPe_BA_intern_assesment_Raw_data___Sheet13[[#This Row],[Customer Rating]]&gt;6,EPe_BA_intern_assesment_Raw_data___Sheet13[[#This Row],[Customer Rating]]&lt;9), EPe_BA_intern_assesment_Raw_data___Sheet13[[#This Row],[Customer Rating]], "")</f>
        <v/>
      </c>
      <c r="R445">
        <f>IF(EPe_BA_intern_assesment_Raw_data___Sheet13[[#This Row],[Customer Rating]]&lt;7,EPe_BA_intern_assesment_Raw_data___Sheet13[[#This Row],[Customer Rating]])</f>
        <v>6</v>
      </c>
    </row>
    <row r="446" spans="1:18" x14ac:dyDescent="0.3">
      <c r="A446" t="s">
        <v>474</v>
      </c>
      <c r="B446" t="s">
        <v>16</v>
      </c>
      <c r="C446" t="s">
        <v>32</v>
      </c>
      <c r="D446" s="1">
        <v>45954</v>
      </c>
      <c r="E446" s="1">
        <v>45956</v>
      </c>
      <c r="F446" s="1">
        <v>45959</v>
      </c>
      <c r="G446" s="1">
        <v>45965</v>
      </c>
      <c r="H446" t="s">
        <v>25</v>
      </c>
      <c r="I446" t="s">
        <v>26</v>
      </c>
      <c r="J446" s="1"/>
      <c r="K446">
        <v>2</v>
      </c>
      <c r="L446">
        <v>3</v>
      </c>
      <c r="M446">
        <v>6</v>
      </c>
      <c r="O446">
        <v>11</v>
      </c>
      <c r="P446" t="b">
        <f>IF(EPe_BA_intern_assesment_Raw_data___Sheet13[[#This Row],[Customer Rating]]&gt;8,EPe_BA_intern_assesment_Raw_data___Sheet13[[#This Row],[Customer Rating]])</f>
        <v>0</v>
      </c>
      <c r="Q446" t="str">
        <f>IF(AND(EPe_BA_intern_assesment_Raw_data___Sheet13[[#This Row],[Customer Rating]]&gt;6,EPe_BA_intern_assesment_Raw_data___Sheet13[[#This Row],[Customer Rating]]&lt;9), EPe_BA_intern_assesment_Raw_data___Sheet13[[#This Row],[Customer Rating]], "")</f>
        <v/>
      </c>
      <c r="R446">
        <f>IF(EPe_BA_intern_assesment_Raw_data___Sheet13[[#This Row],[Customer Rating]]&lt;7,EPe_BA_intern_assesment_Raw_data___Sheet13[[#This Row],[Customer Rating]])</f>
        <v>0</v>
      </c>
    </row>
    <row r="447" spans="1:18" x14ac:dyDescent="0.3">
      <c r="A447" t="s">
        <v>475</v>
      </c>
      <c r="B447" t="s">
        <v>21</v>
      </c>
      <c r="C447" t="s">
        <v>32</v>
      </c>
      <c r="D447" s="1">
        <v>45959</v>
      </c>
      <c r="E447" s="1">
        <v>45962</v>
      </c>
      <c r="F447" s="1">
        <v>45966</v>
      </c>
      <c r="G447" s="1">
        <v>45972</v>
      </c>
      <c r="H447" t="s">
        <v>18</v>
      </c>
      <c r="I447" t="s">
        <v>19</v>
      </c>
      <c r="J447" s="1">
        <v>45993</v>
      </c>
      <c r="K447">
        <v>3</v>
      </c>
      <c r="L447">
        <v>4</v>
      </c>
      <c r="M447">
        <v>6</v>
      </c>
      <c r="N447">
        <v>3</v>
      </c>
      <c r="O447">
        <v>13</v>
      </c>
      <c r="P447" t="b">
        <f>IF(EPe_BA_intern_assesment_Raw_data___Sheet13[[#This Row],[Customer Rating]]&gt;8,EPe_BA_intern_assesment_Raw_data___Sheet13[[#This Row],[Customer Rating]])</f>
        <v>0</v>
      </c>
      <c r="Q447" t="str">
        <f>IF(AND(EPe_BA_intern_assesment_Raw_data___Sheet13[[#This Row],[Customer Rating]]&gt;6,EPe_BA_intern_assesment_Raw_data___Sheet13[[#This Row],[Customer Rating]]&lt;9), EPe_BA_intern_assesment_Raw_data___Sheet13[[#This Row],[Customer Rating]], "")</f>
        <v/>
      </c>
      <c r="R447">
        <f>IF(EPe_BA_intern_assesment_Raw_data___Sheet13[[#This Row],[Customer Rating]]&lt;7,EPe_BA_intern_assesment_Raw_data___Sheet13[[#This Row],[Customer Rating]])</f>
        <v>3</v>
      </c>
    </row>
    <row r="448" spans="1:18" x14ac:dyDescent="0.3">
      <c r="A448" t="s">
        <v>476</v>
      </c>
      <c r="B448" t="s">
        <v>34</v>
      </c>
      <c r="C448" t="s">
        <v>24</v>
      </c>
      <c r="D448" s="1">
        <v>45935</v>
      </c>
      <c r="E448" s="1"/>
      <c r="F448" s="1"/>
      <c r="G448" s="1"/>
      <c r="H448" t="s">
        <v>25</v>
      </c>
      <c r="I448" t="s">
        <v>103</v>
      </c>
      <c r="J448" s="1"/>
      <c r="P448" t="b">
        <f>IF(EPe_BA_intern_assesment_Raw_data___Sheet13[[#This Row],[Customer Rating]]&gt;8,EPe_BA_intern_assesment_Raw_data___Sheet13[[#This Row],[Customer Rating]])</f>
        <v>0</v>
      </c>
      <c r="Q448" t="str">
        <f>IF(AND(EPe_BA_intern_assesment_Raw_data___Sheet13[[#This Row],[Customer Rating]]&gt;6,EPe_BA_intern_assesment_Raw_data___Sheet13[[#This Row],[Customer Rating]]&lt;9), EPe_BA_intern_assesment_Raw_data___Sheet13[[#This Row],[Customer Rating]], "")</f>
        <v/>
      </c>
      <c r="R448">
        <f>IF(EPe_BA_intern_assesment_Raw_data___Sheet13[[#This Row],[Customer Rating]]&lt;7,EPe_BA_intern_assesment_Raw_data___Sheet13[[#This Row],[Customer Rating]])</f>
        <v>0</v>
      </c>
    </row>
    <row r="449" spans="1:18" x14ac:dyDescent="0.3">
      <c r="A449" t="s">
        <v>477</v>
      </c>
      <c r="B449" t="s">
        <v>21</v>
      </c>
      <c r="C449" t="s">
        <v>24</v>
      </c>
      <c r="D449" s="1">
        <v>45958</v>
      </c>
      <c r="E449" s="1"/>
      <c r="F449" s="1"/>
      <c r="G449" s="1"/>
      <c r="H449" t="s">
        <v>25</v>
      </c>
      <c r="I449" t="s">
        <v>28</v>
      </c>
      <c r="J449" s="1"/>
      <c r="P449" t="b">
        <f>IF(EPe_BA_intern_assesment_Raw_data___Sheet13[[#This Row],[Customer Rating]]&gt;8,EPe_BA_intern_assesment_Raw_data___Sheet13[[#This Row],[Customer Rating]])</f>
        <v>0</v>
      </c>
      <c r="Q449" t="str">
        <f>IF(AND(EPe_BA_intern_assesment_Raw_data___Sheet13[[#This Row],[Customer Rating]]&gt;6,EPe_BA_intern_assesment_Raw_data___Sheet13[[#This Row],[Customer Rating]]&lt;9), EPe_BA_intern_assesment_Raw_data___Sheet13[[#This Row],[Customer Rating]], "")</f>
        <v/>
      </c>
      <c r="R449">
        <f>IF(EPe_BA_intern_assesment_Raw_data___Sheet13[[#This Row],[Customer Rating]]&lt;7,EPe_BA_intern_assesment_Raw_data___Sheet13[[#This Row],[Customer Rating]])</f>
        <v>0</v>
      </c>
    </row>
    <row r="450" spans="1:18" x14ac:dyDescent="0.3">
      <c r="A450" t="s">
        <v>478</v>
      </c>
      <c r="B450" t="s">
        <v>23</v>
      </c>
      <c r="C450" t="s">
        <v>17</v>
      </c>
      <c r="D450" s="1">
        <v>45933</v>
      </c>
      <c r="E450" s="1">
        <v>45937</v>
      </c>
      <c r="F450" s="1">
        <v>45942</v>
      </c>
      <c r="G450" s="1">
        <v>45949</v>
      </c>
      <c r="H450" t="s">
        <v>18</v>
      </c>
      <c r="I450" t="s">
        <v>19</v>
      </c>
      <c r="J450" s="1">
        <v>45960</v>
      </c>
      <c r="K450">
        <v>4</v>
      </c>
      <c r="L450">
        <v>5</v>
      </c>
      <c r="M450">
        <v>7</v>
      </c>
      <c r="N450">
        <v>3</v>
      </c>
      <c r="O450">
        <v>16</v>
      </c>
      <c r="P450" t="b">
        <f>IF(EPe_BA_intern_assesment_Raw_data___Sheet13[[#This Row],[Customer Rating]]&gt;8,EPe_BA_intern_assesment_Raw_data___Sheet13[[#This Row],[Customer Rating]])</f>
        <v>0</v>
      </c>
      <c r="Q450" t="str">
        <f>IF(AND(EPe_BA_intern_assesment_Raw_data___Sheet13[[#This Row],[Customer Rating]]&gt;6,EPe_BA_intern_assesment_Raw_data___Sheet13[[#This Row],[Customer Rating]]&lt;9), EPe_BA_intern_assesment_Raw_data___Sheet13[[#This Row],[Customer Rating]], "")</f>
        <v/>
      </c>
      <c r="R450">
        <f>IF(EPe_BA_intern_assesment_Raw_data___Sheet13[[#This Row],[Customer Rating]]&lt;7,EPe_BA_intern_assesment_Raw_data___Sheet13[[#This Row],[Customer Rating]])</f>
        <v>3</v>
      </c>
    </row>
    <row r="451" spans="1:18" x14ac:dyDescent="0.3">
      <c r="A451" t="s">
        <v>479</v>
      </c>
      <c r="B451" t="s">
        <v>16</v>
      </c>
      <c r="C451" t="s">
        <v>32</v>
      </c>
      <c r="D451" s="1">
        <v>45939</v>
      </c>
      <c r="E451" s="1">
        <v>45944</v>
      </c>
      <c r="F451" s="1">
        <v>45947</v>
      </c>
      <c r="G451" s="1">
        <v>45953</v>
      </c>
      <c r="H451" t="s">
        <v>18</v>
      </c>
      <c r="I451" t="s">
        <v>19</v>
      </c>
      <c r="J451" s="1">
        <v>45979</v>
      </c>
      <c r="K451">
        <v>5</v>
      </c>
      <c r="L451">
        <v>3</v>
      </c>
      <c r="M451">
        <v>6</v>
      </c>
      <c r="N451">
        <v>3</v>
      </c>
      <c r="O451">
        <v>14</v>
      </c>
      <c r="P451" t="b">
        <f>IF(EPe_BA_intern_assesment_Raw_data___Sheet13[[#This Row],[Customer Rating]]&gt;8,EPe_BA_intern_assesment_Raw_data___Sheet13[[#This Row],[Customer Rating]])</f>
        <v>0</v>
      </c>
      <c r="Q451" t="str">
        <f>IF(AND(EPe_BA_intern_assesment_Raw_data___Sheet13[[#This Row],[Customer Rating]]&gt;6,EPe_BA_intern_assesment_Raw_data___Sheet13[[#This Row],[Customer Rating]]&lt;9), EPe_BA_intern_assesment_Raw_data___Sheet13[[#This Row],[Customer Rating]], "")</f>
        <v/>
      </c>
      <c r="R451">
        <f>IF(EPe_BA_intern_assesment_Raw_data___Sheet13[[#This Row],[Customer Rating]]&lt;7,EPe_BA_intern_assesment_Raw_data___Sheet13[[#This Row],[Customer Rating]])</f>
        <v>3</v>
      </c>
    </row>
    <row r="452" spans="1:18" x14ac:dyDescent="0.3">
      <c r="A452" t="s">
        <v>480</v>
      </c>
      <c r="B452" t="s">
        <v>16</v>
      </c>
      <c r="C452" t="s">
        <v>17</v>
      </c>
      <c r="D452" s="1">
        <v>45955</v>
      </c>
      <c r="E452" s="1">
        <v>45957</v>
      </c>
      <c r="F452" s="1">
        <v>45961</v>
      </c>
      <c r="G452" s="1">
        <v>45965</v>
      </c>
      <c r="H452" t="s">
        <v>18</v>
      </c>
      <c r="I452" t="s">
        <v>19</v>
      </c>
      <c r="J452" s="1">
        <v>45980</v>
      </c>
      <c r="K452">
        <v>2</v>
      </c>
      <c r="L452">
        <v>4</v>
      </c>
      <c r="M452">
        <v>4</v>
      </c>
      <c r="N452">
        <v>0</v>
      </c>
      <c r="O452">
        <v>10</v>
      </c>
      <c r="P452" t="b">
        <f>IF(EPe_BA_intern_assesment_Raw_data___Sheet13[[#This Row],[Customer Rating]]&gt;8,EPe_BA_intern_assesment_Raw_data___Sheet13[[#This Row],[Customer Rating]])</f>
        <v>0</v>
      </c>
      <c r="Q452" t="str">
        <f>IF(AND(EPe_BA_intern_assesment_Raw_data___Sheet13[[#This Row],[Customer Rating]]&gt;6,EPe_BA_intern_assesment_Raw_data___Sheet13[[#This Row],[Customer Rating]]&lt;9), EPe_BA_intern_assesment_Raw_data___Sheet13[[#This Row],[Customer Rating]], "")</f>
        <v/>
      </c>
      <c r="R452">
        <f>IF(EPe_BA_intern_assesment_Raw_data___Sheet13[[#This Row],[Customer Rating]]&lt;7,EPe_BA_intern_assesment_Raw_data___Sheet13[[#This Row],[Customer Rating]])</f>
        <v>0</v>
      </c>
    </row>
    <row r="453" spans="1:18" x14ac:dyDescent="0.3">
      <c r="A453" t="s">
        <v>481</v>
      </c>
      <c r="B453" t="s">
        <v>16</v>
      </c>
      <c r="C453" t="s">
        <v>24</v>
      </c>
      <c r="D453" s="1">
        <v>45956</v>
      </c>
      <c r="E453" s="1"/>
      <c r="F453" s="1"/>
      <c r="G453" s="1"/>
      <c r="H453" t="s">
        <v>25</v>
      </c>
      <c r="I453" t="s">
        <v>26</v>
      </c>
      <c r="J453" s="1"/>
      <c r="P453" t="b">
        <f>IF(EPe_BA_intern_assesment_Raw_data___Sheet13[[#This Row],[Customer Rating]]&gt;8,EPe_BA_intern_assesment_Raw_data___Sheet13[[#This Row],[Customer Rating]])</f>
        <v>0</v>
      </c>
      <c r="Q453" t="str">
        <f>IF(AND(EPe_BA_intern_assesment_Raw_data___Sheet13[[#This Row],[Customer Rating]]&gt;6,EPe_BA_intern_assesment_Raw_data___Sheet13[[#This Row],[Customer Rating]]&lt;9), EPe_BA_intern_assesment_Raw_data___Sheet13[[#This Row],[Customer Rating]], "")</f>
        <v/>
      </c>
      <c r="R453">
        <f>IF(EPe_BA_intern_assesment_Raw_data___Sheet13[[#This Row],[Customer Rating]]&lt;7,EPe_BA_intern_assesment_Raw_data___Sheet13[[#This Row],[Customer Rating]])</f>
        <v>0</v>
      </c>
    </row>
    <row r="454" spans="1:18" x14ac:dyDescent="0.3">
      <c r="A454" t="s">
        <v>482</v>
      </c>
      <c r="B454" t="s">
        <v>23</v>
      </c>
      <c r="C454" t="s">
        <v>17</v>
      </c>
      <c r="D454" s="1">
        <v>45958</v>
      </c>
      <c r="E454" s="1">
        <v>45962</v>
      </c>
      <c r="F454" s="1">
        <v>45966</v>
      </c>
      <c r="G454" s="1">
        <v>45973</v>
      </c>
      <c r="H454" t="s">
        <v>18</v>
      </c>
      <c r="I454" t="s">
        <v>19</v>
      </c>
      <c r="J454" s="1">
        <v>45985</v>
      </c>
      <c r="K454">
        <v>4</v>
      </c>
      <c r="L454">
        <v>4</v>
      </c>
      <c r="M454">
        <v>7</v>
      </c>
      <c r="N454">
        <v>4</v>
      </c>
      <c r="O454">
        <v>15</v>
      </c>
      <c r="P454" t="b">
        <f>IF(EPe_BA_intern_assesment_Raw_data___Sheet13[[#This Row],[Customer Rating]]&gt;8,EPe_BA_intern_assesment_Raw_data___Sheet13[[#This Row],[Customer Rating]])</f>
        <v>0</v>
      </c>
      <c r="Q454" t="str">
        <f>IF(AND(EPe_BA_intern_assesment_Raw_data___Sheet13[[#This Row],[Customer Rating]]&gt;6,EPe_BA_intern_assesment_Raw_data___Sheet13[[#This Row],[Customer Rating]]&lt;9), EPe_BA_intern_assesment_Raw_data___Sheet13[[#This Row],[Customer Rating]], "")</f>
        <v/>
      </c>
      <c r="R454">
        <f>IF(EPe_BA_intern_assesment_Raw_data___Sheet13[[#This Row],[Customer Rating]]&lt;7,EPe_BA_intern_assesment_Raw_data___Sheet13[[#This Row],[Customer Rating]])</f>
        <v>4</v>
      </c>
    </row>
    <row r="455" spans="1:18" x14ac:dyDescent="0.3">
      <c r="A455" t="s">
        <v>483</v>
      </c>
      <c r="B455" t="s">
        <v>23</v>
      </c>
      <c r="C455" t="s">
        <v>24</v>
      </c>
      <c r="D455" s="1">
        <v>45944</v>
      </c>
      <c r="E455" s="1"/>
      <c r="F455" s="1"/>
      <c r="G455" s="1"/>
      <c r="H455" t="s">
        <v>25</v>
      </c>
      <c r="I455" t="s">
        <v>26</v>
      </c>
      <c r="J455" s="1"/>
      <c r="P455" t="b">
        <f>IF(EPe_BA_intern_assesment_Raw_data___Sheet13[[#This Row],[Customer Rating]]&gt;8,EPe_BA_intern_assesment_Raw_data___Sheet13[[#This Row],[Customer Rating]])</f>
        <v>0</v>
      </c>
      <c r="Q455" t="str">
        <f>IF(AND(EPe_BA_intern_assesment_Raw_data___Sheet13[[#This Row],[Customer Rating]]&gt;6,EPe_BA_intern_assesment_Raw_data___Sheet13[[#This Row],[Customer Rating]]&lt;9), EPe_BA_intern_assesment_Raw_data___Sheet13[[#This Row],[Customer Rating]], "")</f>
        <v/>
      </c>
      <c r="R455">
        <f>IF(EPe_BA_intern_assesment_Raw_data___Sheet13[[#This Row],[Customer Rating]]&lt;7,EPe_BA_intern_assesment_Raw_data___Sheet13[[#This Row],[Customer Rating]])</f>
        <v>0</v>
      </c>
    </row>
    <row r="456" spans="1:18" x14ac:dyDescent="0.3">
      <c r="A456" t="s">
        <v>484</v>
      </c>
      <c r="B456" t="s">
        <v>21</v>
      </c>
      <c r="C456" t="s">
        <v>24</v>
      </c>
      <c r="D456" s="1">
        <v>45941</v>
      </c>
      <c r="E456" s="1"/>
      <c r="F456" s="1"/>
      <c r="G456" s="1"/>
      <c r="H456" t="s">
        <v>25</v>
      </c>
      <c r="I456" t="s">
        <v>35</v>
      </c>
      <c r="J456" s="1"/>
      <c r="P456" t="b">
        <f>IF(EPe_BA_intern_assesment_Raw_data___Sheet13[[#This Row],[Customer Rating]]&gt;8,EPe_BA_intern_assesment_Raw_data___Sheet13[[#This Row],[Customer Rating]])</f>
        <v>0</v>
      </c>
      <c r="Q456" t="str">
        <f>IF(AND(EPe_BA_intern_assesment_Raw_data___Sheet13[[#This Row],[Customer Rating]]&gt;6,EPe_BA_intern_assesment_Raw_data___Sheet13[[#This Row],[Customer Rating]]&lt;9), EPe_BA_intern_assesment_Raw_data___Sheet13[[#This Row],[Customer Rating]], "")</f>
        <v/>
      </c>
      <c r="R456">
        <f>IF(EPe_BA_intern_assesment_Raw_data___Sheet13[[#This Row],[Customer Rating]]&lt;7,EPe_BA_intern_assesment_Raw_data___Sheet13[[#This Row],[Customer Rating]])</f>
        <v>0</v>
      </c>
    </row>
    <row r="457" spans="1:18" x14ac:dyDescent="0.3">
      <c r="A457" t="s">
        <v>485</v>
      </c>
      <c r="B457" t="s">
        <v>21</v>
      </c>
      <c r="C457" t="s">
        <v>17</v>
      </c>
      <c r="D457" s="1">
        <v>45960</v>
      </c>
      <c r="E457" s="1">
        <v>45961</v>
      </c>
      <c r="F457" s="1">
        <v>45963</v>
      </c>
      <c r="G457" s="1">
        <v>45965</v>
      </c>
      <c r="H457" t="s">
        <v>18</v>
      </c>
      <c r="I457" t="s">
        <v>19</v>
      </c>
      <c r="J457" s="1">
        <v>45984</v>
      </c>
      <c r="K457">
        <v>1</v>
      </c>
      <c r="L457">
        <v>2</v>
      </c>
      <c r="M457">
        <v>2</v>
      </c>
      <c r="N457">
        <v>9</v>
      </c>
      <c r="O457">
        <v>5</v>
      </c>
      <c r="P457">
        <f>IF(EPe_BA_intern_assesment_Raw_data___Sheet13[[#This Row],[Customer Rating]]&gt;8,EPe_BA_intern_assesment_Raw_data___Sheet13[[#This Row],[Customer Rating]])</f>
        <v>9</v>
      </c>
      <c r="Q457" t="str">
        <f>IF(AND(EPe_BA_intern_assesment_Raw_data___Sheet13[[#This Row],[Customer Rating]]&gt;6,EPe_BA_intern_assesment_Raw_data___Sheet13[[#This Row],[Customer Rating]]&lt;9), EPe_BA_intern_assesment_Raw_data___Sheet13[[#This Row],[Customer Rating]], "")</f>
        <v/>
      </c>
      <c r="R457" t="b">
        <f>IF(EPe_BA_intern_assesment_Raw_data___Sheet13[[#This Row],[Customer Rating]]&lt;7,EPe_BA_intern_assesment_Raw_data___Sheet13[[#This Row],[Customer Rating]])</f>
        <v>0</v>
      </c>
    </row>
    <row r="458" spans="1:18" x14ac:dyDescent="0.3">
      <c r="A458" t="s">
        <v>486</v>
      </c>
      <c r="B458" t="s">
        <v>21</v>
      </c>
      <c r="C458" t="s">
        <v>17</v>
      </c>
      <c r="D458" s="1">
        <v>45956</v>
      </c>
      <c r="E458" s="1">
        <v>45958</v>
      </c>
      <c r="F458" s="1">
        <v>45961</v>
      </c>
      <c r="G458" s="1">
        <v>45968</v>
      </c>
      <c r="H458" t="s">
        <v>25</v>
      </c>
      <c r="I458" t="s">
        <v>65</v>
      </c>
      <c r="J458" s="1"/>
      <c r="K458">
        <v>2</v>
      </c>
      <c r="L458">
        <v>3</v>
      </c>
      <c r="M458">
        <v>7</v>
      </c>
      <c r="O458">
        <v>12</v>
      </c>
      <c r="P458" t="b">
        <f>IF(EPe_BA_intern_assesment_Raw_data___Sheet13[[#This Row],[Customer Rating]]&gt;8,EPe_BA_intern_assesment_Raw_data___Sheet13[[#This Row],[Customer Rating]])</f>
        <v>0</v>
      </c>
      <c r="Q458" t="str">
        <f>IF(AND(EPe_BA_intern_assesment_Raw_data___Sheet13[[#This Row],[Customer Rating]]&gt;6,EPe_BA_intern_assesment_Raw_data___Sheet13[[#This Row],[Customer Rating]]&lt;9), EPe_BA_intern_assesment_Raw_data___Sheet13[[#This Row],[Customer Rating]], "")</f>
        <v/>
      </c>
      <c r="R458">
        <f>IF(EPe_BA_intern_assesment_Raw_data___Sheet13[[#This Row],[Customer Rating]]&lt;7,EPe_BA_intern_assesment_Raw_data___Sheet13[[#This Row],[Customer Rating]])</f>
        <v>0</v>
      </c>
    </row>
    <row r="459" spans="1:18" x14ac:dyDescent="0.3">
      <c r="A459" t="s">
        <v>487</v>
      </c>
      <c r="B459" t="s">
        <v>34</v>
      </c>
      <c r="C459" t="s">
        <v>17</v>
      </c>
      <c r="D459" s="1">
        <v>45947</v>
      </c>
      <c r="E459" s="1">
        <v>45951</v>
      </c>
      <c r="F459" s="1">
        <v>45955</v>
      </c>
      <c r="G459" s="1">
        <v>45959</v>
      </c>
      <c r="H459" t="s">
        <v>18</v>
      </c>
      <c r="I459" t="s">
        <v>19</v>
      </c>
      <c r="J459" s="1">
        <v>45985</v>
      </c>
      <c r="K459">
        <v>4</v>
      </c>
      <c r="L459">
        <v>4</v>
      </c>
      <c r="M459">
        <v>4</v>
      </c>
      <c r="N459">
        <v>5</v>
      </c>
      <c r="O459">
        <v>12</v>
      </c>
      <c r="P459" t="b">
        <f>IF(EPe_BA_intern_assesment_Raw_data___Sheet13[[#This Row],[Customer Rating]]&gt;8,EPe_BA_intern_assesment_Raw_data___Sheet13[[#This Row],[Customer Rating]])</f>
        <v>0</v>
      </c>
      <c r="Q459" t="str">
        <f>IF(AND(EPe_BA_intern_assesment_Raw_data___Sheet13[[#This Row],[Customer Rating]]&gt;6,EPe_BA_intern_assesment_Raw_data___Sheet13[[#This Row],[Customer Rating]]&lt;9), EPe_BA_intern_assesment_Raw_data___Sheet13[[#This Row],[Customer Rating]], "")</f>
        <v/>
      </c>
      <c r="R459">
        <f>IF(EPe_BA_intern_assesment_Raw_data___Sheet13[[#This Row],[Customer Rating]]&lt;7,EPe_BA_intern_assesment_Raw_data___Sheet13[[#This Row],[Customer Rating]])</f>
        <v>5</v>
      </c>
    </row>
    <row r="460" spans="1:18" x14ac:dyDescent="0.3">
      <c r="A460" t="s">
        <v>488</v>
      </c>
      <c r="B460" t="s">
        <v>16</v>
      </c>
      <c r="C460" t="s">
        <v>32</v>
      </c>
      <c r="D460" s="1">
        <v>45939</v>
      </c>
      <c r="E460" s="1">
        <v>45942</v>
      </c>
      <c r="F460" s="1">
        <v>45944</v>
      </c>
      <c r="G460" s="1">
        <v>45947</v>
      </c>
      <c r="H460" t="s">
        <v>18</v>
      </c>
      <c r="I460" t="s">
        <v>19</v>
      </c>
      <c r="J460" s="1">
        <v>45969</v>
      </c>
      <c r="K460">
        <v>3</v>
      </c>
      <c r="L460">
        <v>2</v>
      </c>
      <c r="M460">
        <v>3</v>
      </c>
      <c r="N460">
        <v>5</v>
      </c>
      <c r="O460">
        <v>8</v>
      </c>
      <c r="P460" t="b">
        <f>IF(EPe_BA_intern_assesment_Raw_data___Sheet13[[#This Row],[Customer Rating]]&gt;8,EPe_BA_intern_assesment_Raw_data___Sheet13[[#This Row],[Customer Rating]])</f>
        <v>0</v>
      </c>
      <c r="Q460" t="str">
        <f>IF(AND(EPe_BA_intern_assesment_Raw_data___Sheet13[[#This Row],[Customer Rating]]&gt;6,EPe_BA_intern_assesment_Raw_data___Sheet13[[#This Row],[Customer Rating]]&lt;9), EPe_BA_intern_assesment_Raw_data___Sheet13[[#This Row],[Customer Rating]], "")</f>
        <v/>
      </c>
      <c r="R460">
        <f>IF(EPe_BA_intern_assesment_Raw_data___Sheet13[[#This Row],[Customer Rating]]&lt;7,EPe_BA_intern_assesment_Raw_data___Sheet13[[#This Row],[Customer Rating]])</f>
        <v>5</v>
      </c>
    </row>
    <row r="461" spans="1:18" x14ac:dyDescent="0.3">
      <c r="A461" t="s">
        <v>489</v>
      </c>
      <c r="B461" t="s">
        <v>16</v>
      </c>
      <c r="C461" t="s">
        <v>17</v>
      </c>
      <c r="D461" s="1">
        <v>45957</v>
      </c>
      <c r="E461" s="1">
        <v>45958</v>
      </c>
      <c r="F461" s="1">
        <v>45963</v>
      </c>
      <c r="G461" s="1">
        <v>45969</v>
      </c>
      <c r="H461" t="s">
        <v>18</v>
      </c>
      <c r="I461" t="s">
        <v>19</v>
      </c>
      <c r="J461" s="1">
        <v>45983</v>
      </c>
      <c r="K461">
        <v>1</v>
      </c>
      <c r="L461">
        <v>5</v>
      </c>
      <c r="M461">
        <v>6</v>
      </c>
      <c r="N461">
        <v>1</v>
      </c>
      <c r="O461">
        <v>12</v>
      </c>
      <c r="P461" t="b">
        <f>IF(EPe_BA_intern_assesment_Raw_data___Sheet13[[#This Row],[Customer Rating]]&gt;8,EPe_BA_intern_assesment_Raw_data___Sheet13[[#This Row],[Customer Rating]])</f>
        <v>0</v>
      </c>
      <c r="Q461" t="str">
        <f>IF(AND(EPe_BA_intern_assesment_Raw_data___Sheet13[[#This Row],[Customer Rating]]&gt;6,EPe_BA_intern_assesment_Raw_data___Sheet13[[#This Row],[Customer Rating]]&lt;9), EPe_BA_intern_assesment_Raw_data___Sheet13[[#This Row],[Customer Rating]], "")</f>
        <v/>
      </c>
      <c r="R461">
        <f>IF(EPe_BA_intern_assesment_Raw_data___Sheet13[[#This Row],[Customer Rating]]&lt;7,EPe_BA_intern_assesment_Raw_data___Sheet13[[#This Row],[Customer Rating]])</f>
        <v>1</v>
      </c>
    </row>
    <row r="462" spans="1:18" x14ac:dyDescent="0.3">
      <c r="A462" t="s">
        <v>490</v>
      </c>
      <c r="B462" t="s">
        <v>21</v>
      </c>
      <c r="C462" t="s">
        <v>17</v>
      </c>
      <c r="D462" s="1">
        <v>45931</v>
      </c>
      <c r="E462" s="1">
        <v>45935</v>
      </c>
      <c r="F462" s="1">
        <v>45939</v>
      </c>
      <c r="G462" s="1">
        <v>45945</v>
      </c>
      <c r="H462" t="s">
        <v>25</v>
      </c>
      <c r="I462" t="s">
        <v>65</v>
      </c>
      <c r="J462" s="1"/>
      <c r="K462">
        <v>4</v>
      </c>
      <c r="L462">
        <v>4</v>
      </c>
      <c r="M462">
        <v>6</v>
      </c>
      <c r="O462">
        <v>14</v>
      </c>
      <c r="P462" t="b">
        <f>IF(EPe_BA_intern_assesment_Raw_data___Sheet13[[#This Row],[Customer Rating]]&gt;8,EPe_BA_intern_assesment_Raw_data___Sheet13[[#This Row],[Customer Rating]])</f>
        <v>0</v>
      </c>
      <c r="Q462" t="str">
        <f>IF(AND(EPe_BA_intern_assesment_Raw_data___Sheet13[[#This Row],[Customer Rating]]&gt;6,EPe_BA_intern_assesment_Raw_data___Sheet13[[#This Row],[Customer Rating]]&lt;9), EPe_BA_intern_assesment_Raw_data___Sheet13[[#This Row],[Customer Rating]], "")</f>
        <v/>
      </c>
      <c r="R462">
        <f>IF(EPe_BA_intern_assesment_Raw_data___Sheet13[[#This Row],[Customer Rating]]&lt;7,EPe_BA_intern_assesment_Raw_data___Sheet13[[#This Row],[Customer Rating]])</f>
        <v>0</v>
      </c>
    </row>
    <row r="463" spans="1:18" x14ac:dyDescent="0.3">
      <c r="A463" t="s">
        <v>491</v>
      </c>
      <c r="B463" t="s">
        <v>16</v>
      </c>
      <c r="C463" t="s">
        <v>24</v>
      </c>
      <c r="D463" s="1">
        <v>45940</v>
      </c>
      <c r="E463" s="1"/>
      <c r="F463" s="1"/>
      <c r="G463" s="1"/>
      <c r="H463" t="s">
        <v>25</v>
      </c>
      <c r="I463" t="s">
        <v>35</v>
      </c>
      <c r="J463" s="1"/>
      <c r="P463" t="b">
        <f>IF(EPe_BA_intern_assesment_Raw_data___Sheet13[[#This Row],[Customer Rating]]&gt;8,EPe_BA_intern_assesment_Raw_data___Sheet13[[#This Row],[Customer Rating]])</f>
        <v>0</v>
      </c>
      <c r="Q463" t="str">
        <f>IF(AND(EPe_BA_intern_assesment_Raw_data___Sheet13[[#This Row],[Customer Rating]]&gt;6,EPe_BA_intern_assesment_Raw_data___Sheet13[[#This Row],[Customer Rating]]&lt;9), EPe_BA_intern_assesment_Raw_data___Sheet13[[#This Row],[Customer Rating]], "")</f>
        <v/>
      </c>
      <c r="R463">
        <f>IF(EPe_BA_intern_assesment_Raw_data___Sheet13[[#This Row],[Customer Rating]]&lt;7,EPe_BA_intern_assesment_Raw_data___Sheet13[[#This Row],[Customer Rating]])</f>
        <v>0</v>
      </c>
    </row>
    <row r="464" spans="1:18" x14ac:dyDescent="0.3">
      <c r="A464" t="s">
        <v>492</v>
      </c>
      <c r="B464" t="s">
        <v>21</v>
      </c>
      <c r="C464" t="s">
        <v>24</v>
      </c>
      <c r="D464" s="1">
        <v>45954</v>
      </c>
      <c r="E464" s="1"/>
      <c r="F464" s="1"/>
      <c r="G464" s="1"/>
      <c r="H464" t="s">
        <v>25</v>
      </c>
      <c r="I464" t="s">
        <v>35</v>
      </c>
      <c r="J464" s="1"/>
      <c r="P464" t="b">
        <f>IF(EPe_BA_intern_assesment_Raw_data___Sheet13[[#This Row],[Customer Rating]]&gt;8,EPe_BA_intern_assesment_Raw_data___Sheet13[[#This Row],[Customer Rating]])</f>
        <v>0</v>
      </c>
      <c r="Q464" t="str">
        <f>IF(AND(EPe_BA_intern_assesment_Raw_data___Sheet13[[#This Row],[Customer Rating]]&gt;6,EPe_BA_intern_assesment_Raw_data___Sheet13[[#This Row],[Customer Rating]]&lt;9), EPe_BA_intern_assesment_Raw_data___Sheet13[[#This Row],[Customer Rating]], "")</f>
        <v/>
      </c>
      <c r="R464">
        <f>IF(EPe_BA_intern_assesment_Raw_data___Sheet13[[#This Row],[Customer Rating]]&lt;7,EPe_BA_intern_assesment_Raw_data___Sheet13[[#This Row],[Customer Rating]])</f>
        <v>0</v>
      </c>
    </row>
    <row r="465" spans="1:18" x14ac:dyDescent="0.3">
      <c r="A465" t="s">
        <v>493</v>
      </c>
      <c r="B465" t="s">
        <v>34</v>
      </c>
      <c r="C465" t="s">
        <v>17</v>
      </c>
      <c r="D465" s="1">
        <v>45940</v>
      </c>
      <c r="E465" s="1">
        <v>45941</v>
      </c>
      <c r="F465" s="1">
        <v>45943</v>
      </c>
      <c r="G465" s="1">
        <v>45949</v>
      </c>
      <c r="H465" t="s">
        <v>18</v>
      </c>
      <c r="I465" t="s">
        <v>19</v>
      </c>
      <c r="J465" s="1">
        <v>45975</v>
      </c>
      <c r="K465">
        <v>1</v>
      </c>
      <c r="L465">
        <v>2</v>
      </c>
      <c r="M465">
        <v>6</v>
      </c>
      <c r="N465">
        <v>1</v>
      </c>
      <c r="O465">
        <v>9</v>
      </c>
      <c r="P465" t="b">
        <f>IF(EPe_BA_intern_assesment_Raw_data___Sheet13[[#This Row],[Customer Rating]]&gt;8,EPe_BA_intern_assesment_Raw_data___Sheet13[[#This Row],[Customer Rating]])</f>
        <v>0</v>
      </c>
      <c r="Q465" t="str">
        <f>IF(AND(EPe_BA_intern_assesment_Raw_data___Sheet13[[#This Row],[Customer Rating]]&gt;6,EPe_BA_intern_assesment_Raw_data___Sheet13[[#This Row],[Customer Rating]]&lt;9), EPe_BA_intern_assesment_Raw_data___Sheet13[[#This Row],[Customer Rating]], "")</f>
        <v/>
      </c>
      <c r="R465">
        <f>IF(EPe_BA_intern_assesment_Raw_data___Sheet13[[#This Row],[Customer Rating]]&lt;7,EPe_BA_intern_assesment_Raw_data___Sheet13[[#This Row],[Customer Rating]])</f>
        <v>1</v>
      </c>
    </row>
    <row r="466" spans="1:18" x14ac:dyDescent="0.3">
      <c r="A466" t="s">
        <v>494</v>
      </c>
      <c r="B466" t="s">
        <v>34</v>
      </c>
      <c r="C466" t="s">
        <v>32</v>
      </c>
      <c r="D466" s="1">
        <v>45957</v>
      </c>
      <c r="E466" s="1">
        <v>45961</v>
      </c>
      <c r="F466" s="1">
        <v>45963</v>
      </c>
      <c r="G466" s="1">
        <v>45966</v>
      </c>
      <c r="H466" t="s">
        <v>18</v>
      </c>
      <c r="I466" t="s">
        <v>19</v>
      </c>
      <c r="J466" s="1">
        <v>45994</v>
      </c>
      <c r="K466">
        <v>4</v>
      </c>
      <c r="L466">
        <v>2</v>
      </c>
      <c r="M466">
        <v>3</v>
      </c>
      <c r="N466">
        <v>4</v>
      </c>
      <c r="O466">
        <v>9</v>
      </c>
      <c r="P466" t="b">
        <f>IF(EPe_BA_intern_assesment_Raw_data___Sheet13[[#This Row],[Customer Rating]]&gt;8,EPe_BA_intern_assesment_Raw_data___Sheet13[[#This Row],[Customer Rating]])</f>
        <v>0</v>
      </c>
      <c r="Q466" t="str">
        <f>IF(AND(EPe_BA_intern_assesment_Raw_data___Sheet13[[#This Row],[Customer Rating]]&gt;6,EPe_BA_intern_assesment_Raw_data___Sheet13[[#This Row],[Customer Rating]]&lt;9), EPe_BA_intern_assesment_Raw_data___Sheet13[[#This Row],[Customer Rating]], "")</f>
        <v/>
      </c>
      <c r="R466">
        <f>IF(EPe_BA_intern_assesment_Raw_data___Sheet13[[#This Row],[Customer Rating]]&lt;7,EPe_BA_intern_assesment_Raw_data___Sheet13[[#This Row],[Customer Rating]])</f>
        <v>4</v>
      </c>
    </row>
    <row r="467" spans="1:18" x14ac:dyDescent="0.3">
      <c r="A467" t="s">
        <v>495</v>
      </c>
      <c r="B467" t="s">
        <v>23</v>
      </c>
      <c r="C467" t="s">
        <v>32</v>
      </c>
      <c r="D467" s="1">
        <v>45949</v>
      </c>
      <c r="E467" s="1">
        <v>45954</v>
      </c>
      <c r="F467" s="1">
        <v>45957</v>
      </c>
      <c r="G467" s="1">
        <v>45964</v>
      </c>
      <c r="H467" t="s">
        <v>18</v>
      </c>
      <c r="I467" t="s">
        <v>19</v>
      </c>
      <c r="J467" s="1">
        <v>45974</v>
      </c>
      <c r="K467">
        <v>5</v>
      </c>
      <c r="L467">
        <v>3</v>
      </c>
      <c r="M467">
        <v>7</v>
      </c>
      <c r="N467">
        <v>4</v>
      </c>
      <c r="O467">
        <v>15</v>
      </c>
      <c r="P467" t="b">
        <f>IF(EPe_BA_intern_assesment_Raw_data___Sheet13[[#This Row],[Customer Rating]]&gt;8,EPe_BA_intern_assesment_Raw_data___Sheet13[[#This Row],[Customer Rating]])</f>
        <v>0</v>
      </c>
      <c r="Q467" t="str">
        <f>IF(AND(EPe_BA_intern_assesment_Raw_data___Sheet13[[#This Row],[Customer Rating]]&gt;6,EPe_BA_intern_assesment_Raw_data___Sheet13[[#This Row],[Customer Rating]]&lt;9), EPe_BA_intern_assesment_Raw_data___Sheet13[[#This Row],[Customer Rating]], "")</f>
        <v/>
      </c>
      <c r="R467">
        <f>IF(EPe_BA_intern_assesment_Raw_data___Sheet13[[#This Row],[Customer Rating]]&lt;7,EPe_BA_intern_assesment_Raw_data___Sheet13[[#This Row],[Customer Rating]])</f>
        <v>4</v>
      </c>
    </row>
    <row r="468" spans="1:18" x14ac:dyDescent="0.3">
      <c r="A468" t="s">
        <v>496</v>
      </c>
      <c r="B468" t="s">
        <v>34</v>
      </c>
      <c r="C468" t="s">
        <v>32</v>
      </c>
      <c r="D468" s="1">
        <v>45949</v>
      </c>
      <c r="E468" s="1">
        <v>45952</v>
      </c>
      <c r="F468" s="1">
        <v>45954</v>
      </c>
      <c r="G468" s="1">
        <v>45959</v>
      </c>
      <c r="H468" t="s">
        <v>18</v>
      </c>
      <c r="I468" t="s">
        <v>19</v>
      </c>
      <c r="J468" s="1">
        <v>45974</v>
      </c>
      <c r="K468">
        <v>3</v>
      </c>
      <c r="L468">
        <v>2</v>
      </c>
      <c r="M468">
        <v>5</v>
      </c>
      <c r="N468">
        <v>1</v>
      </c>
      <c r="O468">
        <v>10</v>
      </c>
      <c r="P468" t="b">
        <f>IF(EPe_BA_intern_assesment_Raw_data___Sheet13[[#This Row],[Customer Rating]]&gt;8,EPe_BA_intern_assesment_Raw_data___Sheet13[[#This Row],[Customer Rating]])</f>
        <v>0</v>
      </c>
      <c r="Q468" t="str">
        <f>IF(AND(EPe_BA_intern_assesment_Raw_data___Sheet13[[#This Row],[Customer Rating]]&gt;6,EPe_BA_intern_assesment_Raw_data___Sheet13[[#This Row],[Customer Rating]]&lt;9), EPe_BA_intern_assesment_Raw_data___Sheet13[[#This Row],[Customer Rating]], "")</f>
        <v/>
      </c>
      <c r="R468">
        <f>IF(EPe_BA_intern_assesment_Raw_data___Sheet13[[#This Row],[Customer Rating]]&lt;7,EPe_BA_intern_assesment_Raw_data___Sheet13[[#This Row],[Customer Rating]])</f>
        <v>1</v>
      </c>
    </row>
    <row r="469" spans="1:18" x14ac:dyDescent="0.3">
      <c r="A469" t="s">
        <v>497</v>
      </c>
      <c r="B469" t="s">
        <v>21</v>
      </c>
      <c r="C469" t="s">
        <v>17</v>
      </c>
      <c r="D469" s="1">
        <v>45952</v>
      </c>
      <c r="E469" s="1">
        <v>45954</v>
      </c>
      <c r="F469" s="1">
        <v>45958</v>
      </c>
      <c r="G469" s="1">
        <v>45962</v>
      </c>
      <c r="H469" t="s">
        <v>18</v>
      </c>
      <c r="I469" t="s">
        <v>19</v>
      </c>
      <c r="J469" s="1">
        <v>45978</v>
      </c>
      <c r="K469">
        <v>2</v>
      </c>
      <c r="L469">
        <v>4</v>
      </c>
      <c r="M469">
        <v>4</v>
      </c>
      <c r="N469">
        <v>1</v>
      </c>
      <c r="O469">
        <v>10</v>
      </c>
      <c r="P469" t="b">
        <f>IF(EPe_BA_intern_assesment_Raw_data___Sheet13[[#This Row],[Customer Rating]]&gt;8,EPe_BA_intern_assesment_Raw_data___Sheet13[[#This Row],[Customer Rating]])</f>
        <v>0</v>
      </c>
      <c r="Q469" t="str">
        <f>IF(AND(EPe_BA_intern_assesment_Raw_data___Sheet13[[#This Row],[Customer Rating]]&gt;6,EPe_BA_intern_assesment_Raw_data___Sheet13[[#This Row],[Customer Rating]]&lt;9), EPe_BA_intern_assesment_Raw_data___Sheet13[[#This Row],[Customer Rating]], "")</f>
        <v/>
      </c>
      <c r="R469">
        <f>IF(EPe_BA_intern_assesment_Raw_data___Sheet13[[#This Row],[Customer Rating]]&lt;7,EPe_BA_intern_assesment_Raw_data___Sheet13[[#This Row],[Customer Rating]])</f>
        <v>1</v>
      </c>
    </row>
    <row r="470" spans="1:18" x14ac:dyDescent="0.3">
      <c r="A470" t="s">
        <v>498</v>
      </c>
      <c r="B470" t="s">
        <v>34</v>
      </c>
      <c r="C470" t="s">
        <v>17</v>
      </c>
      <c r="D470" s="1">
        <v>45946</v>
      </c>
      <c r="E470" s="1">
        <v>45950</v>
      </c>
      <c r="F470" s="1">
        <v>45951</v>
      </c>
      <c r="G470" s="1">
        <v>45958</v>
      </c>
      <c r="H470" t="s">
        <v>18</v>
      </c>
      <c r="I470" t="s">
        <v>19</v>
      </c>
      <c r="J470" s="1">
        <v>45974</v>
      </c>
      <c r="K470">
        <v>4</v>
      </c>
      <c r="L470">
        <v>1</v>
      </c>
      <c r="M470">
        <v>7</v>
      </c>
      <c r="N470">
        <v>0</v>
      </c>
      <c r="O470">
        <v>12</v>
      </c>
      <c r="P470" t="b">
        <f>IF(EPe_BA_intern_assesment_Raw_data___Sheet13[[#This Row],[Customer Rating]]&gt;8,EPe_BA_intern_assesment_Raw_data___Sheet13[[#This Row],[Customer Rating]])</f>
        <v>0</v>
      </c>
      <c r="Q470" t="str">
        <f>IF(AND(EPe_BA_intern_assesment_Raw_data___Sheet13[[#This Row],[Customer Rating]]&gt;6,EPe_BA_intern_assesment_Raw_data___Sheet13[[#This Row],[Customer Rating]]&lt;9), EPe_BA_intern_assesment_Raw_data___Sheet13[[#This Row],[Customer Rating]], "")</f>
        <v/>
      </c>
      <c r="R470">
        <f>IF(EPe_BA_intern_assesment_Raw_data___Sheet13[[#This Row],[Customer Rating]]&lt;7,EPe_BA_intern_assesment_Raw_data___Sheet13[[#This Row],[Customer Rating]])</f>
        <v>0</v>
      </c>
    </row>
    <row r="471" spans="1:18" x14ac:dyDescent="0.3">
      <c r="A471" t="s">
        <v>499</v>
      </c>
      <c r="B471" t="s">
        <v>23</v>
      </c>
      <c r="C471" t="s">
        <v>24</v>
      </c>
      <c r="D471" s="1">
        <v>45958</v>
      </c>
      <c r="E471" s="1"/>
      <c r="F471" s="1"/>
      <c r="G471" s="1"/>
      <c r="H471" t="s">
        <v>25</v>
      </c>
      <c r="I471" t="s">
        <v>35</v>
      </c>
      <c r="J471" s="1"/>
      <c r="P471" t="b">
        <f>IF(EPe_BA_intern_assesment_Raw_data___Sheet13[[#This Row],[Customer Rating]]&gt;8,EPe_BA_intern_assesment_Raw_data___Sheet13[[#This Row],[Customer Rating]])</f>
        <v>0</v>
      </c>
      <c r="Q471" t="str">
        <f>IF(AND(EPe_BA_intern_assesment_Raw_data___Sheet13[[#This Row],[Customer Rating]]&gt;6,EPe_BA_intern_assesment_Raw_data___Sheet13[[#This Row],[Customer Rating]]&lt;9), EPe_BA_intern_assesment_Raw_data___Sheet13[[#This Row],[Customer Rating]], "")</f>
        <v/>
      </c>
      <c r="R471">
        <f>IF(EPe_BA_intern_assesment_Raw_data___Sheet13[[#This Row],[Customer Rating]]&lt;7,EPe_BA_intern_assesment_Raw_data___Sheet13[[#This Row],[Customer Rating]])</f>
        <v>0</v>
      </c>
    </row>
    <row r="472" spans="1:18" x14ac:dyDescent="0.3">
      <c r="A472" t="s">
        <v>500</v>
      </c>
      <c r="B472" t="s">
        <v>16</v>
      </c>
      <c r="C472" t="s">
        <v>17</v>
      </c>
      <c r="D472" s="1">
        <v>45935</v>
      </c>
      <c r="E472" s="1">
        <v>45936</v>
      </c>
      <c r="F472" s="1">
        <v>45941</v>
      </c>
      <c r="G472" s="1">
        <v>45943</v>
      </c>
      <c r="H472" t="s">
        <v>18</v>
      </c>
      <c r="I472" t="s">
        <v>19</v>
      </c>
      <c r="J472" s="1">
        <v>45954</v>
      </c>
      <c r="K472">
        <v>1</v>
      </c>
      <c r="L472">
        <v>5</v>
      </c>
      <c r="M472">
        <v>2</v>
      </c>
      <c r="N472">
        <v>7</v>
      </c>
      <c r="O472">
        <v>8</v>
      </c>
      <c r="P472" t="b">
        <f>IF(EPe_BA_intern_assesment_Raw_data___Sheet13[[#This Row],[Customer Rating]]&gt;8,EPe_BA_intern_assesment_Raw_data___Sheet13[[#This Row],[Customer Rating]])</f>
        <v>0</v>
      </c>
      <c r="Q472">
        <f>IF(AND(EPe_BA_intern_assesment_Raw_data___Sheet13[[#This Row],[Customer Rating]]&gt;6,EPe_BA_intern_assesment_Raw_data___Sheet13[[#This Row],[Customer Rating]]&lt;9), EPe_BA_intern_assesment_Raw_data___Sheet13[[#This Row],[Customer Rating]], "")</f>
        <v>7</v>
      </c>
      <c r="R472" t="b">
        <f>IF(EPe_BA_intern_assesment_Raw_data___Sheet13[[#This Row],[Customer Rating]]&lt;7,EPe_BA_intern_assesment_Raw_data___Sheet13[[#This Row],[Customer Rating]])</f>
        <v>0</v>
      </c>
    </row>
    <row r="473" spans="1:18" x14ac:dyDescent="0.3">
      <c r="A473" t="s">
        <v>501</v>
      </c>
      <c r="B473" t="s">
        <v>21</v>
      </c>
      <c r="C473" t="s">
        <v>24</v>
      </c>
      <c r="D473" s="1">
        <v>45945</v>
      </c>
      <c r="E473" s="1"/>
      <c r="F473" s="1"/>
      <c r="G473" s="1"/>
      <c r="H473" t="s">
        <v>25</v>
      </c>
      <c r="I473" t="s">
        <v>65</v>
      </c>
      <c r="J473" s="1"/>
      <c r="P473" t="b">
        <f>IF(EPe_BA_intern_assesment_Raw_data___Sheet13[[#This Row],[Customer Rating]]&gt;8,EPe_BA_intern_assesment_Raw_data___Sheet13[[#This Row],[Customer Rating]])</f>
        <v>0</v>
      </c>
      <c r="Q473" t="str">
        <f>IF(AND(EPe_BA_intern_assesment_Raw_data___Sheet13[[#This Row],[Customer Rating]]&gt;6,EPe_BA_intern_assesment_Raw_data___Sheet13[[#This Row],[Customer Rating]]&lt;9), EPe_BA_intern_assesment_Raw_data___Sheet13[[#This Row],[Customer Rating]], "")</f>
        <v/>
      </c>
      <c r="R473">
        <f>IF(EPe_BA_intern_assesment_Raw_data___Sheet13[[#This Row],[Customer Rating]]&lt;7,EPe_BA_intern_assesment_Raw_data___Sheet13[[#This Row],[Customer Rating]])</f>
        <v>0</v>
      </c>
    </row>
    <row r="474" spans="1:18" x14ac:dyDescent="0.3">
      <c r="A474" t="s">
        <v>502</v>
      </c>
      <c r="B474" t="s">
        <v>16</v>
      </c>
      <c r="C474" t="s">
        <v>24</v>
      </c>
      <c r="D474" s="1">
        <v>45948</v>
      </c>
      <c r="E474" s="1"/>
      <c r="F474" s="1"/>
      <c r="G474" s="1"/>
      <c r="H474" t="s">
        <v>25</v>
      </c>
      <c r="I474" t="s">
        <v>35</v>
      </c>
      <c r="J474" s="1"/>
      <c r="P474" t="b">
        <f>IF(EPe_BA_intern_assesment_Raw_data___Sheet13[[#This Row],[Customer Rating]]&gt;8,EPe_BA_intern_assesment_Raw_data___Sheet13[[#This Row],[Customer Rating]])</f>
        <v>0</v>
      </c>
      <c r="Q474" t="str">
        <f>IF(AND(EPe_BA_intern_assesment_Raw_data___Sheet13[[#This Row],[Customer Rating]]&gt;6,EPe_BA_intern_assesment_Raw_data___Sheet13[[#This Row],[Customer Rating]]&lt;9), EPe_BA_intern_assesment_Raw_data___Sheet13[[#This Row],[Customer Rating]], "")</f>
        <v/>
      </c>
      <c r="R474">
        <f>IF(EPe_BA_intern_assesment_Raw_data___Sheet13[[#This Row],[Customer Rating]]&lt;7,EPe_BA_intern_assesment_Raw_data___Sheet13[[#This Row],[Customer Rating]])</f>
        <v>0</v>
      </c>
    </row>
    <row r="475" spans="1:18" x14ac:dyDescent="0.3">
      <c r="A475" t="s">
        <v>503</v>
      </c>
      <c r="B475" t="s">
        <v>23</v>
      </c>
      <c r="C475" t="s">
        <v>17</v>
      </c>
      <c r="D475" s="1">
        <v>45946</v>
      </c>
      <c r="E475" s="1">
        <v>45949</v>
      </c>
      <c r="F475" s="1">
        <v>45953</v>
      </c>
      <c r="G475" s="1">
        <v>45956</v>
      </c>
      <c r="H475" t="s">
        <v>18</v>
      </c>
      <c r="I475" t="s">
        <v>19</v>
      </c>
      <c r="J475" s="1">
        <v>45973</v>
      </c>
      <c r="K475">
        <v>3</v>
      </c>
      <c r="L475">
        <v>4</v>
      </c>
      <c r="M475">
        <v>3</v>
      </c>
      <c r="N475">
        <v>8</v>
      </c>
      <c r="O475">
        <v>10</v>
      </c>
      <c r="P475" t="b">
        <f>IF(EPe_BA_intern_assesment_Raw_data___Sheet13[[#This Row],[Customer Rating]]&gt;8,EPe_BA_intern_assesment_Raw_data___Sheet13[[#This Row],[Customer Rating]])</f>
        <v>0</v>
      </c>
      <c r="Q475">
        <f>IF(AND(EPe_BA_intern_assesment_Raw_data___Sheet13[[#This Row],[Customer Rating]]&gt;6,EPe_BA_intern_assesment_Raw_data___Sheet13[[#This Row],[Customer Rating]]&lt;9), EPe_BA_intern_assesment_Raw_data___Sheet13[[#This Row],[Customer Rating]], "")</f>
        <v>8</v>
      </c>
      <c r="R475" t="b">
        <f>IF(EPe_BA_intern_assesment_Raw_data___Sheet13[[#This Row],[Customer Rating]]&lt;7,EPe_BA_intern_assesment_Raw_data___Sheet13[[#This Row],[Customer Rating]])</f>
        <v>0</v>
      </c>
    </row>
    <row r="476" spans="1:18" x14ac:dyDescent="0.3">
      <c r="A476" t="s">
        <v>504</v>
      </c>
      <c r="B476" t="s">
        <v>23</v>
      </c>
      <c r="C476" t="s">
        <v>24</v>
      </c>
      <c r="D476" s="1">
        <v>45942</v>
      </c>
      <c r="E476" s="1"/>
      <c r="F476" s="1"/>
      <c r="G476" s="1"/>
      <c r="H476" t="s">
        <v>25</v>
      </c>
      <c r="I476" t="s">
        <v>103</v>
      </c>
      <c r="J476" s="1"/>
      <c r="P476" t="b">
        <f>IF(EPe_BA_intern_assesment_Raw_data___Sheet13[[#This Row],[Customer Rating]]&gt;8,EPe_BA_intern_assesment_Raw_data___Sheet13[[#This Row],[Customer Rating]])</f>
        <v>0</v>
      </c>
      <c r="Q476" t="str">
        <f>IF(AND(EPe_BA_intern_assesment_Raw_data___Sheet13[[#This Row],[Customer Rating]]&gt;6,EPe_BA_intern_assesment_Raw_data___Sheet13[[#This Row],[Customer Rating]]&lt;9), EPe_BA_intern_assesment_Raw_data___Sheet13[[#This Row],[Customer Rating]], "")</f>
        <v/>
      </c>
      <c r="R476">
        <f>IF(EPe_BA_intern_assesment_Raw_data___Sheet13[[#This Row],[Customer Rating]]&lt;7,EPe_BA_intern_assesment_Raw_data___Sheet13[[#This Row],[Customer Rating]])</f>
        <v>0</v>
      </c>
    </row>
    <row r="477" spans="1:18" x14ac:dyDescent="0.3">
      <c r="A477" t="s">
        <v>505</v>
      </c>
      <c r="B477" t="s">
        <v>23</v>
      </c>
      <c r="C477" t="s">
        <v>17</v>
      </c>
      <c r="D477" s="1">
        <v>45941</v>
      </c>
      <c r="E477" s="1">
        <v>45943</v>
      </c>
      <c r="F477" s="1">
        <v>45947</v>
      </c>
      <c r="G477" s="1">
        <v>45952</v>
      </c>
      <c r="H477" t="s">
        <v>25</v>
      </c>
      <c r="I477" t="s">
        <v>26</v>
      </c>
      <c r="J477" s="1"/>
      <c r="K477">
        <v>2</v>
      </c>
      <c r="L477">
        <v>4</v>
      </c>
      <c r="M477">
        <v>5</v>
      </c>
      <c r="O477">
        <v>11</v>
      </c>
      <c r="P477" t="b">
        <f>IF(EPe_BA_intern_assesment_Raw_data___Sheet13[[#This Row],[Customer Rating]]&gt;8,EPe_BA_intern_assesment_Raw_data___Sheet13[[#This Row],[Customer Rating]])</f>
        <v>0</v>
      </c>
      <c r="Q477" t="str">
        <f>IF(AND(EPe_BA_intern_assesment_Raw_data___Sheet13[[#This Row],[Customer Rating]]&gt;6,EPe_BA_intern_assesment_Raw_data___Sheet13[[#This Row],[Customer Rating]]&lt;9), EPe_BA_intern_assesment_Raw_data___Sheet13[[#This Row],[Customer Rating]], "")</f>
        <v/>
      </c>
      <c r="R477">
        <f>IF(EPe_BA_intern_assesment_Raw_data___Sheet13[[#This Row],[Customer Rating]]&lt;7,EPe_BA_intern_assesment_Raw_data___Sheet13[[#This Row],[Customer Rating]])</f>
        <v>0</v>
      </c>
    </row>
    <row r="478" spans="1:18" x14ac:dyDescent="0.3">
      <c r="A478" t="s">
        <v>506</v>
      </c>
      <c r="B478" t="s">
        <v>16</v>
      </c>
      <c r="C478" t="s">
        <v>32</v>
      </c>
      <c r="D478" s="1">
        <v>45948</v>
      </c>
      <c r="E478" s="1">
        <v>45949</v>
      </c>
      <c r="F478" s="1">
        <v>45954</v>
      </c>
      <c r="G478" s="1">
        <v>45959</v>
      </c>
      <c r="H478" t="s">
        <v>18</v>
      </c>
      <c r="I478" t="s">
        <v>19</v>
      </c>
      <c r="J478" s="1">
        <v>45970</v>
      </c>
      <c r="K478">
        <v>1</v>
      </c>
      <c r="L478">
        <v>5</v>
      </c>
      <c r="M478">
        <v>5</v>
      </c>
      <c r="N478">
        <v>2</v>
      </c>
      <c r="O478">
        <v>11</v>
      </c>
      <c r="P478" t="b">
        <f>IF(EPe_BA_intern_assesment_Raw_data___Sheet13[[#This Row],[Customer Rating]]&gt;8,EPe_BA_intern_assesment_Raw_data___Sheet13[[#This Row],[Customer Rating]])</f>
        <v>0</v>
      </c>
      <c r="Q478" t="str">
        <f>IF(AND(EPe_BA_intern_assesment_Raw_data___Sheet13[[#This Row],[Customer Rating]]&gt;6,EPe_BA_intern_assesment_Raw_data___Sheet13[[#This Row],[Customer Rating]]&lt;9), EPe_BA_intern_assesment_Raw_data___Sheet13[[#This Row],[Customer Rating]], "")</f>
        <v/>
      </c>
      <c r="R478">
        <f>IF(EPe_BA_intern_assesment_Raw_data___Sheet13[[#This Row],[Customer Rating]]&lt;7,EPe_BA_intern_assesment_Raw_data___Sheet13[[#This Row],[Customer Rating]])</f>
        <v>2</v>
      </c>
    </row>
    <row r="479" spans="1:18" x14ac:dyDescent="0.3">
      <c r="A479" t="s">
        <v>507</v>
      </c>
      <c r="B479" t="s">
        <v>16</v>
      </c>
      <c r="C479" t="s">
        <v>17</v>
      </c>
      <c r="D479" s="1">
        <v>45955</v>
      </c>
      <c r="E479" s="1">
        <v>45958</v>
      </c>
      <c r="F479" s="1">
        <v>45963</v>
      </c>
      <c r="G479" s="1">
        <v>45965</v>
      </c>
      <c r="H479" t="s">
        <v>25</v>
      </c>
      <c r="I479" t="s">
        <v>26</v>
      </c>
      <c r="J479" s="1"/>
      <c r="K479">
        <v>3</v>
      </c>
      <c r="L479">
        <v>5</v>
      </c>
      <c r="M479">
        <v>2</v>
      </c>
      <c r="O479">
        <v>10</v>
      </c>
      <c r="P479" t="b">
        <f>IF(EPe_BA_intern_assesment_Raw_data___Sheet13[[#This Row],[Customer Rating]]&gt;8,EPe_BA_intern_assesment_Raw_data___Sheet13[[#This Row],[Customer Rating]])</f>
        <v>0</v>
      </c>
      <c r="Q479" t="str">
        <f>IF(AND(EPe_BA_intern_assesment_Raw_data___Sheet13[[#This Row],[Customer Rating]]&gt;6,EPe_BA_intern_assesment_Raw_data___Sheet13[[#This Row],[Customer Rating]]&lt;9), EPe_BA_intern_assesment_Raw_data___Sheet13[[#This Row],[Customer Rating]], "")</f>
        <v/>
      </c>
      <c r="R479">
        <f>IF(EPe_BA_intern_assesment_Raw_data___Sheet13[[#This Row],[Customer Rating]]&lt;7,EPe_BA_intern_assesment_Raw_data___Sheet13[[#This Row],[Customer Rating]])</f>
        <v>0</v>
      </c>
    </row>
    <row r="480" spans="1:18" x14ac:dyDescent="0.3">
      <c r="A480" t="s">
        <v>508</v>
      </c>
      <c r="B480" t="s">
        <v>16</v>
      </c>
      <c r="C480" t="s">
        <v>17</v>
      </c>
      <c r="D480" s="1">
        <v>45948</v>
      </c>
      <c r="E480" s="1">
        <v>45949</v>
      </c>
      <c r="F480" s="1">
        <v>45951</v>
      </c>
      <c r="G480" s="1">
        <v>45954</v>
      </c>
      <c r="H480" t="s">
        <v>18</v>
      </c>
      <c r="I480" t="s">
        <v>19</v>
      </c>
      <c r="J480" s="1">
        <v>45978</v>
      </c>
      <c r="K480">
        <v>1</v>
      </c>
      <c r="L480">
        <v>2</v>
      </c>
      <c r="M480">
        <v>3</v>
      </c>
      <c r="N480">
        <v>7</v>
      </c>
      <c r="O480">
        <v>6</v>
      </c>
      <c r="P480" t="b">
        <f>IF(EPe_BA_intern_assesment_Raw_data___Sheet13[[#This Row],[Customer Rating]]&gt;8,EPe_BA_intern_assesment_Raw_data___Sheet13[[#This Row],[Customer Rating]])</f>
        <v>0</v>
      </c>
      <c r="Q480">
        <f>IF(AND(EPe_BA_intern_assesment_Raw_data___Sheet13[[#This Row],[Customer Rating]]&gt;6,EPe_BA_intern_assesment_Raw_data___Sheet13[[#This Row],[Customer Rating]]&lt;9), EPe_BA_intern_assesment_Raw_data___Sheet13[[#This Row],[Customer Rating]], "")</f>
        <v>7</v>
      </c>
      <c r="R480" t="b">
        <f>IF(EPe_BA_intern_assesment_Raw_data___Sheet13[[#This Row],[Customer Rating]]&lt;7,EPe_BA_intern_assesment_Raw_data___Sheet13[[#This Row],[Customer Rating]])</f>
        <v>0</v>
      </c>
    </row>
    <row r="481" spans="1:18" x14ac:dyDescent="0.3">
      <c r="A481" t="s">
        <v>509</v>
      </c>
      <c r="B481" t="s">
        <v>16</v>
      </c>
      <c r="C481" t="s">
        <v>17</v>
      </c>
      <c r="D481" s="1">
        <v>45943</v>
      </c>
      <c r="E481" s="1">
        <v>45946</v>
      </c>
      <c r="F481" s="1">
        <v>45950</v>
      </c>
      <c r="G481" s="1">
        <v>45955</v>
      </c>
      <c r="H481" t="s">
        <v>25</v>
      </c>
      <c r="I481" t="s">
        <v>28</v>
      </c>
      <c r="J481" s="1"/>
      <c r="K481">
        <v>3</v>
      </c>
      <c r="L481">
        <v>4</v>
      </c>
      <c r="M481">
        <v>5</v>
      </c>
      <c r="O481">
        <v>12</v>
      </c>
      <c r="P481" t="b">
        <f>IF(EPe_BA_intern_assesment_Raw_data___Sheet13[[#This Row],[Customer Rating]]&gt;8,EPe_BA_intern_assesment_Raw_data___Sheet13[[#This Row],[Customer Rating]])</f>
        <v>0</v>
      </c>
      <c r="Q481" t="str">
        <f>IF(AND(EPe_BA_intern_assesment_Raw_data___Sheet13[[#This Row],[Customer Rating]]&gt;6,EPe_BA_intern_assesment_Raw_data___Sheet13[[#This Row],[Customer Rating]]&lt;9), EPe_BA_intern_assesment_Raw_data___Sheet13[[#This Row],[Customer Rating]], "")</f>
        <v/>
      </c>
      <c r="R481">
        <f>IF(EPe_BA_intern_assesment_Raw_data___Sheet13[[#This Row],[Customer Rating]]&lt;7,EPe_BA_intern_assesment_Raw_data___Sheet13[[#This Row],[Customer Rating]])</f>
        <v>0</v>
      </c>
    </row>
    <row r="482" spans="1:18" x14ac:dyDescent="0.3">
      <c r="A482" t="s">
        <v>510</v>
      </c>
      <c r="B482" t="s">
        <v>23</v>
      </c>
      <c r="C482" t="s">
        <v>17</v>
      </c>
      <c r="D482" s="1">
        <v>45945</v>
      </c>
      <c r="E482" s="1">
        <v>45947</v>
      </c>
      <c r="F482" s="1">
        <v>45949</v>
      </c>
      <c r="G482" s="1">
        <v>45956</v>
      </c>
      <c r="H482" t="s">
        <v>18</v>
      </c>
      <c r="I482" t="s">
        <v>19</v>
      </c>
      <c r="J482" s="1">
        <v>45967</v>
      </c>
      <c r="K482">
        <v>2</v>
      </c>
      <c r="L482">
        <v>2</v>
      </c>
      <c r="M482">
        <v>7</v>
      </c>
      <c r="N482">
        <v>2</v>
      </c>
      <c r="O482">
        <v>11</v>
      </c>
      <c r="P482" t="b">
        <f>IF(EPe_BA_intern_assesment_Raw_data___Sheet13[[#This Row],[Customer Rating]]&gt;8,EPe_BA_intern_assesment_Raw_data___Sheet13[[#This Row],[Customer Rating]])</f>
        <v>0</v>
      </c>
      <c r="Q482" t="str">
        <f>IF(AND(EPe_BA_intern_assesment_Raw_data___Sheet13[[#This Row],[Customer Rating]]&gt;6,EPe_BA_intern_assesment_Raw_data___Sheet13[[#This Row],[Customer Rating]]&lt;9), EPe_BA_intern_assesment_Raw_data___Sheet13[[#This Row],[Customer Rating]], "")</f>
        <v/>
      </c>
      <c r="R482">
        <f>IF(EPe_BA_intern_assesment_Raw_data___Sheet13[[#This Row],[Customer Rating]]&lt;7,EPe_BA_intern_assesment_Raw_data___Sheet13[[#This Row],[Customer Rating]])</f>
        <v>2</v>
      </c>
    </row>
    <row r="483" spans="1:18" x14ac:dyDescent="0.3">
      <c r="A483" t="s">
        <v>511</v>
      </c>
      <c r="B483" t="s">
        <v>23</v>
      </c>
      <c r="C483" t="s">
        <v>17</v>
      </c>
      <c r="D483" s="1">
        <v>45960</v>
      </c>
      <c r="E483" s="1">
        <v>45962</v>
      </c>
      <c r="F483" s="1">
        <v>45965</v>
      </c>
      <c r="G483" s="1">
        <v>45971</v>
      </c>
      <c r="H483" t="s">
        <v>18</v>
      </c>
      <c r="I483" t="s">
        <v>19</v>
      </c>
      <c r="J483" s="1">
        <v>45992</v>
      </c>
      <c r="K483">
        <v>2</v>
      </c>
      <c r="L483">
        <v>3</v>
      </c>
      <c r="M483">
        <v>6</v>
      </c>
      <c r="N483">
        <v>8</v>
      </c>
      <c r="O483">
        <v>11</v>
      </c>
      <c r="P483" t="b">
        <f>IF(EPe_BA_intern_assesment_Raw_data___Sheet13[[#This Row],[Customer Rating]]&gt;8,EPe_BA_intern_assesment_Raw_data___Sheet13[[#This Row],[Customer Rating]])</f>
        <v>0</v>
      </c>
      <c r="Q483">
        <f>IF(AND(EPe_BA_intern_assesment_Raw_data___Sheet13[[#This Row],[Customer Rating]]&gt;6,EPe_BA_intern_assesment_Raw_data___Sheet13[[#This Row],[Customer Rating]]&lt;9), EPe_BA_intern_assesment_Raw_data___Sheet13[[#This Row],[Customer Rating]], "")</f>
        <v>8</v>
      </c>
      <c r="R483" t="b">
        <f>IF(EPe_BA_intern_assesment_Raw_data___Sheet13[[#This Row],[Customer Rating]]&lt;7,EPe_BA_intern_assesment_Raw_data___Sheet13[[#This Row],[Customer Rating]])</f>
        <v>0</v>
      </c>
    </row>
    <row r="484" spans="1:18" x14ac:dyDescent="0.3">
      <c r="A484" t="s">
        <v>512</v>
      </c>
      <c r="B484" t="s">
        <v>21</v>
      </c>
      <c r="C484" t="s">
        <v>17</v>
      </c>
      <c r="D484" s="1">
        <v>45941</v>
      </c>
      <c r="E484" s="1">
        <v>45942</v>
      </c>
      <c r="F484" s="1">
        <v>45944</v>
      </c>
      <c r="G484" s="1">
        <v>45946</v>
      </c>
      <c r="H484" t="s">
        <v>18</v>
      </c>
      <c r="I484" t="s">
        <v>19</v>
      </c>
      <c r="J484" s="1">
        <v>45962</v>
      </c>
      <c r="K484">
        <v>1</v>
      </c>
      <c r="L484">
        <v>2</v>
      </c>
      <c r="M484">
        <v>2</v>
      </c>
      <c r="N484">
        <v>5</v>
      </c>
      <c r="O484">
        <v>5</v>
      </c>
      <c r="P484" t="b">
        <f>IF(EPe_BA_intern_assesment_Raw_data___Sheet13[[#This Row],[Customer Rating]]&gt;8,EPe_BA_intern_assesment_Raw_data___Sheet13[[#This Row],[Customer Rating]])</f>
        <v>0</v>
      </c>
      <c r="Q484" t="str">
        <f>IF(AND(EPe_BA_intern_assesment_Raw_data___Sheet13[[#This Row],[Customer Rating]]&gt;6,EPe_BA_intern_assesment_Raw_data___Sheet13[[#This Row],[Customer Rating]]&lt;9), EPe_BA_intern_assesment_Raw_data___Sheet13[[#This Row],[Customer Rating]], "")</f>
        <v/>
      </c>
      <c r="R484">
        <f>IF(EPe_BA_intern_assesment_Raw_data___Sheet13[[#This Row],[Customer Rating]]&lt;7,EPe_BA_intern_assesment_Raw_data___Sheet13[[#This Row],[Customer Rating]])</f>
        <v>5</v>
      </c>
    </row>
    <row r="485" spans="1:18" x14ac:dyDescent="0.3">
      <c r="A485" t="s">
        <v>513</v>
      </c>
      <c r="B485" t="s">
        <v>21</v>
      </c>
      <c r="C485" t="s">
        <v>17</v>
      </c>
      <c r="D485" s="1">
        <v>45958</v>
      </c>
      <c r="E485" s="1">
        <v>45961</v>
      </c>
      <c r="F485" s="1">
        <v>45964</v>
      </c>
      <c r="G485" s="1">
        <v>45970</v>
      </c>
      <c r="H485" t="s">
        <v>18</v>
      </c>
      <c r="I485" t="s">
        <v>19</v>
      </c>
      <c r="J485" s="1">
        <v>45988</v>
      </c>
      <c r="K485">
        <v>3</v>
      </c>
      <c r="L485">
        <v>3</v>
      </c>
      <c r="M485">
        <v>6</v>
      </c>
      <c r="N485">
        <v>5</v>
      </c>
      <c r="O485">
        <v>12</v>
      </c>
      <c r="P485" t="b">
        <f>IF(EPe_BA_intern_assesment_Raw_data___Sheet13[[#This Row],[Customer Rating]]&gt;8,EPe_BA_intern_assesment_Raw_data___Sheet13[[#This Row],[Customer Rating]])</f>
        <v>0</v>
      </c>
      <c r="Q485" t="str">
        <f>IF(AND(EPe_BA_intern_assesment_Raw_data___Sheet13[[#This Row],[Customer Rating]]&gt;6,EPe_BA_intern_assesment_Raw_data___Sheet13[[#This Row],[Customer Rating]]&lt;9), EPe_BA_intern_assesment_Raw_data___Sheet13[[#This Row],[Customer Rating]], "")</f>
        <v/>
      </c>
      <c r="R485">
        <f>IF(EPe_BA_intern_assesment_Raw_data___Sheet13[[#This Row],[Customer Rating]]&lt;7,EPe_BA_intern_assesment_Raw_data___Sheet13[[#This Row],[Customer Rating]])</f>
        <v>5</v>
      </c>
    </row>
    <row r="486" spans="1:18" x14ac:dyDescent="0.3">
      <c r="A486" t="s">
        <v>514</v>
      </c>
      <c r="B486" t="s">
        <v>16</v>
      </c>
      <c r="C486" t="s">
        <v>17</v>
      </c>
      <c r="D486" s="1">
        <v>45937</v>
      </c>
      <c r="E486" s="1">
        <v>45941</v>
      </c>
      <c r="F486" s="1">
        <v>45942</v>
      </c>
      <c r="G486" s="1">
        <v>45944</v>
      </c>
      <c r="H486" t="s">
        <v>18</v>
      </c>
      <c r="I486" t="s">
        <v>19</v>
      </c>
      <c r="J486" s="1">
        <v>45965</v>
      </c>
      <c r="K486">
        <v>4</v>
      </c>
      <c r="L486">
        <v>1</v>
      </c>
      <c r="M486">
        <v>2</v>
      </c>
      <c r="N486">
        <v>6</v>
      </c>
      <c r="O486">
        <v>7</v>
      </c>
      <c r="P486" t="b">
        <f>IF(EPe_BA_intern_assesment_Raw_data___Sheet13[[#This Row],[Customer Rating]]&gt;8,EPe_BA_intern_assesment_Raw_data___Sheet13[[#This Row],[Customer Rating]])</f>
        <v>0</v>
      </c>
      <c r="Q486" t="str">
        <f>IF(AND(EPe_BA_intern_assesment_Raw_data___Sheet13[[#This Row],[Customer Rating]]&gt;6,EPe_BA_intern_assesment_Raw_data___Sheet13[[#This Row],[Customer Rating]]&lt;9), EPe_BA_intern_assesment_Raw_data___Sheet13[[#This Row],[Customer Rating]], "")</f>
        <v/>
      </c>
      <c r="R486">
        <f>IF(EPe_BA_intern_assesment_Raw_data___Sheet13[[#This Row],[Customer Rating]]&lt;7,EPe_BA_intern_assesment_Raw_data___Sheet13[[#This Row],[Customer Rating]])</f>
        <v>6</v>
      </c>
    </row>
    <row r="487" spans="1:18" x14ac:dyDescent="0.3">
      <c r="A487" t="s">
        <v>515</v>
      </c>
      <c r="B487" t="s">
        <v>34</v>
      </c>
      <c r="C487" t="s">
        <v>17</v>
      </c>
      <c r="D487" s="1">
        <v>45953</v>
      </c>
      <c r="E487" s="1">
        <v>45955</v>
      </c>
      <c r="F487" s="1">
        <v>45959</v>
      </c>
      <c r="G487" s="1">
        <v>45963</v>
      </c>
      <c r="H487" t="s">
        <v>25</v>
      </c>
      <c r="I487" t="s">
        <v>28</v>
      </c>
      <c r="J487" s="1"/>
      <c r="K487">
        <v>2</v>
      </c>
      <c r="L487">
        <v>4</v>
      </c>
      <c r="M487">
        <v>4</v>
      </c>
      <c r="O487">
        <v>10</v>
      </c>
      <c r="P487" t="b">
        <f>IF(EPe_BA_intern_assesment_Raw_data___Sheet13[[#This Row],[Customer Rating]]&gt;8,EPe_BA_intern_assesment_Raw_data___Sheet13[[#This Row],[Customer Rating]])</f>
        <v>0</v>
      </c>
      <c r="Q487" t="str">
        <f>IF(AND(EPe_BA_intern_assesment_Raw_data___Sheet13[[#This Row],[Customer Rating]]&gt;6,EPe_BA_intern_assesment_Raw_data___Sheet13[[#This Row],[Customer Rating]]&lt;9), EPe_BA_intern_assesment_Raw_data___Sheet13[[#This Row],[Customer Rating]], "")</f>
        <v/>
      </c>
      <c r="R487">
        <f>IF(EPe_BA_intern_assesment_Raw_data___Sheet13[[#This Row],[Customer Rating]]&lt;7,EPe_BA_intern_assesment_Raw_data___Sheet13[[#This Row],[Customer Rating]])</f>
        <v>0</v>
      </c>
    </row>
    <row r="488" spans="1:18" x14ac:dyDescent="0.3">
      <c r="A488" t="s">
        <v>516</v>
      </c>
      <c r="B488" t="s">
        <v>34</v>
      </c>
      <c r="C488" t="s">
        <v>17</v>
      </c>
      <c r="D488" s="1">
        <v>45938</v>
      </c>
      <c r="E488" s="1">
        <v>45942</v>
      </c>
      <c r="F488" s="1">
        <v>45945</v>
      </c>
      <c r="G488" s="1">
        <v>45949</v>
      </c>
      <c r="H488" t="s">
        <v>18</v>
      </c>
      <c r="I488" t="s">
        <v>19</v>
      </c>
      <c r="J488" s="1">
        <v>45973</v>
      </c>
      <c r="K488">
        <v>4</v>
      </c>
      <c r="L488">
        <v>3</v>
      </c>
      <c r="M488">
        <v>4</v>
      </c>
      <c r="N488">
        <v>9</v>
      </c>
      <c r="O488">
        <v>11</v>
      </c>
      <c r="P488">
        <f>IF(EPe_BA_intern_assesment_Raw_data___Sheet13[[#This Row],[Customer Rating]]&gt;8,EPe_BA_intern_assesment_Raw_data___Sheet13[[#This Row],[Customer Rating]])</f>
        <v>9</v>
      </c>
      <c r="Q488" t="str">
        <f>IF(AND(EPe_BA_intern_assesment_Raw_data___Sheet13[[#This Row],[Customer Rating]]&gt;6,EPe_BA_intern_assesment_Raw_data___Sheet13[[#This Row],[Customer Rating]]&lt;9), EPe_BA_intern_assesment_Raw_data___Sheet13[[#This Row],[Customer Rating]], "")</f>
        <v/>
      </c>
      <c r="R488" t="b">
        <f>IF(EPe_BA_intern_assesment_Raw_data___Sheet13[[#This Row],[Customer Rating]]&lt;7,EPe_BA_intern_assesment_Raw_data___Sheet13[[#This Row],[Customer Rating]])</f>
        <v>0</v>
      </c>
    </row>
    <row r="489" spans="1:18" x14ac:dyDescent="0.3">
      <c r="A489" t="s">
        <v>517</v>
      </c>
      <c r="B489" t="s">
        <v>23</v>
      </c>
      <c r="C489" t="s">
        <v>32</v>
      </c>
      <c r="D489" s="1">
        <v>45949</v>
      </c>
      <c r="E489" s="1">
        <v>45953</v>
      </c>
      <c r="F489" s="1">
        <v>45954</v>
      </c>
      <c r="G489" s="1">
        <v>45957</v>
      </c>
      <c r="H489" t="s">
        <v>18</v>
      </c>
      <c r="I489" t="s">
        <v>19</v>
      </c>
      <c r="J489" s="1">
        <v>45983</v>
      </c>
      <c r="K489">
        <v>4</v>
      </c>
      <c r="L489">
        <v>1</v>
      </c>
      <c r="M489">
        <v>3</v>
      </c>
      <c r="N489">
        <v>4</v>
      </c>
      <c r="O489">
        <v>8</v>
      </c>
      <c r="P489" t="b">
        <f>IF(EPe_BA_intern_assesment_Raw_data___Sheet13[[#This Row],[Customer Rating]]&gt;8,EPe_BA_intern_assesment_Raw_data___Sheet13[[#This Row],[Customer Rating]])</f>
        <v>0</v>
      </c>
      <c r="Q489" t="str">
        <f>IF(AND(EPe_BA_intern_assesment_Raw_data___Sheet13[[#This Row],[Customer Rating]]&gt;6,EPe_BA_intern_assesment_Raw_data___Sheet13[[#This Row],[Customer Rating]]&lt;9), EPe_BA_intern_assesment_Raw_data___Sheet13[[#This Row],[Customer Rating]], "")</f>
        <v/>
      </c>
      <c r="R489">
        <f>IF(EPe_BA_intern_assesment_Raw_data___Sheet13[[#This Row],[Customer Rating]]&lt;7,EPe_BA_intern_assesment_Raw_data___Sheet13[[#This Row],[Customer Rating]])</f>
        <v>4</v>
      </c>
    </row>
    <row r="490" spans="1:18" x14ac:dyDescent="0.3">
      <c r="A490" t="s">
        <v>518</v>
      </c>
      <c r="B490" t="s">
        <v>23</v>
      </c>
      <c r="C490" t="s">
        <v>17</v>
      </c>
      <c r="D490" s="1">
        <v>45943</v>
      </c>
      <c r="E490" s="1">
        <v>45948</v>
      </c>
      <c r="F490" s="1">
        <v>45953</v>
      </c>
      <c r="G490" s="1">
        <v>45958</v>
      </c>
      <c r="H490" t="s">
        <v>18</v>
      </c>
      <c r="I490" t="s">
        <v>19</v>
      </c>
      <c r="J490" s="1">
        <v>45980</v>
      </c>
      <c r="K490">
        <v>5</v>
      </c>
      <c r="L490">
        <v>5</v>
      </c>
      <c r="M490">
        <v>5</v>
      </c>
      <c r="N490">
        <v>5</v>
      </c>
      <c r="O490">
        <v>15</v>
      </c>
      <c r="P490" t="b">
        <f>IF(EPe_BA_intern_assesment_Raw_data___Sheet13[[#This Row],[Customer Rating]]&gt;8,EPe_BA_intern_assesment_Raw_data___Sheet13[[#This Row],[Customer Rating]])</f>
        <v>0</v>
      </c>
      <c r="Q490" t="str">
        <f>IF(AND(EPe_BA_intern_assesment_Raw_data___Sheet13[[#This Row],[Customer Rating]]&gt;6,EPe_BA_intern_assesment_Raw_data___Sheet13[[#This Row],[Customer Rating]]&lt;9), EPe_BA_intern_assesment_Raw_data___Sheet13[[#This Row],[Customer Rating]], "")</f>
        <v/>
      </c>
      <c r="R490">
        <f>IF(EPe_BA_intern_assesment_Raw_data___Sheet13[[#This Row],[Customer Rating]]&lt;7,EPe_BA_intern_assesment_Raw_data___Sheet13[[#This Row],[Customer Rating]])</f>
        <v>5</v>
      </c>
    </row>
    <row r="491" spans="1:18" x14ac:dyDescent="0.3">
      <c r="A491" t="s">
        <v>519</v>
      </c>
      <c r="B491" t="s">
        <v>23</v>
      </c>
      <c r="C491" t="s">
        <v>32</v>
      </c>
      <c r="D491" s="1">
        <v>45938</v>
      </c>
      <c r="E491" s="1">
        <v>45939</v>
      </c>
      <c r="F491" s="1">
        <v>45941</v>
      </c>
      <c r="G491" s="1">
        <v>45947</v>
      </c>
      <c r="H491" t="s">
        <v>18</v>
      </c>
      <c r="I491" t="s">
        <v>19</v>
      </c>
      <c r="J491" s="1">
        <v>45977</v>
      </c>
      <c r="K491">
        <v>1</v>
      </c>
      <c r="L491">
        <v>2</v>
      </c>
      <c r="M491">
        <v>6</v>
      </c>
      <c r="N491">
        <v>2</v>
      </c>
      <c r="O491">
        <v>9</v>
      </c>
      <c r="P491" t="b">
        <f>IF(EPe_BA_intern_assesment_Raw_data___Sheet13[[#This Row],[Customer Rating]]&gt;8,EPe_BA_intern_assesment_Raw_data___Sheet13[[#This Row],[Customer Rating]])</f>
        <v>0</v>
      </c>
      <c r="Q491" t="str">
        <f>IF(AND(EPe_BA_intern_assesment_Raw_data___Sheet13[[#This Row],[Customer Rating]]&gt;6,EPe_BA_intern_assesment_Raw_data___Sheet13[[#This Row],[Customer Rating]]&lt;9), EPe_BA_intern_assesment_Raw_data___Sheet13[[#This Row],[Customer Rating]], "")</f>
        <v/>
      </c>
      <c r="R491">
        <f>IF(EPe_BA_intern_assesment_Raw_data___Sheet13[[#This Row],[Customer Rating]]&lt;7,EPe_BA_intern_assesment_Raw_data___Sheet13[[#This Row],[Customer Rating]])</f>
        <v>2</v>
      </c>
    </row>
    <row r="492" spans="1:18" x14ac:dyDescent="0.3">
      <c r="A492" t="s">
        <v>520</v>
      </c>
      <c r="B492" t="s">
        <v>21</v>
      </c>
      <c r="C492" t="s">
        <v>17</v>
      </c>
      <c r="D492" s="1">
        <v>45958</v>
      </c>
      <c r="E492" s="1">
        <v>45959</v>
      </c>
      <c r="F492" s="1">
        <v>45960</v>
      </c>
      <c r="G492" s="1">
        <v>45965</v>
      </c>
      <c r="H492" t="s">
        <v>18</v>
      </c>
      <c r="I492" t="s">
        <v>19</v>
      </c>
      <c r="J492" s="1">
        <v>45978</v>
      </c>
      <c r="K492">
        <v>1</v>
      </c>
      <c r="L492">
        <v>1</v>
      </c>
      <c r="M492">
        <v>5</v>
      </c>
      <c r="N492">
        <v>9</v>
      </c>
      <c r="O492">
        <v>7</v>
      </c>
      <c r="P492">
        <f>IF(EPe_BA_intern_assesment_Raw_data___Sheet13[[#This Row],[Customer Rating]]&gt;8,EPe_BA_intern_assesment_Raw_data___Sheet13[[#This Row],[Customer Rating]])</f>
        <v>9</v>
      </c>
      <c r="Q492" t="str">
        <f>IF(AND(EPe_BA_intern_assesment_Raw_data___Sheet13[[#This Row],[Customer Rating]]&gt;6,EPe_BA_intern_assesment_Raw_data___Sheet13[[#This Row],[Customer Rating]]&lt;9), EPe_BA_intern_assesment_Raw_data___Sheet13[[#This Row],[Customer Rating]], "")</f>
        <v/>
      </c>
      <c r="R492" t="b">
        <f>IF(EPe_BA_intern_assesment_Raw_data___Sheet13[[#This Row],[Customer Rating]]&lt;7,EPe_BA_intern_assesment_Raw_data___Sheet13[[#This Row],[Customer Rating]])</f>
        <v>0</v>
      </c>
    </row>
    <row r="493" spans="1:18" x14ac:dyDescent="0.3">
      <c r="A493" t="s">
        <v>521</v>
      </c>
      <c r="B493" t="s">
        <v>21</v>
      </c>
      <c r="C493" t="s">
        <v>17</v>
      </c>
      <c r="D493" s="1">
        <v>45955</v>
      </c>
      <c r="E493" s="1">
        <v>45956</v>
      </c>
      <c r="F493" s="1">
        <v>45959</v>
      </c>
      <c r="G493" s="1">
        <v>45963</v>
      </c>
      <c r="H493" t="s">
        <v>25</v>
      </c>
      <c r="I493" t="s">
        <v>26</v>
      </c>
      <c r="J493" s="1"/>
      <c r="K493">
        <v>1</v>
      </c>
      <c r="L493">
        <v>3</v>
      </c>
      <c r="M493">
        <v>4</v>
      </c>
      <c r="O493">
        <v>8</v>
      </c>
      <c r="P493" t="b">
        <f>IF(EPe_BA_intern_assesment_Raw_data___Sheet13[[#This Row],[Customer Rating]]&gt;8,EPe_BA_intern_assesment_Raw_data___Sheet13[[#This Row],[Customer Rating]])</f>
        <v>0</v>
      </c>
      <c r="Q493" t="str">
        <f>IF(AND(EPe_BA_intern_assesment_Raw_data___Sheet13[[#This Row],[Customer Rating]]&gt;6,EPe_BA_intern_assesment_Raw_data___Sheet13[[#This Row],[Customer Rating]]&lt;9), EPe_BA_intern_assesment_Raw_data___Sheet13[[#This Row],[Customer Rating]], "")</f>
        <v/>
      </c>
      <c r="R493">
        <f>IF(EPe_BA_intern_assesment_Raw_data___Sheet13[[#This Row],[Customer Rating]]&lt;7,EPe_BA_intern_assesment_Raw_data___Sheet13[[#This Row],[Customer Rating]])</f>
        <v>0</v>
      </c>
    </row>
    <row r="494" spans="1:18" x14ac:dyDescent="0.3">
      <c r="A494" t="s">
        <v>522</v>
      </c>
      <c r="B494" t="s">
        <v>23</v>
      </c>
      <c r="C494" t="s">
        <v>17</v>
      </c>
      <c r="D494" s="1">
        <v>45944</v>
      </c>
      <c r="E494" s="1">
        <v>45947</v>
      </c>
      <c r="F494" s="1">
        <v>45951</v>
      </c>
      <c r="G494" s="1">
        <v>45957</v>
      </c>
      <c r="H494" t="s">
        <v>18</v>
      </c>
      <c r="I494" t="s">
        <v>19</v>
      </c>
      <c r="J494" s="1">
        <v>45967</v>
      </c>
      <c r="K494">
        <v>3</v>
      </c>
      <c r="L494">
        <v>4</v>
      </c>
      <c r="M494">
        <v>6</v>
      </c>
      <c r="N494">
        <v>3</v>
      </c>
      <c r="O494">
        <v>13</v>
      </c>
      <c r="P494" t="b">
        <f>IF(EPe_BA_intern_assesment_Raw_data___Sheet13[[#This Row],[Customer Rating]]&gt;8,EPe_BA_intern_assesment_Raw_data___Sheet13[[#This Row],[Customer Rating]])</f>
        <v>0</v>
      </c>
      <c r="Q494" t="str">
        <f>IF(AND(EPe_BA_intern_assesment_Raw_data___Sheet13[[#This Row],[Customer Rating]]&gt;6,EPe_BA_intern_assesment_Raw_data___Sheet13[[#This Row],[Customer Rating]]&lt;9), EPe_BA_intern_assesment_Raw_data___Sheet13[[#This Row],[Customer Rating]], "")</f>
        <v/>
      </c>
      <c r="R494">
        <f>IF(EPe_BA_intern_assesment_Raw_data___Sheet13[[#This Row],[Customer Rating]]&lt;7,EPe_BA_intern_assesment_Raw_data___Sheet13[[#This Row],[Customer Rating]])</f>
        <v>3</v>
      </c>
    </row>
    <row r="495" spans="1:18" x14ac:dyDescent="0.3">
      <c r="A495" t="s">
        <v>523</v>
      </c>
      <c r="B495" t="s">
        <v>23</v>
      </c>
      <c r="C495" t="s">
        <v>17</v>
      </c>
      <c r="D495" s="1">
        <v>45932</v>
      </c>
      <c r="E495" s="1">
        <v>45934</v>
      </c>
      <c r="F495" s="1">
        <v>45939</v>
      </c>
      <c r="G495" s="1">
        <v>45946</v>
      </c>
      <c r="H495" t="s">
        <v>18</v>
      </c>
      <c r="I495" t="s">
        <v>19</v>
      </c>
      <c r="J495" s="1">
        <v>45963</v>
      </c>
      <c r="K495">
        <v>2</v>
      </c>
      <c r="L495">
        <v>5</v>
      </c>
      <c r="M495">
        <v>7</v>
      </c>
      <c r="N495">
        <v>1</v>
      </c>
      <c r="O495">
        <v>14</v>
      </c>
      <c r="P495" t="b">
        <f>IF(EPe_BA_intern_assesment_Raw_data___Sheet13[[#This Row],[Customer Rating]]&gt;8,EPe_BA_intern_assesment_Raw_data___Sheet13[[#This Row],[Customer Rating]])</f>
        <v>0</v>
      </c>
      <c r="Q495" t="str">
        <f>IF(AND(EPe_BA_intern_assesment_Raw_data___Sheet13[[#This Row],[Customer Rating]]&gt;6,EPe_BA_intern_assesment_Raw_data___Sheet13[[#This Row],[Customer Rating]]&lt;9), EPe_BA_intern_assesment_Raw_data___Sheet13[[#This Row],[Customer Rating]], "")</f>
        <v/>
      </c>
      <c r="R495">
        <f>IF(EPe_BA_intern_assesment_Raw_data___Sheet13[[#This Row],[Customer Rating]]&lt;7,EPe_BA_intern_assesment_Raw_data___Sheet13[[#This Row],[Customer Rating]])</f>
        <v>1</v>
      </c>
    </row>
    <row r="496" spans="1:18" x14ac:dyDescent="0.3">
      <c r="A496" t="s">
        <v>524</v>
      </c>
      <c r="B496" t="s">
        <v>23</v>
      </c>
      <c r="C496" t="s">
        <v>24</v>
      </c>
      <c r="D496" s="1">
        <v>45941</v>
      </c>
      <c r="E496" s="1"/>
      <c r="F496" s="1"/>
      <c r="G496" s="1"/>
      <c r="H496" t="s">
        <v>25</v>
      </c>
      <c r="I496" t="s">
        <v>103</v>
      </c>
      <c r="J496" s="1"/>
      <c r="P496" t="b">
        <f>IF(EPe_BA_intern_assesment_Raw_data___Sheet13[[#This Row],[Customer Rating]]&gt;8,EPe_BA_intern_assesment_Raw_data___Sheet13[[#This Row],[Customer Rating]])</f>
        <v>0</v>
      </c>
      <c r="Q496" t="str">
        <f>IF(AND(EPe_BA_intern_assesment_Raw_data___Sheet13[[#This Row],[Customer Rating]]&gt;6,EPe_BA_intern_assesment_Raw_data___Sheet13[[#This Row],[Customer Rating]]&lt;9), EPe_BA_intern_assesment_Raw_data___Sheet13[[#This Row],[Customer Rating]], "")</f>
        <v/>
      </c>
      <c r="R496">
        <f>IF(EPe_BA_intern_assesment_Raw_data___Sheet13[[#This Row],[Customer Rating]]&lt;7,EPe_BA_intern_assesment_Raw_data___Sheet13[[#This Row],[Customer Rating]])</f>
        <v>0</v>
      </c>
    </row>
    <row r="497" spans="1:18" x14ac:dyDescent="0.3">
      <c r="A497" t="s">
        <v>525</v>
      </c>
      <c r="B497" t="s">
        <v>34</v>
      </c>
      <c r="C497" t="s">
        <v>24</v>
      </c>
      <c r="D497" s="1">
        <v>45954</v>
      </c>
      <c r="E497" s="1"/>
      <c r="F497" s="1"/>
      <c r="G497" s="1"/>
      <c r="H497" t="s">
        <v>25</v>
      </c>
      <c r="I497" t="s">
        <v>65</v>
      </c>
      <c r="J497" s="1"/>
      <c r="P497" t="b">
        <f>IF(EPe_BA_intern_assesment_Raw_data___Sheet13[[#This Row],[Customer Rating]]&gt;8,EPe_BA_intern_assesment_Raw_data___Sheet13[[#This Row],[Customer Rating]])</f>
        <v>0</v>
      </c>
      <c r="Q497" t="str">
        <f>IF(AND(EPe_BA_intern_assesment_Raw_data___Sheet13[[#This Row],[Customer Rating]]&gt;6,EPe_BA_intern_assesment_Raw_data___Sheet13[[#This Row],[Customer Rating]]&lt;9), EPe_BA_intern_assesment_Raw_data___Sheet13[[#This Row],[Customer Rating]], "")</f>
        <v/>
      </c>
      <c r="R497">
        <f>IF(EPe_BA_intern_assesment_Raw_data___Sheet13[[#This Row],[Customer Rating]]&lt;7,EPe_BA_intern_assesment_Raw_data___Sheet13[[#This Row],[Customer Rating]])</f>
        <v>0</v>
      </c>
    </row>
    <row r="498" spans="1:18" x14ac:dyDescent="0.3">
      <c r="A498" t="s">
        <v>526</v>
      </c>
      <c r="B498" t="s">
        <v>21</v>
      </c>
      <c r="C498" t="s">
        <v>24</v>
      </c>
      <c r="D498" s="1">
        <v>45946</v>
      </c>
      <c r="E498" s="1"/>
      <c r="F498" s="1"/>
      <c r="G498" s="1"/>
      <c r="H498" t="s">
        <v>25</v>
      </c>
      <c r="I498" t="s">
        <v>65</v>
      </c>
      <c r="J498" s="1"/>
      <c r="P498" t="b">
        <f>IF(EPe_BA_intern_assesment_Raw_data___Sheet13[[#This Row],[Customer Rating]]&gt;8,EPe_BA_intern_assesment_Raw_data___Sheet13[[#This Row],[Customer Rating]])</f>
        <v>0</v>
      </c>
      <c r="Q498" t="str">
        <f>IF(AND(EPe_BA_intern_assesment_Raw_data___Sheet13[[#This Row],[Customer Rating]]&gt;6,EPe_BA_intern_assesment_Raw_data___Sheet13[[#This Row],[Customer Rating]]&lt;9), EPe_BA_intern_assesment_Raw_data___Sheet13[[#This Row],[Customer Rating]], "")</f>
        <v/>
      </c>
      <c r="R498">
        <f>IF(EPe_BA_intern_assesment_Raw_data___Sheet13[[#This Row],[Customer Rating]]&lt;7,EPe_BA_intern_assesment_Raw_data___Sheet13[[#This Row],[Customer Rating]])</f>
        <v>0</v>
      </c>
    </row>
    <row r="499" spans="1:18" x14ac:dyDescent="0.3">
      <c r="A499" t="s">
        <v>527</v>
      </c>
      <c r="B499" t="s">
        <v>34</v>
      </c>
      <c r="C499" t="s">
        <v>24</v>
      </c>
      <c r="D499" s="1">
        <v>45953</v>
      </c>
      <c r="E499" s="1"/>
      <c r="F499" s="1"/>
      <c r="G499" s="1"/>
      <c r="H499" t="s">
        <v>25</v>
      </c>
      <c r="I499" t="s">
        <v>103</v>
      </c>
      <c r="J499" s="1"/>
      <c r="P499" t="b">
        <f>IF(EPe_BA_intern_assesment_Raw_data___Sheet13[[#This Row],[Customer Rating]]&gt;8,EPe_BA_intern_assesment_Raw_data___Sheet13[[#This Row],[Customer Rating]])</f>
        <v>0</v>
      </c>
      <c r="Q499" t="str">
        <f>IF(AND(EPe_BA_intern_assesment_Raw_data___Sheet13[[#This Row],[Customer Rating]]&gt;6,EPe_BA_intern_assesment_Raw_data___Sheet13[[#This Row],[Customer Rating]]&lt;9), EPe_BA_intern_assesment_Raw_data___Sheet13[[#This Row],[Customer Rating]], "")</f>
        <v/>
      </c>
      <c r="R499">
        <f>IF(EPe_BA_intern_assesment_Raw_data___Sheet13[[#This Row],[Customer Rating]]&lt;7,EPe_BA_intern_assesment_Raw_data___Sheet13[[#This Row],[Customer Rating]])</f>
        <v>0</v>
      </c>
    </row>
    <row r="500" spans="1:18" x14ac:dyDescent="0.3">
      <c r="A500" t="s">
        <v>528</v>
      </c>
      <c r="B500" t="s">
        <v>34</v>
      </c>
      <c r="C500" t="s">
        <v>32</v>
      </c>
      <c r="D500" s="1">
        <v>45960</v>
      </c>
      <c r="E500" s="1">
        <v>45962</v>
      </c>
      <c r="F500" s="1">
        <v>45967</v>
      </c>
      <c r="G500" s="1">
        <v>45970</v>
      </c>
      <c r="H500" t="s">
        <v>18</v>
      </c>
      <c r="I500" t="s">
        <v>19</v>
      </c>
      <c r="J500" s="1">
        <v>45991</v>
      </c>
      <c r="K500">
        <v>2</v>
      </c>
      <c r="L500">
        <v>5</v>
      </c>
      <c r="M500">
        <v>3</v>
      </c>
      <c r="N500">
        <v>8</v>
      </c>
      <c r="O500">
        <v>10</v>
      </c>
      <c r="P500" t="b">
        <f>IF(EPe_BA_intern_assesment_Raw_data___Sheet13[[#This Row],[Customer Rating]]&gt;8,EPe_BA_intern_assesment_Raw_data___Sheet13[[#This Row],[Customer Rating]])</f>
        <v>0</v>
      </c>
      <c r="Q500">
        <f>IF(AND(EPe_BA_intern_assesment_Raw_data___Sheet13[[#This Row],[Customer Rating]]&gt;6,EPe_BA_intern_assesment_Raw_data___Sheet13[[#This Row],[Customer Rating]]&lt;9), EPe_BA_intern_assesment_Raw_data___Sheet13[[#This Row],[Customer Rating]], "")</f>
        <v>8</v>
      </c>
      <c r="R500" t="b">
        <f>IF(EPe_BA_intern_assesment_Raw_data___Sheet13[[#This Row],[Customer Rating]]&lt;7,EPe_BA_intern_assesment_Raw_data___Sheet13[[#This Row],[Customer Rating]])</f>
        <v>0</v>
      </c>
    </row>
    <row r="501" spans="1:18" x14ac:dyDescent="0.3">
      <c r="A501" t="s">
        <v>529</v>
      </c>
      <c r="B501" t="s">
        <v>23</v>
      </c>
      <c r="C501" t="s">
        <v>32</v>
      </c>
      <c r="D501" s="1">
        <v>45956</v>
      </c>
      <c r="E501" s="1">
        <v>45961</v>
      </c>
      <c r="F501" s="1">
        <v>45962</v>
      </c>
      <c r="G501" s="1">
        <v>45967</v>
      </c>
      <c r="H501" t="s">
        <v>18</v>
      </c>
      <c r="I501" t="s">
        <v>19</v>
      </c>
      <c r="J501" s="1">
        <v>45992</v>
      </c>
      <c r="K501">
        <v>5</v>
      </c>
      <c r="L501">
        <v>1</v>
      </c>
      <c r="M501">
        <v>5</v>
      </c>
      <c r="N501">
        <v>7</v>
      </c>
      <c r="O501">
        <v>11</v>
      </c>
      <c r="P501" t="b">
        <f>IF(EPe_BA_intern_assesment_Raw_data___Sheet13[[#This Row],[Customer Rating]]&gt;8,EPe_BA_intern_assesment_Raw_data___Sheet13[[#This Row],[Customer Rating]])</f>
        <v>0</v>
      </c>
      <c r="Q501">
        <f>IF(AND(EPe_BA_intern_assesment_Raw_data___Sheet13[[#This Row],[Customer Rating]]&gt;6,EPe_BA_intern_assesment_Raw_data___Sheet13[[#This Row],[Customer Rating]]&lt;9), EPe_BA_intern_assesment_Raw_data___Sheet13[[#This Row],[Customer Rating]], "")</f>
        <v>7</v>
      </c>
      <c r="R501" t="b">
        <f>IF(EPe_BA_intern_assesment_Raw_data___Sheet13[[#This Row],[Customer Rating]]&lt;7,EPe_BA_intern_assesment_Raw_data___Sheet13[[#This Row],[Customer Rating]])</f>
        <v>0</v>
      </c>
    </row>
    <row r="502" spans="1:18" x14ac:dyDescent="0.3">
      <c r="A502" t="s">
        <v>530</v>
      </c>
      <c r="B502" t="s">
        <v>23</v>
      </c>
      <c r="C502" t="s">
        <v>17</v>
      </c>
      <c r="D502" s="1">
        <v>45943</v>
      </c>
      <c r="E502" s="1">
        <v>45948</v>
      </c>
      <c r="F502" s="1">
        <v>45949</v>
      </c>
      <c r="G502" s="1">
        <v>45951</v>
      </c>
      <c r="H502" t="s">
        <v>18</v>
      </c>
      <c r="I502" t="s">
        <v>19</v>
      </c>
      <c r="J502" s="1">
        <v>45980</v>
      </c>
      <c r="K502">
        <v>5</v>
      </c>
      <c r="L502">
        <v>1</v>
      </c>
      <c r="M502">
        <v>2</v>
      </c>
      <c r="N502">
        <v>9</v>
      </c>
      <c r="O502">
        <v>8</v>
      </c>
      <c r="P502">
        <f>IF(EPe_BA_intern_assesment_Raw_data___Sheet13[[#This Row],[Customer Rating]]&gt;8,EPe_BA_intern_assesment_Raw_data___Sheet13[[#This Row],[Customer Rating]])</f>
        <v>9</v>
      </c>
      <c r="Q502" t="str">
        <f>IF(AND(EPe_BA_intern_assesment_Raw_data___Sheet13[[#This Row],[Customer Rating]]&gt;6,EPe_BA_intern_assesment_Raw_data___Sheet13[[#This Row],[Customer Rating]]&lt;9), EPe_BA_intern_assesment_Raw_data___Sheet13[[#This Row],[Customer Rating]], "")</f>
        <v/>
      </c>
      <c r="R502" t="b">
        <f>IF(EPe_BA_intern_assesment_Raw_data___Sheet13[[#This Row],[Customer Rating]]&lt;7,EPe_BA_intern_assesment_Raw_data___Sheet13[[#This Row],[Customer Rating]])</f>
        <v>0</v>
      </c>
    </row>
    <row r="503" spans="1:18" x14ac:dyDescent="0.3">
      <c r="A503" t="s">
        <v>531</v>
      </c>
      <c r="B503" t="s">
        <v>16</v>
      </c>
      <c r="C503" t="s">
        <v>32</v>
      </c>
      <c r="D503" s="1">
        <v>45943</v>
      </c>
      <c r="E503" s="1">
        <v>45948</v>
      </c>
      <c r="F503" s="1">
        <v>45950</v>
      </c>
      <c r="G503" s="1">
        <v>45952</v>
      </c>
      <c r="H503" t="s">
        <v>18</v>
      </c>
      <c r="I503" t="s">
        <v>19</v>
      </c>
      <c r="J503" s="1">
        <v>45976</v>
      </c>
      <c r="K503">
        <v>5</v>
      </c>
      <c r="L503">
        <v>2</v>
      </c>
      <c r="M503">
        <v>2</v>
      </c>
      <c r="N503">
        <v>4</v>
      </c>
      <c r="O503">
        <v>9</v>
      </c>
      <c r="P503" t="b">
        <f>IF(EPe_BA_intern_assesment_Raw_data___Sheet13[[#This Row],[Customer Rating]]&gt;8,EPe_BA_intern_assesment_Raw_data___Sheet13[[#This Row],[Customer Rating]])</f>
        <v>0</v>
      </c>
      <c r="Q503" t="str">
        <f>IF(AND(EPe_BA_intern_assesment_Raw_data___Sheet13[[#This Row],[Customer Rating]]&gt;6,EPe_BA_intern_assesment_Raw_data___Sheet13[[#This Row],[Customer Rating]]&lt;9), EPe_BA_intern_assesment_Raw_data___Sheet13[[#This Row],[Customer Rating]], "")</f>
        <v/>
      </c>
      <c r="R503">
        <f>IF(EPe_BA_intern_assesment_Raw_data___Sheet13[[#This Row],[Customer Rating]]&lt;7,EPe_BA_intern_assesment_Raw_data___Sheet13[[#This Row],[Customer Rating]])</f>
        <v>4</v>
      </c>
    </row>
    <row r="504" spans="1:18" x14ac:dyDescent="0.3">
      <c r="A504" t="s">
        <v>532</v>
      </c>
      <c r="B504" t="s">
        <v>16</v>
      </c>
      <c r="C504" t="s">
        <v>17</v>
      </c>
      <c r="D504" s="1">
        <v>45952</v>
      </c>
      <c r="E504" s="1">
        <v>45956</v>
      </c>
      <c r="F504" s="1">
        <v>45961</v>
      </c>
      <c r="G504" s="1">
        <v>45967</v>
      </c>
      <c r="H504" t="s">
        <v>18</v>
      </c>
      <c r="I504" t="s">
        <v>19</v>
      </c>
      <c r="J504" s="1">
        <v>45982</v>
      </c>
      <c r="K504">
        <v>4</v>
      </c>
      <c r="L504">
        <v>5</v>
      </c>
      <c r="M504">
        <v>6</v>
      </c>
      <c r="N504">
        <v>5</v>
      </c>
      <c r="O504">
        <v>15</v>
      </c>
      <c r="P504" t="b">
        <f>IF(EPe_BA_intern_assesment_Raw_data___Sheet13[[#This Row],[Customer Rating]]&gt;8,EPe_BA_intern_assesment_Raw_data___Sheet13[[#This Row],[Customer Rating]])</f>
        <v>0</v>
      </c>
      <c r="Q504" t="str">
        <f>IF(AND(EPe_BA_intern_assesment_Raw_data___Sheet13[[#This Row],[Customer Rating]]&gt;6,EPe_BA_intern_assesment_Raw_data___Sheet13[[#This Row],[Customer Rating]]&lt;9), EPe_BA_intern_assesment_Raw_data___Sheet13[[#This Row],[Customer Rating]], "")</f>
        <v/>
      </c>
      <c r="R504">
        <f>IF(EPe_BA_intern_assesment_Raw_data___Sheet13[[#This Row],[Customer Rating]]&lt;7,EPe_BA_intern_assesment_Raw_data___Sheet13[[#This Row],[Customer Rating]])</f>
        <v>5</v>
      </c>
    </row>
    <row r="505" spans="1:18" x14ac:dyDescent="0.3">
      <c r="A505" t="s">
        <v>533</v>
      </c>
      <c r="B505" t="s">
        <v>34</v>
      </c>
      <c r="C505" t="s">
        <v>17</v>
      </c>
      <c r="D505" s="1">
        <v>45956</v>
      </c>
      <c r="E505" s="1">
        <v>45957</v>
      </c>
      <c r="F505" s="1">
        <v>45962</v>
      </c>
      <c r="G505" s="1">
        <v>45964</v>
      </c>
      <c r="H505" t="s">
        <v>18</v>
      </c>
      <c r="I505" t="s">
        <v>19</v>
      </c>
      <c r="J505" s="1">
        <v>45989</v>
      </c>
      <c r="K505">
        <v>1</v>
      </c>
      <c r="L505">
        <v>5</v>
      </c>
      <c r="M505">
        <v>2</v>
      </c>
      <c r="N505">
        <v>10</v>
      </c>
      <c r="O505">
        <v>8</v>
      </c>
      <c r="P505">
        <f>IF(EPe_BA_intern_assesment_Raw_data___Sheet13[[#This Row],[Customer Rating]]&gt;8,EPe_BA_intern_assesment_Raw_data___Sheet13[[#This Row],[Customer Rating]])</f>
        <v>10</v>
      </c>
      <c r="Q505" t="str">
        <f>IF(AND(EPe_BA_intern_assesment_Raw_data___Sheet13[[#This Row],[Customer Rating]]&gt;6,EPe_BA_intern_assesment_Raw_data___Sheet13[[#This Row],[Customer Rating]]&lt;9), EPe_BA_intern_assesment_Raw_data___Sheet13[[#This Row],[Customer Rating]], "")</f>
        <v/>
      </c>
      <c r="R505" t="b">
        <f>IF(EPe_BA_intern_assesment_Raw_data___Sheet13[[#This Row],[Customer Rating]]&lt;7,EPe_BA_intern_assesment_Raw_data___Sheet13[[#This Row],[Customer Rating]])</f>
        <v>0</v>
      </c>
    </row>
    <row r="506" spans="1:18" x14ac:dyDescent="0.3">
      <c r="A506" t="s">
        <v>534</v>
      </c>
      <c r="B506" t="s">
        <v>21</v>
      </c>
      <c r="C506" t="s">
        <v>17</v>
      </c>
      <c r="D506" s="1">
        <v>45957</v>
      </c>
      <c r="E506" s="1">
        <v>45960</v>
      </c>
      <c r="F506" s="1">
        <v>45962</v>
      </c>
      <c r="G506" s="1">
        <v>45964</v>
      </c>
      <c r="H506" t="s">
        <v>18</v>
      </c>
      <c r="I506" t="s">
        <v>19</v>
      </c>
      <c r="J506" s="1">
        <v>45992</v>
      </c>
      <c r="K506">
        <v>3</v>
      </c>
      <c r="L506">
        <v>2</v>
      </c>
      <c r="M506">
        <v>2</v>
      </c>
      <c r="N506">
        <v>1</v>
      </c>
      <c r="O506">
        <v>7</v>
      </c>
      <c r="P506" t="b">
        <f>IF(EPe_BA_intern_assesment_Raw_data___Sheet13[[#This Row],[Customer Rating]]&gt;8,EPe_BA_intern_assesment_Raw_data___Sheet13[[#This Row],[Customer Rating]])</f>
        <v>0</v>
      </c>
      <c r="Q506" t="str">
        <f>IF(AND(EPe_BA_intern_assesment_Raw_data___Sheet13[[#This Row],[Customer Rating]]&gt;6,EPe_BA_intern_assesment_Raw_data___Sheet13[[#This Row],[Customer Rating]]&lt;9), EPe_BA_intern_assesment_Raw_data___Sheet13[[#This Row],[Customer Rating]], "")</f>
        <v/>
      </c>
      <c r="R506">
        <f>IF(EPe_BA_intern_assesment_Raw_data___Sheet13[[#This Row],[Customer Rating]]&lt;7,EPe_BA_intern_assesment_Raw_data___Sheet13[[#This Row],[Customer Rating]])</f>
        <v>1</v>
      </c>
    </row>
    <row r="507" spans="1:18" x14ac:dyDescent="0.3">
      <c r="A507" t="s">
        <v>535</v>
      </c>
      <c r="B507" t="s">
        <v>23</v>
      </c>
      <c r="C507" t="s">
        <v>17</v>
      </c>
      <c r="D507" s="1">
        <v>45951</v>
      </c>
      <c r="E507" s="1">
        <v>45953</v>
      </c>
      <c r="F507" s="1">
        <v>45957</v>
      </c>
      <c r="G507" s="1">
        <v>45961</v>
      </c>
      <c r="H507" t="s">
        <v>18</v>
      </c>
      <c r="I507" t="s">
        <v>19</v>
      </c>
      <c r="J507" s="1">
        <v>45988</v>
      </c>
      <c r="K507">
        <v>2</v>
      </c>
      <c r="L507">
        <v>4</v>
      </c>
      <c r="M507">
        <v>4</v>
      </c>
      <c r="N507">
        <v>10</v>
      </c>
      <c r="O507">
        <v>10</v>
      </c>
      <c r="P507">
        <f>IF(EPe_BA_intern_assesment_Raw_data___Sheet13[[#This Row],[Customer Rating]]&gt;8,EPe_BA_intern_assesment_Raw_data___Sheet13[[#This Row],[Customer Rating]])</f>
        <v>10</v>
      </c>
      <c r="Q507" t="str">
        <f>IF(AND(EPe_BA_intern_assesment_Raw_data___Sheet13[[#This Row],[Customer Rating]]&gt;6,EPe_BA_intern_assesment_Raw_data___Sheet13[[#This Row],[Customer Rating]]&lt;9), EPe_BA_intern_assesment_Raw_data___Sheet13[[#This Row],[Customer Rating]], "")</f>
        <v/>
      </c>
      <c r="R507" t="b">
        <f>IF(EPe_BA_intern_assesment_Raw_data___Sheet13[[#This Row],[Customer Rating]]&lt;7,EPe_BA_intern_assesment_Raw_data___Sheet13[[#This Row],[Customer Rating]])</f>
        <v>0</v>
      </c>
    </row>
    <row r="508" spans="1:18" x14ac:dyDescent="0.3">
      <c r="A508" t="s">
        <v>536</v>
      </c>
      <c r="B508" t="s">
        <v>23</v>
      </c>
      <c r="C508" t="s">
        <v>17</v>
      </c>
      <c r="D508" s="1">
        <v>45935</v>
      </c>
      <c r="E508" s="1">
        <v>45938</v>
      </c>
      <c r="F508" s="1">
        <v>45940</v>
      </c>
      <c r="G508" s="1">
        <v>45943</v>
      </c>
      <c r="H508" t="s">
        <v>18</v>
      </c>
      <c r="I508" t="s">
        <v>19</v>
      </c>
      <c r="J508" s="1">
        <v>45964</v>
      </c>
      <c r="K508">
        <v>3</v>
      </c>
      <c r="L508">
        <v>2</v>
      </c>
      <c r="M508">
        <v>3</v>
      </c>
      <c r="N508">
        <v>5</v>
      </c>
      <c r="O508">
        <v>8</v>
      </c>
      <c r="P508" t="b">
        <f>IF(EPe_BA_intern_assesment_Raw_data___Sheet13[[#This Row],[Customer Rating]]&gt;8,EPe_BA_intern_assesment_Raw_data___Sheet13[[#This Row],[Customer Rating]])</f>
        <v>0</v>
      </c>
      <c r="Q508" t="str">
        <f>IF(AND(EPe_BA_intern_assesment_Raw_data___Sheet13[[#This Row],[Customer Rating]]&gt;6,EPe_BA_intern_assesment_Raw_data___Sheet13[[#This Row],[Customer Rating]]&lt;9), EPe_BA_intern_assesment_Raw_data___Sheet13[[#This Row],[Customer Rating]], "")</f>
        <v/>
      </c>
      <c r="R508">
        <f>IF(EPe_BA_intern_assesment_Raw_data___Sheet13[[#This Row],[Customer Rating]]&lt;7,EPe_BA_intern_assesment_Raw_data___Sheet13[[#This Row],[Customer Rating]])</f>
        <v>5</v>
      </c>
    </row>
    <row r="509" spans="1:18" x14ac:dyDescent="0.3">
      <c r="A509" t="s">
        <v>537</v>
      </c>
      <c r="B509" t="s">
        <v>34</v>
      </c>
      <c r="C509" t="s">
        <v>17</v>
      </c>
      <c r="D509" s="1">
        <v>45946</v>
      </c>
      <c r="E509" s="1">
        <v>45947</v>
      </c>
      <c r="F509" s="1">
        <v>45950</v>
      </c>
      <c r="G509" s="1">
        <v>45952</v>
      </c>
      <c r="H509" t="s">
        <v>18</v>
      </c>
      <c r="I509" t="s">
        <v>19</v>
      </c>
      <c r="J509" s="1">
        <v>45973</v>
      </c>
      <c r="K509">
        <v>1</v>
      </c>
      <c r="L509">
        <v>3</v>
      </c>
      <c r="M509">
        <v>2</v>
      </c>
      <c r="N509">
        <v>5</v>
      </c>
      <c r="O509">
        <v>6</v>
      </c>
      <c r="P509" t="b">
        <f>IF(EPe_BA_intern_assesment_Raw_data___Sheet13[[#This Row],[Customer Rating]]&gt;8,EPe_BA_intern_assesment_Raw_data___Sheet13[[#This Row],[Customer Rating]])</f>
        <v>0</v>
      </c>
      <c r="Q509" t="str">
        <f>IF(AND(EPe_BA_intern_assesment_Raw_data___Sheet13[[#This Row],[Customer Rating]]&gt;6,EPe_BA_intern_assesment_Raw_data___Sheet13[[#This Row],[Customer Rating]]&lt;9), EPe_BA_intern_assesment_Raw_data___Sheet13[[#This Row],[Customer Rating]], "")</f>
        <v/>
      </c>
      <c r="R509">
        <f>IF(EPe_BA_intern_assesment_Raw_data___Sheet13[[#This Row],[Customer Rating]]&lt;7,EPe_BA_intern_assesment_Raw_data___Sheet13[[#This Row],[Customer Rating]])</f>
        <v>5</v>
      </c>
    </row>
    <row r="510" spans="1:18" x14ac:dyDescent="0.3">
      <c r="A510" t="s">
        <v>538</v>
      </c>
      <c r="B510" t="s">
        <v>16</v>
      </c>
      <c r="C510" t="s">
        <v>24</v>
      </c>
      <c r="D510" s="1">
        <v>45961</v>
      </c>
      <c r="E510" s="1"/>
      <c r="F510" s="1"/>
      <c r="G510" s="1"/>
      <c r="H510" t="s">
        <v>25</v>
      </c>
      <c r="I510" t="s">
        <v>65</v>
      </c>
      <c r="J510" s="1"/>
      <c r="P510" t="b">
        <f>IF(EPe_BA_intern_assesment_Raw_data___Sheet13[[#This Row],[Customer Rating]]&gt;8,EPe_BA_intern_assesment_Raw_data___Sheet13[[#This Row],[Customer Rating]])</f>
        <v>0</v>
      </c>
      <c r="Q510" t="str">
        <f>IF(AND(EPe_BA_intern_assesment_Raw_data___Sheet13[[#This Row],[Customer Rating]]&gt;6,EPe_BA_intern_assesment_Raw_data___Sheet13[[#This Row],[Customer Rating]]&lt;9), EPe_BA_intern_assesment_Raw_data___Sheet13[[#This Row],[Customer Rating]], "")</f>
        <v/>
      </c>
      <c r="R510">
        <f>IF(EPe_BA_intern_assesment_Raw_data___Sheet13[[#This Row],[Customer Rating]]&lt;7,EPe_BA_intern_assesment_Raw_data___Sheet13[[#This Row],[Customer Rating]])</f>
        <v>0</v>
      </c>
    </row>
    <row r="511" spans="1:18" x14ac:dyDescent="0.3">
      <c r="A511" t="s">
        <v>539</v>
      </c>
      <c r="B511" t="s">
        <v>21</v>
      </c>
      <c r="C511" t="s">
        <v>17</v>
      </c>
      <c r="D511" s="1">
        <v>45932</v>
      </c>
      <c r="E511" s="1">
        <v>45933</v>
      </c>
      <c r="F511" s="1">
        <v>45936</v>
      </c>
      <c r="G511" s="1">
        <v>45938</v>
      </c>
      <c r="H511" t="s">
        <v>18</v>
      </c>
      <c r="I511" t="s">
        <v>19</v>
      </c>
      <c r="J511" s="1">
        <v>45953</v>
      </c>
      <c r="K511">
        <v>1</v>
      </c>
      <c r="L511">
        <v>3</v>
      </c>
      <c r="M511">
        <v>2</v>
      </c>
      <c r="N511">
        <v>7</v>
      </c>
      <c r="O511">
        <v>6</v>
      </c>
      <c r="P511" t="b">
        <f>IF(EPe_BA_intern_assesment_Raw_data___Sheet13[[#This Row],[Customer Rating]]&gt;8,EPe_BA_intern_assesment_Raw_data___Sheet13[[#This Row],[Customer Rating]])</f>
        <v>0</v>
      </c>
      <c r="Q511">
        <f>IF(AND(EPe_BA_intern_assesment_Raw_data___Sheet13[[#This Row],[Customer Rating]]&gt;6,EPe_BA_intern_assesment_Raw_data___Sheet13[[#This Row],[Customer Rating]]&lt;9), EPe_BA_intern_assesment_Raw_data___Sheet13[[#This Row],[Customer Rating]], "")</f>
        <v>7</v>
      </c>
      <c r="R511" t="b">
        <f>IF(EPe_BA_intern_assesment_Raw_data___Sheet13[[#This Row],[Customer Rating]]&lt;7,EPe_BA_intern_assesment_Raw_data___Sheet13[[#This Row],[Customer Rating]])</f>
        <v>0</v>
      </c>
    </row>
    <row r="512" spans="1:18" x14ac:dyDescent="0.3">
      <c r="A512" t="s">
        <v>540</v>
      </c>
      <c r="B512" t="s">
        <v>16</v>
      </c>
      <c r="C512" t="s">
        <v>24</v>
      </c>
      <c r="D512" s="1">
        <v>45935</v>
      </c>
      <c r="E512" s="1"/>
      <c r="F512" s="1"/>
      <c r="G512" s="1"/>
      <c r="H512" t="s">
        <v>25</v>
      </c>
      <c r="I512" t="s">
        <v>35</v>
      </c>
      <c r="J512" s="1"/>
      <c r="P512" t="b">
        <f>IF(EPe_BA_intern_assesment_Raw_data___Sheet13[[#This Row],[Customer Rating]]&gt;8,EPe_BA_intern_assesment_Raw_data___Sheet13[[#This Row],[Customer Rating]])</f>
        <v>0</v>
      </c>
      <c r="Q512" t="str">
        <f>IF(AND(EPe_BA_intern_assesment_Raw_data___Sheet13[[#This Row],[Customer Rating]]&gt;6,EPe_BA_intern_assesment_Raw_data___Sheet13[[#This Row],[Customer Rating]]&lt;9), EPe_BA_intern_assesment_Raw_data___Sheet13[[#This Row],[Customer Rating]], "")</f>
        <v/>
      </c>
      <c r="R512">
        <f>IF(EPe_BA_intern_assesment_Raw_data___Sheet13[[#This Row],[Customer Rating]]&lt;7,EPe_BA_intern_assesment_Raw_data___Sheet13[[#This Row],[Customer Rating]])</f>
        <v>0</v>
      </c>
    </row>
    <row r="513" spans="1:18" x14ac:dyDescent="0.3">
      <c r="A513" t="s">
        <v>541</v>
      </c>
      <c r="B513" t="s">
        <v>16</v>
      </c>
      <c r="C513" t="s">
        <v>32</v>
      </c>
      <c r="D513" s="1">
        <v>45947</v>
      </c>
      <c r="E513" s="1">
        <v>45949</v>
      </c>
      <c r="F513" s="1">
        <v>45950</v>
      </c>
      <c r="G513" s="1">
        <v>45955</v>
      </c>
      <c r="H513" t="s">
        <v>18</v>
      </c>
      <c r="I513" t="s">
        <v>19</v>
      </c>
      <c r="J513" s="1">
        <v>45973</v>
      </c>
      <c r="K513">
        <v>2</v>
      </c>
      <c r="L513">
        <v>1</v>
      </c>
      <c r="M513">
        <v>5</v>
      </c>
      <c r="N513">
        <v>7</v>
      </c>
      <c r="O513">
        <v>8</v>
      </c>
      <c r="P513" t="b">
        <f>IF(EPe_BA_intern_assesment_Raw_data___Sheet13[[#This Row],[Customer Rating]]&gt;8,EPe_BA_intern_assesment_Raw_data___Sheet13[[#This Row],[Customer Rating]])</f>
        <v>0</v>
      </c>
      <c r="Q513">
        <f>IF(AND(EPe_BA_intern_assesment_Raw_data___Sheet13[[#This Row],[Customer Rating]]&gt;6,EPe_BA_intern_assesment_Raw_data___Sheet13[[#This Row],[Customer Rating]]&lt;9), EPe_BA_intern_assesment_Raw_data___Sheet13[[#This Row],[Customer Rating]], "")</f>
        <v>7</v>
      </c>
      <c r="R513" t="b">
        <f>IF(EPe_BA_intern_assesment_Raw_data___Sheet13[[#This Row],[Customer Rating]]&lt;7,EPe_BA_intern_assesment_Raw_data___Sheet13[[#This Row],[Customer Rating]])</f>
        <v>0</v>
      </c>
    </row>
    <row r="514" spans="1:18" x14ac:dyDescent="0.3">
      <c r="A514" t="s">
        <v>542</v>
      </c>
      <c r="B514" t="s">
        <v>16</v>
      </c>
      <c r="C514" t="s">
        <v>24</v>
      </c>
      <c r="D514" s="1">
        <v>45961</v>
      </c>
      <c r="E514" s="1"/>
      <c r="F514" s="1"/>
      <c r="G514" s="1"/>
      <c r="H514" t="s">
        <v>25</v>
      </c>
      <c r="I514" t="s">
        <v>26</v>
      </c>
      <c r="J514" s="1"/>
      <c r="P514" t="b">
        <f>IF(EPe_BA_intern_assesment_Raw_data___Sheet13[[#This Row],[Customer Rating]]&gt;8,EPe_BA_intern_assesment_Raw_data___Sheet13[[#This Row],[Customer Rating]])</f>
        <v>0</v>
      </c>
      <c r="Q514" t="str">
        <f>IF(AND(EPe_BA_intern_assesment_Raw_data___Sheet13[[#This Row],[Customer Rating]]&gt;6,EPe_BA_intern_assesment_Raw_data___Sheet13[[#This Row],[Customer Rating]]&lt;9), EPe_BA_intern_assesment_Raw_data___Sheet13[[#This Row],[Customer Rating]], "")</f>
        <v/>
      </c>
      <c r="R514">
        <f>IF(EPe_BA_intern_assesment_Raw_data___Sheet13[[#This Row],[Customer Rating]]&lt;7,EPe_BA_intern_assesment_Raw_data___Sheet13[[#This Row],[Customer Rating]])</f>
        <v>0</v>
      </c>
    </row>
    <row r="515" spans="1:18" x14ac:dyDescent="0.3">
      <c r="A515" t="s">
        <v>543</v>
      </c>
      <c r="B515" t="s">
        <v>16</v>
      </c>
      <c r="C515" t="s">
        <v>17</v>
      </c>
      <c r="D515" s="1">
        <v>45949</v>
      </c>
      <c r="E515" s="1">
        <v>45953</v>
      </c>
      <c r="F515" s="1">
        <v>45955</v>
      </c>
      <c r="G515" s="1">
        <v>45961</v>
      </c>
      <c r="H515" t="s">
        <v>18</v>
      </c>
      <c r="I515" t="s">
        <v>19</v>
      </c>
      <c r="J515" s="1">
        <v>45973</v>
      </c>
      <c r="K515">
        <v>4</v>
      </c>
      <c r="L515">
        <v>2</v>
      </c>
      <c r="M515">
        <v>6</v>
      </c>
      <c r="N515">
        <v>3</v>
      </c>
      <c r="O515">
        <v>12</v>
      </c>
      <c r="P515" t="b">
        <f>IF(EPe_BA_intern_assesment_Raw_data___Sheet13[[#This Row],[Customer Rating]]&gt;8,EPe_BA_intern_assesment_Raw_data___Sheet13[[#This Row],[Customer Rating]])</f>
        <v>0</v>
      </c>
      <c r="Q515" t="str">
        <f>IF(AND(EPe_BA_intern_assesment_Raw_data___Sheet13[[#This Row],[Customer Rating]]&gt;6,EPe_BA_intern_assesment_Raw_data___Sheet13[[#This Row],[Customer Rating]]&lt;9), EPe_BA_intern_assesment_Raw_data___Sheet13[[#This Row],[Customer Rating]], "")</f>
        <v/>
      </c>
      <c r="R515">
        <f>IF(EPe_BA_intern_assesment_Raw_data___Sheet13[[#This Row],[Customer Rating]]&lt;7,EPe_BA_intern_assesment_Raw_data___Sheet13[[#This Row],[Customer Rating]])</f>
        <v>3</v>
      </c>
    </row>
    <row r="516" spans="1:18" x14ac:dyDescent="0.3">
      <c r="A516" t="s">
        <v>544</v>
      </c>
      <c r="B516" t="s">
        <v>23</v>
      </c>
      <c r="C516" t="s">
        <v>17</v>
      </c>
      <c r="D516" s="1">
        <v>45941</v>
      </c>
      <c r="E516" s="1">
        <v>45946</v>
      </c>
      <c r="F516" s="1">
        <v>45948</v>
      </c>
      <c r="G516" s="1">
        <v>45952</v>
      </c>
      <c r="H516" t="s">
        <v>18</v>
      </c>
      <c r="I516" t="s">
        <v>19</v>
      </c>
      <c r="J516" s="1">
        <v>45971</v>
      </c>
      <c r="K516">
        <v>5</v>
      </c>
      <c r="L516">
        <v>2</v>
      </c>
      <c r="M516">
        <v>4</v>
      </c>
      <c r="N516">
        <v>5</v>
      </c>
      <c r="O516">
        <v>11</v>
      </c>
      <c r="P516" t="b">
        <f>IF(EPe_BA_intern_assesment_Raw_data___Sheet13[[#This Row],[Customer Rating]]&gt;8,EPe_BA_intern_assesment_Raw_data___Sheet13[[#This Row],[Customer Rating]])</f>
        <v>0</v>
      </c>
      <c r="Q516" t="str">
        <f>IF(AND(EPe_BA_intern_assesment_Raw_data___Sheet13[[#This Row],[Customer Rating]]&gt;6,EPe_BA_intern_assesment_Raw_data___Sheet13[[#This Row],[Customer Rating]]&lt;9), EPe_BA_intern_assesment_Raw_data___Sheet13[[#This Row],[Customer Rating]], "")</f>
        <v/>
      </c>
      <c r="R516">
        <f>IF(EPe_BA_intern_assesment_Raw_data___Sheet13[[#This Row],[Customer Rating]]&lt;7,EPe_BA_intern_assesment_Raw_data___Sheet13[[#This Row],[Customer Rating]])</f>
        <v>5</v>
      </c>
    </row>
    <row r="517" spans="1:18" x14ac:dyDescent="0.3">
      <c r="A517" t="s">
        <v>545</v>
      </c>
      <c r="B517" t="s">
        <v>23</v>
      </c>
      <c r="C517" t="s">
        <v>32</v>
      </c>
      <c r="D517" s="1">
        <v>45958</v>
      </c>
      <c r="E517" s="1">
        <v>45962</v>
      </c>
      <c r="F517" s="1">
        <v>45963</v>
      </c>
      <c r="G517" s="1">
        <v>45970</v>
      </c>
      <c r="H517" t="s">
        <v>25</v>
      </c>
      <c r="I517" t="s">
        <v>26</v>
      </c>
      <c r="J517" s="1"/>
      <c r="K517">
        <v>4</v>
      </c>
      <c r="L517">
        <v>1</v>
      </c>
      <c r="M517">
        <v>7</v>
      </c>
      <c r="O517">
        <v>12</v>
      </c>
      <c r="P517" t="b">
        <f>IF(EPe_BA_intern_assesment_Raw_data___Sheet13[[#This Row],[Customer Rating]]&gt;8,EPe_BA_intern_assesment_Raw_data___Sheet13[[#This Row],[Customer Rating]])</f>
        <v>0</v>
      </c>
      <c r="Q517" t="str">
        <f>IF(AND(EPe_BA_intern_assesment_Raw_data___Sheet13[[#This Row],[Customer Rating]]&gt;6,EPe_BA_intern_assesment_Raw_data___Sheet13[[#This Row],[Customer Rating]]&lt;9), EPe_BA_intern_assesment_Raw_data___Sheet13[[#This Row],[Customer Rating]], "")</f>
        <v/>
      </c>
      <c r="R517">
        <f>IF(EPe_BA_intern_assesment_Raw_data___Sheet13[[#This Row],[Customer Rating]]&lt;7,EPe_BA_intern_assesment_Raw_data___Sheet13[[#This Row],[Customer Rating]])</f>
        <v>0</v>
      </c>
    </row>
    <row r="518" spans="1:18" x14ac:dyDescent="0.3">
      <c r="A518" t="s">
        <v>546</v>
      </c>
      <c r="B518" t="s">
        <v>16</v>
      </c>
      <c r="C518" t="s">
        <v>17</v>
      </c>
      <c r="D518" s="1">
        <v>45934</v>
      </c>
      <c r="E518" s="1">
        <v>45935</v>
      </c>
      <c r="F518" s="1">
        <v>45939</v>
      </c>
      <c r="G518" s="1">
        <v>45946</v>
      </c>
      <c r="H518" t="s">
        <v>18</v>
      </c>
      <c r="I518" t="s">
        <v>19</v>
      </c>
      <c r="J518" s="1">
        <v>45956</v>
      </c>
      <c r="K518">
        <v>1</v>
      </c>
      <c r="L518">
        <v>4</v>
      </c>
      <c r="M518">
        <v>7</v>
      </c>
      <c r="N518">
        <v>2</v>
      </c>
      <c r="O518">
        <v>12</v>
      </c>
      <c r="P518" t="b">
        <f>IF(EPe_BA_intern_assesment_Raw_data___Sheet13[[#This Row],[Customer Rating]]&gt;8,EPe_BA_intern_assesment_Raw_data___Sheet13[[#This Row],[Customer Rating]])</f>
        <v>0</v>
      </c>
      <c r="Q518" t="str">
        <f>IF(AND(EPe_BA_intern_assesment_Raw_data___Sheet13[[#This Row],[Customer Rating]]&gt;6,EPe_BA_intern_assesment_Raw_data___Sheet13[[#This Row],[Customer Rating]]&lt;9), EPe_BA_intern_assesment_Raw_data___Sheet13[[#This Row],[Customer Rating]], "")</f>
        <v/>
      </c>
      <c r="R518">
        <f>IF(EPe_BA_intern_assesment_Raw_data___Sheet13[[#This Row],[Customer Rating]]&lt;7,EPe_BA_intern_assesment_Raw_data___Sheet13[[#This Row],[Customer Rating]])</f>
        <v>2</v>
      </c>
    </row>
    <row r="519" spans="1:18" x14ac:dyDescent="0.3">
      <c r="A519" t="s">
        <v>547</v>
      </c>
      <c r="B519" t="s">
        <v>21</v>
      </c>
      <c r="C519" t="s">
        <v>32</v>
      </c>
      <c r="D519" s="1">
        <v>45958</v>
      </c>
      <c r="E519" s="1">
        <v>45959</v>
      </c>
      <c r="F519" s="1">
        <v>45961</v>
      </c>
      <c r="G519" s="1">
        <v>45967</v>
      </c>
      <c r="H519" t="s">
        <v>18</v>
      </c>
      <c r="I519" t="s">
        <v>19</v>
      </c>
      <c r="J519" s="1">
        <v>45989</v>
      </c>
      <c r="K519">
        <v>1</v>
      </c>
      <c r="L519">
        <v>2</v>
      </c>
      <c r="M519">
        <v>6</v>
      </c>
      <c r="N519">
        <v>1</v>
      </c>
      <c r="O519">
        <v>9</v>
      </c>
      <c r="P519" t="b">
        <f>IF(EPe_BA_intern_assesment_Raw_data___Sheet13[[#This Row],[Customer Rating]]&gt;8,EPe_BA_intern_assesment_Raw_data___Sheet13[[#This Row],[Customer Rating]])</f>
        <v>0</v>
      </c>
      <c r="Q519" t="str">
        <f>IF(AND(EPe_BA_intern_assesment_Raw_data___Sheet13[[#This Row],[Customer Rating]]&gt;6,EPe_BA_intern_assesment_Raw_data___Sheet13[[#This Row],[Customer Rating]]&lt;9), EPe_BA_intern_assesment_Raw_data___Sheet13[[#This Row],[Customer Rating]], "")</f>
        <v/>
      </c>
      <c r="R519">
        <f>IF(EPe_BA_intern_assesment_Raw_data___Sheet13[[#This Row],[Customer Rating]]&lt;7,EPe_BA_intern_assesment_Raw_data___Sheet13[[#This Row],[Customer Rating]])</f>
        <v>1</v>
      </c>
    </row>
    <row r="520" spans="1:18" x14ac:dyDescent="0.3">
      <c r="A520" t="s">
        <v>548</v>
      </c>
      <c r="B520" t="s">
        <v>34</v>
      </c>
      <c r="C520" t="s">
        <v>32</v>
      </c>
      <c r="D520" s="1">
        <v>45958</v>
      </c>
      <c r="E520" s="1">
        <v>45962</v>
      </c>
      <c r="F520" s="1">
        <v>45967</v>
      </c>
      <c r="G520" s="1">
        <v>45972</v>
      </c>
      <c r="H520" t="s">
        <v>18</v>
      </c>
      <c r="I520" t="s">
        <v>19</v>
      </c>
      <c r="J520" s="1">
        <v>45983</v>
      </c>
      <c r="K520">
        <v>4</v>
      </c>
      <c r="L520">
        <v>5</v>
      </c>
      <c r="M520">
        <v>5</v>
      </c>
      <c r="N520">
        <v>10</v>
      </c>
      <c r="O520">
        <v>14</v>
      </c>
      <c r="P520">
        <f>IF(EPe_BA_intern_assesment_Raw_data___Sheet13[[#This Row],[Customer Rating]]&gt;8,EPe_BA_intern_assesment_Raw_data___Sheet13[[#This Row],[Customer Rating]])</f>
        <v>10</v>
      </c>
      <c r="Q520" t="str">
        <f>IF(AND(EPe_BA_intern_assesment_Raw_data___Sheet13[[#This Row],[Customer Rating]]&gt;6,EPe_BA_intern_assesment_Raw_data___Sheet13[[#This Row],[Customer Rating]]&lt;9), EPe_BA_intern_assesment_Raw_data___Sheet13[[#This Row],[Customer Rating]], "")</f>
        <v/>
      </c>
      <c r="R520" t="b">
        <f>IF(EPe_BA_intern_assesment_Raw_data___Sheet13[[#This Row],[Customer Rating]]&lt;7,EPe_BA_intern_assesment_Raw_data___Sheet13[[#This Row],[Customer Rating]])</f>
        <v>0</v>
      </c>
    </row>
    <row r="521" spans="1:18" x14ac:dyDescent="0.3">
      <c r="A521" t="s">
        <v>549</v>
      </c>
      <c r="B521" t="s">
        <v>21</v>
      </c>
      <c r="C521" t="s">
        <v>17</v>
      </c>
      <c r="D521" s="1">
        <v>45945</v>
      </c>
      <c r="E521" s="1">
        <v>45950</v>
      </c>
      <c r="F521" s="1">
        <v>45952</v>
      </c>
      <c r="G521" s="1">
        <v>45957</v>
      </c>
      <c r="H521" t="s">
        <v>18</v>
      </c>
      <c r="I521" t="s">
        <v>19</v>
      </c>
      <c r="J521" s="1">
        <v>45972</v>
      </c>
      <c r="K521">
        <v>5</v>
      </c>
      <c r="L521">
        <v>2</v>
      </c>
      <c r="M521">
        <v>5</v>
      </c>
      <c r="N521">
        <v>6</v>
      </c>
      <c r="O521">
        <v>12</v>
      </c>
      <c r="P521" t="b">
        <f>IF(EPe_BA_intern_assesment_Raw_data___Sheet13[[#This Row],[Customer Rating]]&gt;8,EPe_BA_intern_assesment_Raw_data___Sheet13[[#This Row],[Customer Rating]])</f>
        <v>0</v>
      </c>
      <c r="Q521" t="str">
        <f>IF(AND(EPe_BA_intern_assesment_Raw_data___Sheet13[[#This Row],[Customer Rating]]&gt;6,EPe_BA_intern_assesment_Raw_data___Sheet13[[#This Row],[Customer Rating]]&lt;9), EPe_BA_intern_assesment_Raw_data___Sheet13[[#This Row],[Customer Rating]], "")</f>
        <v/>
      </c>
      <c r="R521">
        <f>IF(EPe_BA_intern_assesment_Raw_data___Sheet13[[#This Row],[Customer Rating]]&lt;7,EPe_BA_intern_assesment_Raw_data___Sheet13[[#This Row],[Customer Rating]])</f>
        <v>6</v>
      </c>
    </row>
    <row r="522" spans="1:18" x14ac:dyDescent="0.3">
      <c r="A522" t="s">
        <v>550</v>
      </c>
      <c r="B522" t="s">
        <v>21</v>
      </c>
      <c r="C522" t="s">
        <v>17</v>
      </c>
      <c r="D522" s="1">
        <v>45934</v>
      </c>
      <c r="E522" s="1">
        <v>45939</v>
      </c>
      <c r="F522" s="1">
        <v>45943</v>
      </c>
      <c r="G522" s="1">
        <v>45950</v>
      </c>
      <c r="H522" t="s">
        <v>18</v>
      </c>
      <c r="I522" t="s">
        <v>19</v>
      </c>
      <c r="J522" s="1">
        <v>45978</v>
      </c>
      <c r="K522">
        <v>5</v>
      </c>
      <c r="L522">
        <v>4</v>
      </c>
      <c r="M522">
        <v>7</v>
      </c>
      <c r="N522">
        <v>7</v>
      </c>
      <c r="O522">
        <v>16</v>
      </c>
      <c r="P522" t="b">
        <f>IF(EPe_BA_intern_assesment_Raw_data___Sheet13[[#This Row],[Customer Rating]]&gt;8,EPe_BA_intern_assesment_Raw_data___Sheet13[[#This Row],[Customer Rating]])</f>
        <v>0</v>
      </c>
      <c r="Q522">
        <f>IF(AND(EPe_BA_intern_assesment_Raw_data___Sheet13[[#This Row],[Customer Rating]]&gt;6,EPe_BA_intern_assesment_Raw_data___Sheet13[[#This Row],[Customer Rating]]&lt;9), EPe_BA_intern_assesment_Raw_data___Sheet13[[#This Row],[Customer Rating]], "")</f>
        <v>7</v>
      </c>
      <c r="R522" t="b">
        <f>IF(EPe_BA_intern_assesment_Raw_data___Sheet13[[#This Row],[Customer Rating]]&lt;7,EPe_BA_intern_assesment_Raw_data___Sheet13[[#This Row],[Customer Rating]])</f>
        <v>0</v>
      </c>
    </row>
    <row r="523" spans="1:18" x14ac:dyDescent="0.3">
      <c r="A523" t="s">
        <v>551</v>
      </c>
      <c r="B523" t="s">
        <v>21</v>
      </c>
      <c r="C523" t="s">
        <v>17</v>
      </c>
      <c r="D523" s="1">
        <v>45947</v>
      </c>
      <c r="E523" s="1">
        <v>45948</v>
      </c>
      <c r="F523" s="1">
        <v>45950</v>
      </c>
      <c r="G523" s="1">
        <v>45955</v>
      </c>
      <c r="H523" t="s">
        <v>18</v>
      </c>
      <c r="I523" t="s">
        <v>19</v>
      </c>
      <c r="J523" s="1">
        <v>45971</v>
      </c>
      <c r="K523">
        <v>1</v>
      </c>
      <c r="L523">
        <v>2</v>
      </c>
      <c r="M523">
        <v>5</v>
      </c>
      <c r="N523">
        <v>4</v>
      </c>
      <c r="O523">
        <v>8</v>
      </c>
      <c r="P523" t="b">
        <f>IF(EPe_BA_intern_assesment_Raw_data___Sheet13[[#This Row],[Customer Rating]]&gt;8,EPe_BA_intern_assesment_Raw_data___Sheet13[[#This Row],[Customer Rating]])</f>
        <v>0</v>
      </c>
      <c r="Q523" t="str">
        <f>IF(AND(EPe_BA_intern_assesment_Raw_data___Sheet13[[#This Row],[Customer Rating]]&gt;6,EPe_BA_intern_assesment_Raw_data___Sheet13[[#This Row],[Customer Rating]]&lt;9), EPe_BA_intern_assesment_Raw_data___Sheet13[[#This Row],[Customer Rating]], "")</f>
        <v/>
      </c>
      <c r="R523">
        <f>IF(EPe_BA_intern_assesment_Raw_data___Sheet13[[#This Row],[Customer Rating]]&lt;7,EPe_BA_intern_assesment_Raw_data___Sheet13[[#This Row],[Customer Rating]])</f>
        <v>4</v>
      </c>
    </row>
    <row r="524" spans="1:18" x14ac:dyDescent="0.3">
      <c r="A524" t="s">
        <v>552</v>
      </c>
      <c r="B524" t="s">
        <v>16</v>
      </c>
      <c r="C524" t="s">
        <v>24</v>
      </c>
      <c r="D524" s="1">
        <v>45960</v>
      </c>
      <c r="E524" s="1"/>
      <c r="F524" s="1"/>
      <c r="G524" s="1"/>
      <c r="H524" t="s">
        <v>25</v>
      </c>
      <c r="I524" t="s">
        <v>103</v>
      </c>
      <c r="J524" s="1"/>
      <c r="P524" t="b">
        <f>IF(EPe_BA_intern_assesment_Raw_data___Sheet13[[#This Row],[Customer Rating]]&gt;8,EPe_BA_intern_assesment_Raw_data___Sheet13[[#This Row],[Customer Rating]])</f>
        <v>0</v>
      </c>
      <c r="Q524" t="str">
        <f>IF(AND(EPe_BA_intern_assesment_Raw_data___Sheet13[[#This Row],[Customer Rating]]&gt;6,EPe_BA_intern_assesment_Raw_data___Sheet13[[#This Row],[Customer Rating]]&lt;9), EPe_BA_intern_assesment_Raw_data___Sheet13[[#This Row],[Customer Rating]], "")</f>
        <v/>
      </c>
      <c r="R524">
        <f>IF(EPe_BA_intern_assesment_Raw_data___Sheet13[[#This Row],[Customer Rating]]&lt;7,EPe_BA_intern_assesment_Raw_data___Sheet13[[#This Row],[Customer Rating]])</f>
        <v>0</v>
      </c>
    </row>
    <row r="525" spans="1:18" x14ac:dyDescent="0.3">
      <c r="A525" t="s">
        <v>553</v>
      </c>
      <c r="B525" t="s">
        <v>23</v>
      </c>
      <c r="C525" t="s">
        <v>17</v>
      </c>
      <c r="D525" s="1">
        <v>45945</v>
      </c>
      <c r="E525" s="1">
        <v>45950</v>
      </c>
      <c r="F525" s="1">
        <v>45955</v>
      </c>
      <c r="G525" s="1">
        <v>45957</v>
      </c>
      <c r="H525" t="s">
        <v>18</v>
      </c>
      <c r="I525" t="s">
        <v>19</v>
      </c>
      <c r="J525" s="1">
        <v>45974</v>
      </c>
      <c r="K525">
        <v>5</v>
      </c>
      <c r="L525">
        <v>5</v>
      </c>
      <c r="M525">
        <v>2</v>
      </c>
      <c r="N525">
        <v>4</v>
      </c>
      <c r="O525">
        <v>12</v>
      </c>
      <c r="P525" t="b">
        <f>IF(EPe_BA_intern_assesment_Raw_data___Sheet13[[#This Row],[Customer Rating]]&gt;8,EPe_BA_intern_assesment_Raw_data___Sheet13[[#This Row],[Customer Rating]])</f>
        <v>0</v>
      </c>
      <c r="Q525" t="str">
        <f>IF(AND(EPe_BA_intern_assesment_Raw_data___Sheet13[[#This Row],[Customer Rating]]&gt;6,EPe_BA_intern_assesment_Raw_data___Sheet13[[#This Row],[Customer Rating]]&lt;9), EPe_BA_intern_assesment_Raw_data___Sheet13[[#This Row],[Customer Rating]], "")</f>
        <v/>
      </c>
      <c r="R525">
        <f>IF(EPe_BA_intern_assesment_Raw_data___Sheet13[[#This Row],[Customer Rating]]&lt;7,EPe_BA_intern_assesment_Raw_data___Sheet13[[#This Row],[Customer Rating]])</f>
        <v>4</v>
      </c>
    </row>
    <row r="526" spans="1:18" x14ac:dyDescent="0.3">
      <c r="A526" t="s">
        <v>554</v>
      </c>
      <c r="B526" t="s">
        <v>21</v>
      </c>
      <c r="C526" t="s">
        <v>17</v>
      </c>
      <c r="D526" s="1">
        <v>45931</v>
      </c>
      <c r="E526" s="1">
        <v>45936</v>
      </c>
      <c r="F526" s="1">
        <v>45939</v>
      </c>
      <c r="G526" s="1">
        <v>45946</v>
      </c>
      <c r="H526" t="s">
        <v>18</v>
      </c>
      <c r="I526" t="s">
        <v>19</v>
      </c>
      <c r="J526" s="1">
        <v>45976</v>
      </c>
      <c r="K526">
        <v>5</v>
      </c>
      <c r="L526">
        <v>3</v>
      </c>
      <c r="M526">
        <v>7</v>
      </c>
      <c r="N526">
        <v>8</v>
      </c>
      <c r="O526">
        <v>15</v>
      </c>
      <c r="P526" t="b">
        <f>IF(EPe_BA_intern_assesment_Raw_data___Sheet13[[#This Row],[Customer Rating]]&gt;8,EPe_BA_intern_assesment_Raw_data___Sheet13[[#This Row],[Customer Rating]])</f>
        <v>0</v>
      </c>
      <c r="Q526">
        <f>IF(AND(EPe_BA_intern_assesment_Raw_data___Sheet13[[#This Row],[Customer Rating]]&gt;6,EPe_BA_intern_assesment_Raw_data___Sheet13[[#This Row],[Customer Rating]]&lt;9), EPe_BA_intern_assesment_Raw_data___Sheet13[[#This Row],[Customer Rating]], "")</f>
        <v>8</v>
      </c>
      <c r="R526" t="b">
        <f>IF(EPe_BA_intern_assesment_Raw_data___Sheet13[[#This Row],[Customer Rating]]&lt;7,EPe_BA_intern_assesment_Raw_data___Sheet13[[#This Row],[Customer Rating]])</f>
        <v>0</v>
      </c>
    </row>
    <row r="527" spans="1:18" x14ac:dyDescent="0.3">
      <c r="A527" t="s">
        <v>555</v>
      </c>
      <c r="B527" t="s">
        <v>16</v>
      </c>
      <c r="C527" t="s">
        <v>32</v>
      </c>
      <c r="D527" s="1">
        <v>45954</v>
      </c>
      <c r="E527" s="1">
        <v>45956</v>
      </c>
      <c r="F527" s="1">
        <v>45959</v>
      </c>
      <c r="G527" s="1">
        <v>45965</v>
      </c>
      <c r="H527" t="s">
        <v>18</v>
      </c>
      <c r="I527" t="s">
        <v>19</v>
      </c>
      <c r="J527" s="1">
        <v>45982</v>
      </c>
      <c r="K527">
        <v>2</v>
      </c>
      <c r="L527">
        <v>3</v>
      </c>
      <c r="M527">
        <v>6</v>
      </c>
      <c r="N527">
        <v>8</v>
      </c>
      <c r="O527">
        <v>11</v>
      </c>
      <c r="P527" t="b">
        <f>IF(EPe_BA_intern_assesment_Raw_data___Sheet13[[#This Row],[Customer Rating]]&gt;8,EPe_BA_intern_assesment_Raw_data___Sheet13[[#This Row],[Customer Rating]])</f>
        <v>0</v>
      </c>
      <c r="Q527">
        <f>IF(AND(EPe_BA_intern_assesment_Raw_data___Sheet13[[#This Row],[Customer Rating]]&gt;6,EPe_BA_intern_assesment_Raw_data___Sheet13[[#This Row],[Customer Rating]]&lt;9), EPe_BA_intern_assesment_Raw_data___Sheet13[[#This Row],[Customer Rating]], "")</f>
        <v>8</v>
      </c>
      <c r="R527" t="b">
        <f>IF(EPe_BA_intern_assesment_Raw_data___Sheet13[[#This Row],[Customer Rating]]&lt;7,EPe_BA_intern_assesment_Raw_data___Sheet13[[#This Row],[Customer Rating]])</f>
        <v>0</v>
      </c>
    </row>
    <row r="528" spans="1:18" x14ac:dyDescent="0.3">
      <c r="A528" t="s">
        <v>556</v>
      </c>
      <c r="B528" t="s">
        <v>21</v>
      </c>
      <c r="C528" t="s">
        <v>17</v>
      </c>
      <c r="D528" s="1">
        <v>45935</v>
      </c>
      <c r="E528" s="1">
        <v>45937</v>
      </c>
      <c r="F528" s="1">
        <v>45941</v>
      </c>
      <c r="G528" s="1">
        <v>45947</v>
      </c>
      <c r="H528" t="s">
        <v>18</v>
      </c>
      <c r="I528" t="s">
        <v>19</v>
      </c>
      <c r="J528" s="1">
        <v>45963</v>
      </c>
      <c r="K528">
        <v>2</v>
      </c>
      <c r="L528">
        <v>4</v>
      </c>
      <c r="M528">
        <v>6</v>
      </c>
      <c r="N528">
        <v>6</v>
      </c>
      <c r="O528">
        <v>12</v>
      </c>
      <c r="P528" t="b">
        <f>IF(EPe_BA_intern_assesment_Raw_data___Sheet13[[#This Row],[Customer Rating]]&gt;8,EPe_BA_intern_assesment_Raw_data___Sheet13[[#This Row],[Customer Rating]])</f>
        <v>0</v>
      </c>
      <c r="Q528" t="str">
        <f>IF(AND(EPe_BA_intern_assesment_Raw_data___Sheet13[[#This Row],[Customer Rating]]&gt;6,EPe_BA_intern_assesment_Raw_data___Sheet13[[#This Row],[Customer Rating]]&lt;9), EPe_BA_intern_assesment_Raw_data___Sheet13[[#This Row],[Customer Rating]], "")</f>
        <v/>
      </c>
      <c r="R528">
        <f>IF(EPe_BA_intern_assesment_Raw_data___Sheet13[[#This Row],[Customer Rating]]&lt;7,EPe_BA_intern_assesment_Raw_data___Sheet13[[#This Row],[Customer Rating]])</f>
        <v>6</v>
      </c>
    </row>
    <row r="529" spans="1:18" x14ac:dyDescent="0.3">
      <c r="A529" t="s">
        <v>557</v>
      </c>
      <c r="B529" t="s">
        <v>21</v>
      </c>
      <c r="C529" t="s">
        <v>17</v>
      </c>
      <c r="D529" s="1">
        <v>45944</v>
      </c>
      <c r="E529" s="1">
        <v>45947</v>
      </c>
      <c r="F529" s="1">
        <v>45951</v>
      </c>
      <c r="G529" s="1">
        <v>45957</v>
      </c>
      <c r="H529" t="s">
        <v>18</v>
      </c>
      <c r="I529" t="s">
        <v>19</v>
      </c>
      <c r="J529" s="1">
        <v>45975</v>
      </c>
      <c r="K529">
        <v>3</v>
      </c>
      <c r="L529">
        <v>4</v>
      </c>
      <c r="M529">
        <v>6</v>
      </c>
      <c r="N529">
        <v>4</v>
      </c>
      <c r="O529">
        <v>13</v>
      </c>
      <c r="P529" t="b">
        <f>IF(EPe_BA_intern_assesment_Raw_data___Sheet13[[#This Row],[Customer Rating]]&gt;8,EPe_BA_intern_assesment_Raw_data___Sheet13[[#This Row],[Customer Rating]])</f>
        <v>0</v>
      </c>
      <c r="Q529" t="str">
        <f>IF(AND(EPe_BA_intern_assesment_Raw_data___Sheet13[[#This Row],[Customer Rating]]&gt;6,EPe_BA_intern_assesment_Raw_data___Sheet13[[#This Row],[Customer Rating]]&lt;9), EPe_BA_intern_assesment_Raw_data___Sheet13[[#This Row],[Customer Rating]], "")</f>
        <v/>
      </c>
      <c r="R529">
        <f>IF(EPe_BA_intern_assesment_Raw_data___Sheet13[[#This Row],[Customer Rating]]&lt;7,EPe_BA_intern_assesment_Raw_data___Sheet13[[#This Row],[Customer Rating]])</f>
        <v>4</v>
      </c>
    </row>
    <row r="530" spans="1:18" x14ac:dyDescent="0.3">
      <c r="A530" t="s">
        <v>558</v>
      </c>
      <c r="B530" t="s">
        <v>16</v>
      </c>
      <c r="C530" t="s">
        <v>24</v>
      </c>
      <c r="D530" s="1">
        <v>45958</v>
      </c>
      <c r="E530" s="1"/>
      <c r="F530" s="1"/>
      <c r="G530" s="1"/>
      <c r="H530" t="s">
        <v>25</v>
      </c>
      <c r="I530" t="s">
        <v>65</v>
      </c>
      <c r="J530" s="1"/>
      <c r="P530" t="b">
        <f>IF(EPe_BA_intern_assesment_Raw_data___Sheet13[[#This Row],[Customer Rating]]&gt;8,EPe_BA_intern_assesment_Raw_data___Sheet13[[#This Row],[Customer Rating]])</f>
        <v>0</v>
      </c>
      <c r="Q530" t="str">
        <f>IF(AND(EPe_BA_intern_assesment_Raw_data___Sheet13[[#This Row],[Customer Rating]]&gt;6,EPe_BA_intern_assesment_Raw_data___Sheet13[[#This Row],[Customer Rating]]&lt;9), EPe_BA_intern_assesment_Raw_data___Sheet13[[#This Row],[Customer Rating]], "")</f>
        <v/>
      </c>
      <c r="R530">
        <f>IF(EPe_BA_intern_assesment_Raw_data___Sheet13[[#This Row],[Customer Rating]]&lt;7,EPe_BA_intern_assesment_Raw_data___Sheet13[[#This Row],[Customer Rating]])</f>
        <v>0</v>
      </c>
    </row>
    <row r="531" spans="1:18" x14ac:dyDescent="0.3">
      <c r="A531" t="s">
        <v>559</v>
      </c>
      <c r="B531" t="s">
        <v>23</v>
      </c>
      <c r="C531" t="s">
        <v>24</v>
      </c>
      <c r="D531" s="1">
        <v>45951</v>
      </c>
      <c r="E531" s="1"/>
      <c r="F531" s="1"/>
      <c r="G531" s="1"/>
      <c r="H531" t="s">
        <v>25</v>
      </c>
      <c r="I531" t="s">
        <v>28</v>
      </c>
      <c r="J531" s="1"/>
      <c r="P531" t="b">
        <f>IF(EPe_BA_intern_assesment_Raw_data___Sheet13[[#This Row],[Customer Rating]]&gt;8,EPe_BA_intern_assesment_Raw_data___Sheet13[[#This Row],[Customer Rating]])</f>
        <v>0</v>
      </c>
      <c r="Q531" t="str">
        <f>IF(AND(EPe_BA_intern_assesment_Raw_data___Sheet13[[#This Row],[Customer Rating]]&gt;6,EPe_BA_intern_assesment_Raw_data___Sheet13[[#This Row],[Customer Rating]]&lt;9), EPe_BA_intern_assesment_Raw_data___Sheet13[[#This Row],[Customer Rating]], "")</f>
        <v/>
      </c>
      <c r="R531">
        <f>IF(EPe_BA_intern_assesment_Raw_data___Sheet13[[#This Row],[Customer Rating]]&lt;7,EPe_BA_intern_assesment_Raw_data___Sheet13[[#This Row],[Customer Rating]])</f>
        <v>0</v>
      </c>
    </row>
    <row r="532" spans="1:18" x14ac:dyDescent="0.3">
      <c r="A532" t="s">
        <v>560</v>
      </c>
      <c r="B532" t="s">
        <v>23</v>
      </c>
      <c r="C532" t="s">
        <v>17</v>
      </c>
      <c r="D532" s="1">
        <v>45935</v>
      </c>
      <c r="E532" s="1">
        <v>45939</v>
      </c>
      <c r="F532" s="1">
        <v>45944</v>
      </c>
      <c r="G532" s="1">
        <v>45947</v>
      </c>
      <c r="H532" t="s">
        <v>18</v>
      </c>
      <c r="I532" t="s">
        <v>19</v>
      </c>
      <c r="J532" s="1">
        <v>45977</v>
      </c>
      <c r="K532">
        <v>4</v>
      </c>
      <c r="L532">
        <v>5</v>
      </c>
      <c r="M532">
        <v>3</v>
      </c>
      <c r="N532">
        <v>2</v>
      </c>
      <c r="O532">
        <v>12</v>
      </c>
      <c r="P532" t="b">
        <f>IF(EPe_BA_intern_assesment_Raw_data___Sheet13[[#This Row],[Customer Rating]]&gt;8,EPe_BA_intern_assesment_Raw_data___Sheet13[[#This Row],[Customer Rating]])</f>
        <v>0</v>
      </c>
      <c r="Q532" t="str">
        <f>IF(AND(EPe_BA_intern_assesment_Raw_data___Sheet13[[#This Row],[Customer Rating]]&gt;6,EPe_BA_intern_assesment_Raw_data___Sheet13[[#This Row],[Customer Rating]]&lt;9), EPe_BA_intern_assesment_Raw_data___Sheet13[[#This Row],[Customer Rating]], "")</f>
        <v/>
      </c>
      <c r="R532">
        <f>IF(EPe_BA_intern_assesment_Raw_data___Sheet13[[#This Row],[Customer Rating]]&lt;7,EPe_BA_intern_assesment_Raw_data___Sheet13[[#This Row],[Customer Rating]])</f>
        <v>2</v>
      </c>
    </row>
    <row r="533" spans="1:18" x14ac:dyDescent="0.3">
      <c r="A533" t="s">
        <v>561</v>
      </c>
      <c r="B533" t="s">
        <v>34</v>
      </c>
      <c r="C533" t="s">
        <v>32</v>
      </c>
      <c r="D533" s="1">
        <v>45933</v>
      </c>
      <c r="E533" s="1">
        <v>45934</v>
      </c>
      <c r="F533" s="1">
        <v>45937</v>
      </c>
      <c r="G533" s="1">
        <v>45941</v>
      </c>
      <c r="H533" t="s">
        <v>18</v>
      </c>
      <c r="I533" t="s">
        <v>19</v>
      </c>
      <c r="J533" s="1">
        <v>45964</v>
      </c>
      <c r="K533">
        <v>1</v>
      </c>
      <c r="L533">
        <v>3</v>
      </c>
      <c r="M533">
        <v>4</v>
      </c>
      <c r="N533">
        <v>2</v>
      </c>
      <c r="O533">
        <v>8</v>
      </c>
      <c r="P533" t="b">
        <f>IF(EPe_BA_intern_assesment_Raw_data___Sheet13[[#This Row],[Customer Rating]]&gt;8,EPe_BA_intern_assesment_Raw_data___Sheet13[[#This Row],[Customer Rating]])</f>
        <v>0</v>
      </c>
      <c r="Q533" t="str">
        <f>IF(AND(EPe_BA_intern_assesment_Raw_data___Sheet13[[#This Row],[Customer Rating]]&gt;6,EPe_BA_intern_assesment_Raw_data___Sheet13[[#This Row],[Customer Rating]]&lt;9), EPe_BA_intern_assesment_Raw_data___Sheet13[[#This Row],[Customer Rating]], "")</f>
        <v/>
      </c>
      <c r="R533">
        <f>IF(EPe_BA_intern_assesment_Raw_data___Sheet13[[#This Row],[Customer Rating]]&lt;7,EPe_BA_intern_assesment_Raw_data___Sheet13[[#This Row],[Customer Rating]])</f>
        <v>2</v>
      </c>
    </row>
    <row r="534" spans="1:18" x14ac:dyDescent="0.3">
      <c r="A534" t="s">
        <v>562</v>
      </c>
      <c r="B534" t="s">
        <v>16</v>
      </c>
      <c r="C534" t="s">
        <v>24</v>
      </c>
      <c r="D534" s="1">
        <v>45946</v>
      </c>
      <c r="E534" s="1"/>
      <c r="F534" s="1"/>
      <c r="G534" s="1"/>
      <c r="H534" t="s">
        <v>25</v>
      </c>
      <c r="I534" t="s">
        <v>28</v>
      </c>
      <c r="J534" s="1"/>
      <c r="P534" t="b">
        <f>IF(EPe_BA_intern_assesment_Raw_data___Sheet13[[#This Row],[Customer Rating]]&gt;8,EPe_BA_intern_assesment_Raw_data___Sheet13[[#This Row],[Customer Rating]])</f>
        <v>0</v>
      </c>
      <c r="Q534" t="str">
        <f>IF(AND(EPe_BA_intern_assesment_Raw_data___Sheet13[[#This Row],[Customer Rating]]&gt;6,EPe_BA_intern_assesment_Raw_data___Sheet13[[#This Row],[Customer Rating]]&lt;9), EPe_BA_intern_assesment_Raw_data___Sheet13[[#This Row],[Customer Rating]], "")</f>
        <v/>
      </c>
      <c r="R534">
        <f>IF(EPe_BA_intern_assesment_Raw_data___Sheet13[[#This Row],[Customer Rating]]&lt;7,EPe_BA_intern_assesment_Raw_data___Sheet13[[#This Row],[Customer Rating]])</f>
        <v>0</v>
      </c>
    </row>
    <row r="535" spans="1:18" x14ac:dyDescent="0.3">
      <c r="A535" t="s">
        <v>563</v>
      </c>
      <c r="B535" t="s">
        <v>34</v>
      </c>
      <c r="C535" t="s">
        <v>17</v>
      </c>
      <c r="D535" s="1">
        <v>45956</v>
      </c>
      <c r="E535" s="1">
        <v>45961</v>
      </c>
      <c r="F535" s="1">
        <v>45964</v>
      </c>
      <c r="G535" s="1">
        <v>45966</v>
      </c>
      <c r="H535" t="s">
        <v>18</v>
      </c>
      <c r="I535" t="s">
        <v>19</v>
      </c>
      <c r="J535" s="1">
        <v>45992</v>
      </c>
      <c r="K535">
        <v>5</v>
      </c>
      <c r="L535">
        <v>3</v>
      </c>
      <c r="M535">
        <v>2</v>
      </c>
      <c r="N535">
        <v>1</v>
      </c>
      <c r="O535">
        <v>10</v>
      </c>
      <c r="P535" t="b">
        <f>IF(EPe_BA_intern_assesment_Raw_data___Sheet13[[#This Row],[Customer Rating]]&gt;8,EPe_BA_intern_assesment_Raw_data___Sheet13[[#This Row],[Customer Rating]])</f>
        <v>0</v>
      </c>
      <c r="Q535" t="str">
        <f>IF(AND(EPe_BA_intern_assesment_Raw_data___Sheet13[[#This Row],[Customer Rating]]&gt;6,EPe_BA_intern_assesment_Raw_data___Sheet13[[#This Row],[Customer Rating]]&lt;9), EPe_BA_intern_assesment_Raw_data___Sheet13[[#This Row],[Customer Rating]], "")</f>
        <v/>
      </c>
      <c r="R535">
        <f>IF(EPe_BA_intern_assesment_Raw_data___Sheet13[[#This Row],[Customer Rating]]&lt;7,EPe_BA_intern_assesment_Raw_data___Sheet13[[#This Row],[Customer Rating]])</f>
        <v>1</v>
      </c>
    </row>
    <row r="536" spans="1:18" x14ac:dyDescent="0.3">
      <c r="A536" t="s">
        <v>564</v>
      </c>
      <c r="B536" t="s">
        <v>34</v>
      </c>
      <c r="C536" t="s">
        <v>32</v>
      </c>
      <c r="D536" s="1">
        <v>45939</v>
      </c>
      <c r="E536" s="1">
        <v>45942</v>
      </c>
      <c r="F536" s="1">
        <v>45945</v>
      </c>
      <c r="G536" s="1">
        <v>45949</v>
      </c>
      <c r="H536" t="s">
        <v>18</v>
      </c>
      <c r="I536" t="s">
        <v>19</v>
      </c>
      <c r="J536" s="1">
        <v>45959</v>
      </c>
      <c r="K536">
        <v>3</v>
      </c>
      <c r="L536">
        <v>3</v>
      </c>
      <c r="M536">
        <v>4</v>
      </c>
      <c r="N536">
        <v>0</v>
      </c>
      <c r="O536">
        <v>10</v>
      </c>
      <c r="P536" t="b">
        <f>IF(EPe_BA_intern_assesment_Raw_data___Sheet13[[#This Row],[Customer Rating]]&gt;8,EPe_BA_intern_assesment_Raw_data___Sheet13[[#This Row],[Customer Rating]])</f>
        <v>0</v>
      </c>
      <c r="Q536" t="str">
        <f>IF(AND(EPe_BA_intern_assesment_Raw_data___Sheet13[[#This Row],[Customer Rating]]&gt;6,EPe_BA_intern_assesment_Raw_data___Sheet13[[#This Row],[Customer Rating]]&lt;9), EPe_BA_intern_assesment_Raw_data___Sheet13[[#This Row],[Customer Rating]], "")</f>
        <v/>
      </c>
      <c r="R536">
        <f>IF(EPe_BA_intern_assesment_Raw_data___Sheet13[[#This Row],[Customer Rating]]&lt;7,EPe_BA_intern_assesment_Raw_data___Sheet13[[#This Row],[Customer Rating]])</f>
        <v>0</v>
      </c>
    </row>
    <row r="537" spans="1:18" x14ac:dyDescent="0.3">
      <c r="A537" t="s">
        <v>565</v>
      </c>
      <c r="B537" t="s">
        <v>34</v>
      </c>
      <c r="C537" t="s">
        <v>32</v>
      </c>
      <c r="D537" s="1">
        <v>45941</v>
      </c>
      <c r="E537" s="1">
        <v>45943</v>
      </c>
      <c r="F537" s="1">
        <v>45946</v>
      </c>
      <c r="G537" s="1">
        <v>45948</v>
      </c>
      <c r="H537" t="s">
        <v>25</v>
      </c>
      <c r="I537" t="s">
        <v>65</v>
      </c>
      <c r="J537" s="1"/>
      <c r="K537">
        <v>2</v>
      </c>
      <c r="L537">
        <v>3</v>
      </c>
      <c r="M537">
        <v>2</v>
      </c>
      <c r="O537">
        <v>7</v>
      </c>
      <c r="P537" t="b">
        <f>IF(EPe_BA_intern_assesment_Raw_data___Sheet13[[#This Row],[Customer Rating]]&gt;8,EPe_BA_intern_assesment_Raw_data___Sheet13[[#This Row],[Customer Rating]])</f>
        <v>0</v>
      </c>
      <c r="Q537" t="str">
        <f>IF(AND(EPe_BA_intern_assesment_Raw_data___Sheet13[[#This Row],[Customer Rating]]&gt;6,EPe_BA_intern_assesment_Raw_data___Sheet13[[#This Row],[Customer Rating]]&lt;9), EPe_BA_intern_assesment_Raw_data___Sheet13[[#This Row],[Customer Rating]], "")</f>
        <v/>
      </c>
      <c r="R537">
        <f>IF(EPe_BA_intern_assesment_Raw_data___Sheet13[[#This Row],[Customer Rating]]&lt;7,EPe_BA_intern_assesment_Raw_data___Sheet13[[#This Row],[Customer Rating]])</f>
        <v>0</v>
      </c>
    </row>
    <row r="538" spans="1:18" x14ac:dyDescent="0.3">
      <c r="A538" t="s">
        <v>566</v>
      </c>
      <c r="B538" t="s">
        <v>23</v>
      </c>
      <c r="C538" t="s">
        <v>17</v>
      </c>
      <c r="D538" s="1">
        <v>45950</v>
      </c>
      <c r="E538" s="1">
        <v>45955</v>
      </c>
      <c r="F538" s="1">
        <v>45960</v>
      </c>
      <c r="G538" s="1">
        <v>45966</v>
      </c>
      <c r="H538" t="s">
        <v>18</v>
      </c>
      <c r="I538" t="s">
        <v>19</v>
      </c>
      <c r="J538" s="1">
        <v>45976</v>
      </c>
      <c r="K538">
        <v>5</v>
      </c>
      <c r="L538">
        <v>5</v>
      </c>
      <c r="M538">
        <v>6</v>
      </c>
      <c r="N538">
        <v>0</v>
      </c>
      <c r="O538">
        <v>16</v>
      </c>
      <c r="P538" t="b">
        <f>IF(EPe_BA_intern_assesment_Raw_data___Sheet13[[#This Row],[Customer Rating]]&gt;8,EPe_BA_intern_assesment_Raw_data___Sheet13[[#This Row],[Customer Rating]])</f>
        <v>0</v>
      </c>
      <c r="Q538" t="str">
        <f>IF(AND(EPe_BA_intern_assesment_Raw_data___Sheet13[[#This Row],[Customer Rating]]&gt;6,EPe_BA_intern_assesment_Raw_data___Sheet13[[#This Row],[Customer Rating]]&lt;9), EPe_BA_intern_assesment_Raw_data___Sheet13[[#This Row],[Customer Rating]], "")</f>
        <v/>
      </c>
      <c r="R538">
        <f>IF(EPe_BA_intern_assesment_Raw_data___Sheet13[[#This Row],[Customer Rating]]&lt;7,EPe_BA_intern_assesment_Raw_data___Sheet13[[#This Row],[Customer Rating]])</f>
        <v>0</v>
      </c>
    </row>
    <row r="539" spans="1:18" x14ac:dyDescent="0.3">
      <c r="A539" t="s">
        <v>567</v>
      </c>
      <c r="B539" t="s">
        <v>16</v>
      </c>
      <c r="C539" t="s">
        <v>32</v>
      </c>
      <c r="D539" s="1">
        <v>45953</v>
      </c>
      <c r="E539" s="1">
        <v>45957</v>
      </c>
      <c r="F539" s="1">
        <v>45961</v>
      </c>
      <c r="G539" s="1">
        <v>45964</v>
      </c>
      <c r="H539" t="s">
        <v>18</v>
      </c>
      <c r="I539" t="s">
        <v>19</v>
      </c>
      <c r="J539" s="1">
        <v>45989</v>
      </c>
      <c r="K539">
        <v>4</v>
      </c>
      <c r="L539">
        <v>4</v>
      </c>
      <c r="M539">
        <v>3</v>
      </c>
      <c r="N539">
        <v>3</v>
      </c>
      <c r="O539">
        <v>11</v>
      </c>
      <c r="P539" t="b">
        <f>IF(EPe_BA_intern_assesment_Raw_data___Sheet13[[#This Row],[Customer Rating]]&gt;8,EPe_BA_intern_assesment_Raw_data___Sheet13[[#This Row],[Customer Rating]])</f>
        <v>0</v>
      </c>
      <c r="Q539" t="str">
        <f>IF(AND(EPe_BA_intern_assesment_Raw_data___Sheet13[[#This Row],[Customer Rating]]&gt;6,EPe_BA_intern_assesment_Raw_data___Sheet13[[#This Row],[Customer Rating]]&lt;9), EPe_BA_intern_assesment_Raw_data___Sheet13[[#This Row],[Customer Rating]], "")</f>
        <v/>
      </c>
      <c r="R539">
        <f>IF(EPe_BA_intern_assesment_Raw_data___Sheet13[[#This Row],[Customer Rating]]&lt;7,EPe_BA_intern_assesment_Raw_data___Sheet13[[#This Row],[Customer Rating]])</f>
        <v>3</v>
      </c>
    </row>
    <row r="540" spans="1:18" x14ac:dyDescent="0.3">
      <c r="A540" t="s">
        <v>568</v>
      </c>
      <c r="B540" t="s">
        <v>34</v>
      </c>
      <c r="C540" t="s">
        <v>24</v>
      </c>
      <c r="D540" s="1">
        <v>45943</v>
      </c>
      <c r="E540" s="1"/>
      <c r="F540" s="1"/>
      <c r="G540" s="1"/>
      <c r="H540" t="s">
        <v>25</v>
      </c>
      <c r="I540" t="s">
        <v>28</v>
      </c>
      <c r="J540" s="1"/>
      <c r="P540" t="b">
        <f>IF(EPe_BA_intern_assesment_Raw_data___Sheet13[[#This Row],[Customer Rating]]&gt;8,EPe_BA_intern_assesment_Raw_data___Sheet13[[#This Row],[Customer Rating]])</f>
        <v>0</v>
      </c>
      <c r="Q540" t="str">
        <f>IF(AND(EPe_BA_intern_assesment_Raw_data___Sheet13[[#This Row],[Customer Rating]]&gt;6,EPe_BA_intern_assesment_Raw_data___Sheet13[[#This Row],[Customer Rating]]&lt;9), EPe_BA_intern_assesment_Raw_data___Sheet13[[#This Row],[Customer Rating]], "")</f>
        <v/>
      </c>
      <c r="R540">
        <f>IF(EPe_BA_intern_assesment_Raw_data___Sheet13[[#This Row],[Customer Rating]]&lt;7,EPe_BA_intern_assesment_Raw_data___Sheet13[[#This Row],[Customer Rating]])</f>
        <v>0</v>
      </c>
    </row>
    <row r="541" spans="1:18" x14ac:dyDescent="0.3">
      <c r="A541" t="s">
        <v>569</v>
      </c>
      <c r="B541" t="s">
        <v>16</v>
      </c>
      <c r="C541" t="s">
        <v>17</v>
      </c>
      <c r="D541" s="1">
        <v>45951</v>
      </c>
      <c r="E541" s="1">
        <v>45953</v>
      </c>
      <c r="F541" s="1">
        <v>45957</v>
      </c>
      <c r="G541" s="1">
        <v>45960</v>
      </c>
      <c r="H541" t="s">
        <v>25</v>
      </c>
      <c r="I541" t="s">
        <v>103</v>
      </c>
      <c r="J541" s="1"/>
      <c r="K541">
        <v>2</v>
      </c>
      <c r="L541">
        <v>4</v>
      </c>
      <c r="M541">
        <v>3</v>
      </c>
      <c r="O541">
        <v>9</v>
      </c>
      <c r="P541" t="b">
        <f>IF(EPe_BA_intern_assesment_Raw_data___Sheet13[[#This Row],[Customer Rating]]&gt;8,EPe_BA_intern_assesment_Raw_data___Sheet13[[#This Row],[Customer Rating]])</f>
        <v>0</v>
      </c>
      <c r="Q541" t="str">
        <f>IF(AND(EPe_BA_intern_assesment_Raw_data___Sheet13[[#This Row],[Customer Rating]]&gt;6,EPe_BA_intern_assesment_Raw_data___Sheet13[[#This Row],[Customer Rating]]&lt;9), EPe_BA_intern_assesment_Raw_data___Sheet13[[#This Row],[Customer Rating]], "")</f>
        <v/>
      </c>
      <c r="R541">
        <f>IF(EPe_BA_intern_assesment_Raw_data___Sheet13[[#This Row],[Customer Rating]]&lt;7,EPe_BA_intern_assesment_Raw_data___Sheet13[[#This Row],[Customer Rating]])</f>
        <v>0</v>
      </c>
    </row>
    <row r="542" spans="1:18" x14ac:dyDescent="0.3">
      <c r="A542" t="s">
        <v>570</v>
      </c>
      <c r="B542" t="s">
        <v>16</v>
      </c>
      <c r="C542" t="s">
        <v>32</v>
      </c>
      <c r="D542" s="1">
        <v>45933</v>
      </c>
      <c r="E542" s="1">
        <v>45934</v>
      </c>
      <c r="F542" s="1">
        <v>45935</v>
      </c>
      <c r="G542" s="1">
        <v>45941</v>
      </c>
      <c r="H542" t="s">
        <v>18</v>
      </c>
      <c r="I542" t="s">
        <v>19</v>
      </c>
      <c r="J542" s="1">
        <v>45955</v>
      </c>
      <c r="K542">
        <v>1</v>
      </c>
      <c r="L542">
        <v>1</v>
      </c>
      <c r="M542">
        <v>6</v>
      </c>
      <c r="N542">
        <v>9</v>
      </c>
      <c r="O542">
        <v>8</v>
      </c>
      <c r="P542">
        <f>IF(EPe_BA_intern_assesment_Raw_data___Sheet13[[#This Row],[Customer Rating]]&gt;8,EPe_BA_intern_assesment_Raw_data___Sheet13[[#This Row],[Customer Rating]])</f>
        <v>9</v>
      </c>
      <c r="Q542" t="str">
        <f>IF(AND(EPe_BA_intern_assesment_Raw_data___Sheet13[[#This Row],[Customer Rating]]&gt;6,EPe_BA_intern_assesment_Raw_data___Sheet13[[#This Row],[Customer Rating]]&lt;9), EPe_BA_intern_assesment_Raw_data___Sheet13[[#This Row],[Customer Rating]], "")</f>
        <v/>
      </c>
      <c r="R542" t="b">
        <f>IF(EPe_BA_intern_assesment_Raw_data___Sheet13[[#This Row],[Customer Rating]]&lt;7,EPe_BA_intern_assesment_Raw_data___Sheet13[[#This Row],[Customer Rating]])</f>
        <v>0</v>
      </c>
    </row>
    <row r="543" spans="1:18" x14ac:dyDescent="0.3">
      <c r="A543" t="s">
        <v>571</v>
      </c>
      <c r="B543" t="s">
        <v>23</v>
      </c>
      <c r="C543" t="s">
        <v>24</v>
      </c>
      <c r="D543" s="1">
        <v>45958</v>
      </c>
      <c r="E543" s="1"/>
      <c r="F543" s="1"/>
      <c r="G543" s="1"/>
      <c r="H543" t="s">
        <v>25</v>
      </c>
      <c r="I543" t="s">
        <v>103</v>
      </c>
      <c r="J543" s="1"/>
      <c r="P543" t="b">
        <f>IF(EPe_BA_intern_assesment_Raw_data___Sheet13[[#This Row],[Customer Rating]]&gt;8,EPe_BA_intern_assesment_Raw_data___Sheet13[[#This Row],[Customer Rating]])</f>
        <v>0</v>
      </c>
      <c r="Q543" t="str">
        <f>IF(AND(EPe_BA_intern_assesment_Raw_data___Sheet13[[#This Row],[Customer Rating]]&gt;6,EPe_BA_intern_assesment_Raw_data___Sheet13[[#This Row],[Customer Rating]]&lt;9), EPe_BA_intern_assesment_Raw_data___Sheet13[[#This Row],[Customer Rating]], "")</f>
        <v/>
      </c>
      <c r="R543">
        <f>IF(EPe_BA_intern_assesment_Raw_data___Sheet13[[#This Row],[Customer Rating]]&lt;7,EPe_BA_intern_assesment_Raw_data___Sheet13[[#This Row],[Customer Rating]])</f>
        <v>0</v>
      </c>
    </row>
    <row r="544" spans="1:18" x14ac:dyDescent="0.3">
      <c r="A544" t="s">
        <v>572</v>
      </c>
      <c r="B544" t="s">
        <v>34</v>
      </c>
      <c r="C544" t="s">
        <v>17</v>
      </c>
      <c r="D544" s="1">
        <v>45941</v>
      </c>
      <c r="E544" s="1">
        <v>45946</v>
      </c>
      <c r="F544" s="1">
        <v>45950</v>
      </c>
      <c r="G544" s="1">
        <v>45954</v>
      </c>
      <c r="H544" t="s">
        <v>18</v>
      </c>
      <c r="I544" t="s">
        <v>19</v>
      </c>
      <c r="J544" s="1">
        <v>45984</v>
      </c>
      <c r="K544">
        <v>5</v>
      </c>
      <c r="L544">
        <v>4</v>
      </c>
      <c r="M544">
        <v>4</v>
      </c>
      <c r="N544">
        <v>9</v>
      </c>
      <c r="O544">
        <v>13</v>
      </c>
      <c r="P544">
        <f>IF(EPe_BA_intern_assesment_Raw_data___Sheet13[[#This Row],[Customer Rating]]&gt;8,EPe_BA_intern_assesment_Raw_data___Sheet13[[#This Row],[Customer Rating]])</f>
        <v>9</v>
      </c>
      <c r="Q544" t="str">
        <f>IF(AND(EPe_BA_intern_assesment_Raw_data___Sheet13[[#This Row],[Customer Rating]]&gt;6,EPe_BA_intern_assesment_Raw_data___Sheet13[[#This Row],[Customer Rating]]&lt;9), EPe_BA_intern_assesment_Raw_data___Sheet13[[#This Row],[Customer Rating]], "")</f>
        <v/>
      </c>
      <c r="R544" t="b">
        <f>IF(EPe_BA_intern_assesment_Raw_data___Sheet13[[#This Row],[Customer Rating]]&lt;7,EPe_BA_intern_assesment_Raw_data___Sheet13[[#This Row],[Customer Rating]])</f>
        <v>0</v>
      </c>
    </row>
    <row r="545" spans="1:18" x14ac:dyDescent="0.3">
      <c r="A545" t="s">
        <v>573</v>
      </c>
      <c r="B545" t="s">
        <v>34</v>
      </c>
      <c r="C545" t="s">
        <v>17</v>
      </c>
      <c r="D545" s="1">
        <v>45958</v>
      </c>
      <c r="E545" s="1">
        <v>45961</v>
      </c>
      <c r="F545" s="1">
        <v>45964</v>
      </c>
      <c r="G545" s="1">
        <v>45969</v>
      </c>
      <c r="H545" t="s">
        <v>18</v>
      </c>
      <c r="I545" t="s">
        <v>19</v>
      </c>
      <c r="J545" s="1">
        <v>45984</v>
      </c>
      <c r="K545">
        <v>3</v>
      </c>
      <c r="L545">
        <v>3</v>
      </c>
      <c r="M545">
        <v>5</v>
      </c>
      <c r="N545">
        <v>4</v>
      </c>
      <c r="O545">
        <v>11</v>
      </c>
      <c r="P545" t="b">
        <f>IF(EPe_BA_intern_assesment_Raw_data___Sheet13[[#This Row],[Customer Rating]]&gt;8,EPe_BA_intern_assesment_Raw_data___Sheet13[[#This Row],[Customer Rating]])</f>
        <v>0</v>
      </c>
      <c r="Q545" t="str">
        <f>IF(AND(EPe_BA_intern_assesment_Raw_data___Sheet13[[#This Row],[Customer Rating]]&gt;6,EPe_BA_intern_assesment_Raw_data___Sheet13[[#This Row],[Customer Rating]]&lt;9), EPe_BA_intern_assesment_Raw_data___Sheet13[[#This Row],[Customer Rating]], "")</f>
        <v/>
      </c>
      <c r="R545">
        <f>IF(EPe_BA_intern_assesment_Raw_data___Sheet13[[#This Row],[Customer Rating]]&lt;7,EPe_BA_intern_assesment_Raw_data___Sheet13[[#This Row],[Customer Rating]])</f>
        <v>4</v>
      </c>
    </row>
    <row r="546" spans="1:18" x14ac:dyDescent="0.3">
      <c r="A546" t="s">
        <v>574</v>
      </c>
      <c r="B546" t="s">
        <v>16</v>
      </c>
      <c r="C546" t="s">
        <v>32</v>
      </c>
      <c r="D546" s="1">
        <v>45952</v>
      </c>
      <c r="E546" s="1">
        <v>45953</v>
      </c>
      <c r="F546" s="1">
        <v>45955</v>
      </c>
      <c r="G546" s="1">
        <v>45961</v>
      </c>
      <c r="H546" t="s">
        <v>18</v>
      </c>
      <c r="I546" t="s">
        <v>19</v>
      </c>
      <c r="J546" s="1">
        <v>45990</v>
      </c>
      <c r="K546">
        <v>1</v>
      </c>
      <c r="L546">
        <v>2</v>
      </c>
      <c r="M546">
        <v>6</v>
      </c>
      <c r="N546">
        <v>1</v>
      </c>
      <c r="O546">
        <v>9</v>
      </c>
      <c r="P546" t="b">
        <f>IF(EPe_BA_intern_assesment_Raw_data___Sheet13[[#This Row],[Customer Rating]]&gt;8,EPe_BA_intern_assesment_Raw_data___Sheet13[[#This Row],[Customer Rating]])</f>
        <v>0</v>
      </c>
      <c r="Q546" t="str">
        <f>IF(AND(EPe_BA_intern_assesment_Raw_data___Sheet13[[#This Row],[Customer Rating]]&gt;6,EPe_BA_intern_assesment_Raw_data___Sheet13[[#This Row],[Customer Rating]]&lt;9), EPe_BA_intern_assesment_Raw_data___Sheet13[[#This Row],[Customer Rating]], "")</f>
        <v/>
      </c>
      <c r="R546">
        <f>IF(EPe_BA_intern_assesment_Raw_data___Sheet13[[#This Row],[Customer Rating]]&lt;7,EPe_BA_intern_assesment_Raw_data___Sheet13[[#This Row],[Customer Rating]])</f>
        <v>1</v>
      </c>
    </row>
    <row r="547" spans="1:18" x14ac:dyDescent="0.3">
      <c r="A547" t="s">
        <v>575</v>
      </c>
      <c r="B547" t="s">
        <v>21</v>
      </c>
      <c r="C547" t="s">
        <v>32</v>
      </c>
      <c r="D547" s="1">
        <v>45958</v>
      </c>
      <c r="E547" s="1">
        <v>45963</v>
      </c>
      <c r="F547" s="1">
        <v>45966</v>
      </c>
      <c r="G547" s="1">
        <v>45973</v>
      </c>
      <c r="H547" t="s">
        <v>18</v>
      </c>
      <c r="I547" t="s">
        <v>19</v>
      </c>
      <c r="J547" s="1">
        <v>45983</v>
      </c>
      <c r="K547">
        <v>5</v>
      </c>
      <c r="L547">
        <v>3</v>
      </c>
      <c r="M547">
        <v>7</v>
      </c>
      <c r="N547">
        <v>6</v>
      </c>
      <c r="O547">
        <v>15</v>
      </c>
      <c r="P547" t="b">
        <f>IF(EPe_BA_intern_assesment_Raw_data___Sheet13[[#This Row],[Customer Rating]]&gt;8,EPe_BA_intern_assesment_Raw_data___Sheet13[[#This Row],[Customer Rating]])</f>
        <v>0</v>
      </c>
      <c r="Q547" t="str">
        <f>IF(AND(EPe_BA_intern_assesment_Raw_data___Sheet13[[#This Row],[Customer Rating]]&gt;6,EPe_BA_intern_assesment_Raw_data___Sheet13[[#This Row],[Customer Rating]]&lt;9), EPe_BA_intern_assesment_Raw_data___Sheet13[[#This Row],[Customer Rating]], "")</f>
        <v/>
      </c>
      <c r="R547">
        <f>IF(EPe_BA_intern_assesment_Raw_data___Sheet13[[#This Row],[Customer Rating]]&lt;7,EPe_BA_intern_assesment_Raw_data___Sheet13[[#This Row],[Customer Rating]])</f>
        <v>6</v>
      </c>
    </row>
    <row r="548" spans="1:18" x14ac:dyDescent="0.3">
      <c r="A548" t="s">
        <v>576</v>
      </c>
      <c r="B548" t="s">
        <v>23</v>
      </c>
      <c r="C548" t="s">
        <v>17</v>
      </c>
      <c r="D548" s="1">
        <v>45948</v>
      </c>
      <c r="E548" s="1">
        <v>45953</v>
      </c>
      <c r="F548" s="1">
        <v>45956</v>
      </c>
      <c r="G548" s="1">
        <v>45963</v>
      </c>
      <c r="H548" t="s">
        <v>18</v>
      </c>
      <c r="I548" t="s">
        <v>19</v>
      </c>
      <c r="J548" s="1">
        <v>45980</v>
      </c>
      <c r="K548">
        <v>5</v>
      </c>
      <c r="L548">
        <v>3</v>
      </c>
      <c r="M548">
        <v>7</v>
      </c>
      <c r="N548">
        <v>3</v>
      </c>
      <c r="O548">
        <v>15</v>
      </c>
      <c r="P548" t="b">
        <f>IF(EPe_BA_intern_assesment_Raw_data___Sheet13[[#This Row],[Customer Rating]]&gt;8,EPe_BA_intern_assesment_Raw_data___Sheet13[[#This Row],[Customer Rating]])</f>
        <v>0</v>
      </c>
      <c r="Q548" t="str">
        <f>IF(AND(EPe_BA_intern_assesment_Raw_data___Sheet13[[#This Row],[Customer Rating]]&gt;6,EPe_BA_intern_assesment_Raw_data___Sheet13[[#This Row],[Customer Rating]]&lt;9), EPe_BA_intern_assesment_Raw_data___Sheet13[[#This Row],[Customer Rating]], "")</f>
        <v/>
      </c>
      <c r="R548">
        <f>IF(EPe_BA_intern_assesment_Raw_data___Sheet13[[#This Row],[Customer Rating]]&lt;7,EPe_BA_intern_assesment_Raw_data___Sheet13[[#This Row],[Customer Rating]])</f>
        <v>3</v>
      </c>
    </row>
    <row r="549" spans="1:18" x14ac:dyDescent="0.3">
      <c r="A549" t="s">
        <v>577</v>
      </c>
      <c r="B549" t="s">
        <v>23</v>
      </c>
      <c r="C549" t="s">
        <v>17</v>
      </c>
      <c r="D549" s="1">
        <v>45943</v>
      </c>
      <c r="E549" s="1">
        <v>45948</v>
      </c>
      <c r="F549" s="1">
        <v>45952</v>
      </c>
      <c r="G549" s="1">
        <v>45959</v>
      </c>
      <c r="H549" t="s">
        <v>18</v>
      </c>
      <c r="I549" t="s">
        <v>19</v>
      </c>
      <c r="J549" s="1">
        <v>45977</v>
      </c>
      <c r="K549">
        <v>5</v>
      </c>
      <c r="L549">
        <v>4</v>
      </c>
      <c r="M549">
        <v>7</v>
      </c>
      <c r="N549">
        <v>4</v>
      </c>
      <c r="O549">
        <v>16</v>
      </c>
      <c r="P549" t="b">
        <f>IF(EPe_BA_intern_assesment_Raw_data___Sheet13[[#This Row],[Customer Rating]]&gt;8,EPe_BA_intern_assesment_Raw_data___Sheet13[[#This Row],[Customer Rating]])</f>
        <v>0</v>
      </c>
      <c r="Q549" t="str">
        <f>IF(AND(EPe_BA_intern_assesment_Raw_data___Sheet13[[#This Row],[Customer Rating]]&gt;6,EPe_BA_intern_assesment_Raw_data___Sheet13[[#This Row],[Customer Rating]]&lt;9), EPe_BA_intern_assesment_Raw_data___Sheet13[[#This Row],[Customer Rating]], "")</f>
        <v/>
      </c>
      <c r="R549">
        <f>IF(EPe_BA_intern_assesment_Raw_data___Sheet13[[#This Row],[Customer Rating]]&lt;7,EPe_BA_intern_assesment_Raw_data___Sheet13[[#This Row],[Customer Rating]])</f>
        <v>4</v>
      </c>
    </row>
    <row r="550" spans="1:18" x14ac:dyDescent="0.3">
      <c r="A550" t="s">
        <v>578</v>
      </c>
      <c r="B550" t="s">
        <v>23</v>
      </c>
      <c r="C550" t="s">
        <v>17</v>
      </c>
      <c r="D550" s="1">
        <v>45961</v>
      </c>
      <c r="E550" s="1">
        <v>45966</v>
      </c>
      <c r="F550" s="1">
        <v>45967</v>
      </c>
      <c r="G550" s="1">
        <v>45974</v>
      </c>
      <c r="H550" t="s">
        <v>18</v>
      </c>
      <c r="I550" t="s">
        <v>19</v>
      </c>
      <c r="J550" s="1">
        <v>46003</v>
      </c>
      <c r="K550">
        <v>5</v>
      </c>
      <c r="L550">
        <v>1</v>
      </c>
      <c r="M550">
        <v>7</v>
      </c>
      <c r="N550">
        <v>6</v>
      </c>
      <c r="O550">
        <v>13</v>
      </c>
      <c r="P550" t="b">
        <f>IF(EPe_BA_intern_assesment_Raw_data___Sheet13[[#This Row],[Customer Rating]]&gt;8,EPe_BA_intern_assesment_Raw_data___Sheet13[[#This Row],[Customer Rating]])</f>
        <v>0</v>
      </c>
      <c r="Q550" t="str">
        <f>IF(AND(EPe_BA_intern_assesment_Raw_data___Sheet13[[#This Row],[Customer Rating]]&gt;6,EPe_BA_intern_assesment_Raw_data___Sheet13[[#This Row],[Customer Rating]]&lt;9), EPe_BA_intern_assesment_Raw_data___Sheet13[[#This Row],[Customer Rating]], "")</f>
        <v/>
      </c>
      <c r="R550">
        <f>IF(EPe_BA_intern_assesment_Raw_data___Sheet13[[#This Row],[Customer Rating]]&lt;7,EPe_BA_intern_assesment_Raw_data___Sheet13[[#This Row],[Customer Rating]])</f>
        <v>6</v>
      </c>
    </row>
    <row r="551" spans="1:18" x14ac:dyDescent="0.3">
      <c r="A551" t="s">
        <v>579</v>
      </c>
      <c r="B551" t="s">
        <v>23</v>
      </c>
      <c r="C551" t="s">
        <v>17</v>
      </c>
      <c r="D551" s="1">
        <v>45941</v>
      </c>
      <c r="E551" s="1">
        <v>45946</v>
      </c>
      <c r="F551" s="1">
        <v>45951</v>
      </c>
      <c r="G551" s="1">
        <v>45953</v>
      </c>
      <c r="H551" t="s">
        <v>18</v>
      </c>
      <c r="I551" t="s">
        <v>19</v>
      </c>
      <c r="J551" s="1">
        <v>45972</v>
      </c>
      <c r="K551">
        <v>5</v>
      </c>
      <c r="L551">
        <v>5</v>
      </c>
      <c r="M551">
        <v>2</v>
      </c>
      <c r="N551">
        <v>5</v>
      </c>
      <c r="O551">
        <v>12</v>
      </c>
      <c r="P551" t="b">
        <f>IF(EPe_BA_intern_assesment_Raw_data___Sheet13[[#This Row],[Customer Rating]]&gt;8,EPe_BA_intern_assesment_Raw_data___Sheet13[[#This Row],[Customer Rating]])</f>
        <v>0</v>
      </c>
      <c r="Q551" t="str">
        <f>IF(AND(EPe_BA_intern_assesment_Raw_data___Sheet13[[#This Row],[Customer Rating]]&gt;6,EPe_BA_intern_assesment_Raw_data___Sheet13[[#This Row],[Customer Rating]]&lt;9), EPe_BA_intern_assesment_Raw_data___Sheet13[[#This Row],[Customer Rating]], "")</f>
        <v/>
      </c>
      <c r="R551">
        <f>IF(EPe_BA_intern_assesment_Raw_data___Sheet13[[#This Row],[Customer Rating]]&lt;7,EPe_BA_intern_assesment_Raw_data___Sheet13[[#This Row],[Customer Rating]])</f>
        <v>5</v>
      </c>
    </row>
    <row r="552" spans="1:18" x14ac:dyDescent="0.3">
      <c r="A552" t="s">
        <v>580</v>
      </c>
      <c r="B552" t="s">
        <v>34</v>
      </c>
      <c r="C552" t="s">
        <v>17</v>
      </c>
      <c r="D552" s="1">
        <v>45951</v>
      </c>
      <c r="E552" s="1">
        <v>45952</v>
      </c>
      <c r="F552" s="1">
        <v>45954</v>
      </c>
      <c r="G552" s="1">
        <v>45958</v>
      </c>
      <c r="H552" t="s">
        <v>18</v>
      </c>
      <c r="I552" t="s">
        <v>19</v>
      </c>
      <c r="J552" s="1">
        <v>45988</v>
      </c>
      <c r="K552">
        <v>1</v>
      </c>
      <c r="L552">
        <v>2</v>
      </c>
      <c r="M552">
        <v>4</v>
      </c>
      <c r="N552">
        <v>3</v>
      </c>
      <c r="O552">
        <v>7</v>
      </c>
      <c r="P552" t="b">
        <f>IF(EPe_BA_intern_assesment_Raw_data___Sheet13[[#This Row],[Customer Rating]]&gt;8,EPe_BA_intern_assesment_Raw_data___Sheet13[[#This Row],[Customer Rating]])</f>
        <v>0</v>
      </c>
      <c r="Q552" t="str">
        <f>IF(AND(EPe_BA_intern_assesment_Raw_data___Sheet13[[#This Row],[Customer Rating]]&gt;6,EPe_BA_intern_assesment_Raw_data___Sheet13[[#This Row],[Customer Rating]]&lt;9), EPe_BA_intern_assesment_Raw_data___Sheet13[[#This Row],[Customer Rating]], "")</f>
        <v/>
      </c>
      <c r="R552">
        <f>IF(EPe_BA_intern_assesment_Raw_data___Sheet13[[#This Row],[Customer Rating]]&lt;7,EPe_BA_intern_assesment_Raw_data___Sheet13[[#This Row],[Customer Rating]])</f>
        <v>3</v>
      </c>
    </row>
    <row r="553" spans="1:18" x14ac:dyDescent="0.3">
      <c r="A553" t="s">
        <v>581</v>
      </c>
      <c r="B553" t="s">
        <v>34</v>
      </c>
      <c r="C553" t="s">
        <v>32</v>
      </c>
      <c r="D553" s="1">
        <v>45953</v>
      </c>
      <c r="E553" s="1">
        <v>45957</v>
      </c>
      <c r="F553" s="1">
        <v>45959</v>
      </c>
      <c r="G553" s="1">
        <v>45966</v>
      </c>
      <c r="H553" t="s">
        <v>18</v>
      </c>
      <c r="I553" t="s">
        <v>19</v>
      </c>
      <c r="J553" s="1">
        <v>45984</v>
      </c>
      <c r="K553">
        <v>4</v>
      </c>
      <c r="L553">
        <v>2</v>
      </c>
      <c r="M553">
        <v>7</v>
      </c>
      <c r="N553">
        <v>3</v>
      </c>
      <c r="O553">
        <v>13</v>
      </c>
      <c r="P553" t="b">
        <f>IF(EPe_BA_intern_assesment_Raw_data___Sheet13[[#This Row],[Customer Rating]]&gt;8,EPe_BA_intern_assesment_Raw_data___Sheet13[[#This Row],[Customer Rating]])</f>
        <v>0</v>
      </c>
      <c r="Q553" t="str">
        <f>IF(AND(EPe_BA_intern_assesment_Raw_data___Sheet13[[#This Row],[Customer Rating]]&gt;6,EPe_BA_intern_assesment_Raw_data___Sheet13[[#This Row],[Customer Rating]]&lt;9), EPe_BA_intern_assesment_Raw_data___Sheet13[[#This Row],[Customer Rating]], "")</f>
        <v/>
      </c>
      <c r="R553">
        <f>IF(EPe_BA_intern_assesment_Raw_data___Sheet13[[#This Row],[Customer Rating]]&lt;7,EPe_BA_intern_assesment_Raw_data___Sheet13[[#This Row],[Customer Rating]])</f>
        <v>3</v>
      </c>
    </row>
    <row r="554" spans="1:18" x14ac:dyDescent="0.3">
      <c r="A554" t="s">
        <v>582</v>
      </c>
      <c r="B554" t="s">
        <v>21</v>
      </c>
      <c r="C554" t="s">
        <v>17</v>
      </c>
      <c r="D554" s="1">
        <v>45959</v>
      </c>
      <c r="E554" s="1">
        <v>45963</v>
      </c>
      <c r="F554" s="1">
        <v>45964</v>
      </c>
      <c r="G554" s="1">
        <v>45969</v>
      </c>
      <c r="H554" t="s">
        <v>18</v>
      </c>
      <c r="I554" t="s">
        <v>19</v>
      </c>
      <c r="J554" s="1">
        <v>45992</v>
      </c>
      <c r="K554">
        <v>4</v>
      </c>
      <c r="L554">
        <v>1</v>
      </c>
      <c r="M554">
        <v>5</v>
      </c>
      <c r="N554">
        <v>9</v>
      </c>
      <c r="O554">
        <v>10</v>
      </c>
      <c r="P554">
        <f>IF(EPe_BA_intern_assesment_Raw_data___Sheet13[[#This Row],[Customer Rating]]&gt;8,EPe_BA_intern_assesment_Raw_data___Sheet13[[#This Row],[Customer Rating]])</f>
        <v>9</v>
      </c>
      <c r="Q554" t="str">
        <f>IF(AND(EPe_BA_intern_assesment_Raw_data___Sheet13[[#This Row],[Customer Rating]]&gt;6,EPe_BA_intern_assesment_Raw_data___Sheet13[[#This Row],[Customer Rating]]&lt;9), EPe_BA_intern_assesment_Raw_data___Sheet13[[#This Row],[Customer Rating]], "")</f>
        <v/>
      </c>
      <c r="R554" t="b">
        <f>IF(EPe_BA_intern_assesment_Raw_data___Sheet13[[#This Row],[Customer Rating]]&lt;7,EPe_BA_intern_assesment_Raw_data___Sheet13[[#This Row],[Customer Rating]])</f>
        <v>0</v>
      </c>
    </row>
    <row r="555" spans="1:18" x14ac:dyDescent="0.3">
      <c r="A555" t="s">
        <v>583</v>
      </c>
      <c r="B555" t="s">
        <v>23</v>
      </c>
      <c r="C555" t="s">
        <v>24</v>
      </c>
      <c r="D555" s="1">
        <v>45955</v>
      </c>
      <c r="E555" s="1"/>
      <c r="F555" s="1"/>
      <c r="G555" s="1"/>
      <c r="H555" t="s">
        <v>25</v>
      </c>
      <c r="I555" t="s">
        <v>65</v>
      </c>
      <c r="J555" s="1"/>
      <c r="P555" t="b">
        <f>IF(EPe_BA_intern_assesment_Raw_data___Sheet13[[#This Row],[Customer Rating]]&gt;8,EPe_BA_intern_assesment_Raw_data___Sheet13[[#This Row],[Customer Rating]])</f>
        <v>0</v>
      </c>
      <c r="Q555" t="str">
        <f>IF(AND(EPe_BA_intern_assesment_Raw_data___Sheet13[[#This Row],[Customer Rating]]&gt;6,EPe_BA_intern_assesment_Raw_data___Sheet13[[#This Row],[Customer Rating]]&lt;9), EPe_BA_intern_assesment_Raw_data___Sheet13[[#This Row],[Customer Rating]], "")</f>
        <v/>
      </c>
      <c r="R555">
        <f>IF(EPe_BA_intern_assesment_Raw_data___Sheet13[[#This Row],[Customer Rating]]&lt;7,EPe_BA_intern_assesment_Raw_data___Sheet13[[#This Row],[Customer Rating]])</f>
        <v>0</v>
      </c>
    </row>
    <row r="556" spans="1:18" x14ac:dyDescent="0.3">
      <c r="A556" t="s">
        <v>584</v>
      </c>
      <c r="B556" t="s">
        <v>23</v>
      </c>
      <c r="C556" t="s">
        <v>17</v>
      </c>
      <c r="D556" s="1">
        <v>45946</v>
      </c>
      <c r="E556" s="1">
        <v>45947</v>
      </c>
      <c r="F556" s="1">
        <v>45950</v>
      </c>
      <c r="G556" s="1">
        <v>45957</v>
      </c>
      <c r="H556" t="s">
        <v>18</v>
      </c>
      <c r="I556" t="s">
        <v>19</v>
      </c>
      <c r="J556" s="1">
        <v>45979</v>
      </c>
      <c r="K556">
        <v>1</v>
      </c>
      <c r="L556">
        <v>3</v>
      </c>
      <c r="M556">
        <v>7</v>
      </c>
      <c r="N556">
        <v>2</v>
      </c>
      <c r="O556">
        <v>11</v>
      </c>
      <c r="P556" t="b">
        <f>IF(EPe_BA_intern_assesment_Raw_data___Sheet13[[#This Row],[Customer Rating]]&gt;8,EPe_BA_intern_assesment_Raw_data___Sheet13[[#This Row],[Customer Rating]])</f>
        <v>0</v>
      </c>
      <c r="Q556" t="str">
        <f>IF(AND(EPe_BA_intern_assesment_Raw_data___Sheet13[[#This Row],[Customer Rating]]&gt;6,EPe_BA_intern_assesment_Raw_data___Sheet13[[#This Row],[Customer Rating]]&lt;9), EPe_BA_intern_assesment_Raw_data___Sheet13[[#This Row],[Customer Rating]], "")</f>
        <v/>
      </c>
      <c r="R556">
        <f>IF(EPe_BA_intern_assesment_Raw_data___Sheet13[[#This Row],[Customer Rating]]&lt;7,EPe_BA_intern_assesment_Raw_data___Sheet13[[#This Row],[Customer Rating]])</f>
        <v>2</v>
      </c>
    </row>
    <row r="557" spans="1:18" x14ac:dyDescent="0.3">
      <c r="A557" t="s">
        <v>585</v>
      </c>
      <c r="B557" t="s">
        <v>16</v>
      </c>
      <c r="C557" t="s">
        <v>17</v>
      </c>
      <c r="D557" s="1">
        <v>45958</v>
      </c>
      <c r="E557" s="1">
        <v>45962</v>
      </c>
      <c r="F557" s="1">
        <v>45967</v>
      </c>
      <c r="G557" s="1">
        <v>45970</v>
      </c>
      <c r="H557" t="s">
        <v>18</v>
      </c>
      <c r="I557" t="s">
        <v>19</v>
      </c>
      <c r="J557" s="1">
        <v>45991</v>
      </c>
      <c r="K557">
        <v>4</v>
      </c>
      <c r="L557">
        <v>5</v>
      </c>
      <c r="M557">
        <v>3</v>
      </c>
      <c r="N557">
        <v>8</v>
      </c>
      <c r="O557">
        <v>12</v>
      </c>
      <c r="P557" t="b">
        <f>IF(EPe_BA_intern_assesment_Raw_data___Sheet13[[#This Row],[Customer Rating]]&gt;8,EPe_BA_intern_assesment_Raw_data___Sheet13[[#This Row],[Customer Rating]])</f>
        <v>0</v>
      </c>
      <c r="Q557">
        <f>IF(AND(EPe_BA_intern_assesment_Raw_data___Sheet13[[#This Row],[Customer Rating]]&gt;6,EPe_BA_intern_assesment_Raw_data___Sheet13[[#This Row],[Customer Rating]]&lt;9), EPe_BA_intern_assesment_Raw_data___Sheet13[[#This Row],[Customer Rating]], "")</f>
        <v>8</v>
      </c>
      <c r="R557" t="b">
        <f>IF(EPe_BA_intern_assesment_Raw_data___Sheet13[[#This Row],[Customer Rating]]&lt;7,EPe_BA_intern_assesment_Raw_data___Sheet13[[#This Row],[Customer Rating]])</f>
        <v>0</v>
      </c>
    </row>
    <row r="558" spans="1:18" x14ac:dyDescent="0.3">
      <c r="A558" t="s">
        <v>586</v>
      </c>
      <c r="B558" t="s">
        <v>34</v>
      </c>
      <c r="C558" t="s">
        <v>32</v>
      </c>
      <c r="D558" s="1">
        <v>45948</v>
      </c>
      <c r="E558" s="1">
        <v>45951</v>
      </c>
      <c r="F558" s="1">
        <v>45956</v>
      </c>
      <c r="G558" s="1">
        <v>45958</v>
      </c>
      <c r="H558" t="s">
        <v>18</v>
      </c>
      <c r="I558" t="s">
        <v>19</v>
      </c>
      <c r="J558" s="1">
        <v>45982</v>
      </c>
      <c r="K558">
        <v>3</v>
      </c>
      <c r="L558">
        <v>5</v>
      </c>
      <c r="M558">
        <v>2</v>
      </c>
      <c r="N558">
        <v>1</v>
      </c>
      <c r="O558">
        <v>10</v>
      </c>
      <c r="P558" t="b">
        <f>IF(EPe_BA_intern_assesment_Raw_data___Sheet13[[#This Row],[Customer Rating]]&gt;8,EPe_BA_intern_assesment_Raw_data___Sheet13[[#This Row],[Customer Rating]])</f>
        <v>0</v>
      </c>
      <c r="Q558" t="str">
        <f>IF(AND(EPe_BA_intern_assesment_Raw_data___Sheet13[[#This Row],[Customer Rating]]&gt;6,EPe_BA_intern_assesment_Raw_data___Sheet13[[#This Row],[Customer Rating]]&lt;9), EPe_BA_intern_assesment_Raw_data___Sheet13[[#This Row],[Customer Rating]], "")</f>
        <v/>
      </c>
      <c r="R558">
        <f>IF(EPe_BA_intern_assesment_Raw_data___Sheet13[[#This Row],[Customer Rating]]&lt;7,EPe_BA_intern_assesment_Raw_data___Sheet13[[#This Row],[Customer Rating]])</f>
        <v>1</v>
      </c>
    </row>
    <row r="559" spans="1:18" x14ac:dyDescent="0.3">
      <c r="A559" t="s">
        <v>587</v>
      </c>
      <c r="B559" t="s">
        <v>23</v>
      </c>
      <c r="C559" t="s">
        <v>17</v>
      </c>
      <c r="D559" s="1">
        <v>45932</v>
      </c>
      <c r="E559" s="1">
        <v>45935</v>
      </c>
      <c r="F559" s="1">
        <v>45940</v>
      </c>
      <c r="G559" s="1">
        <v>45943</v>
      </c>
      <c r="H559" t="s">
        <v>18</v>
      </c>
      <c r="I559" t="s">
        <v>19</v>
      </c>
      <c r="J559" s="1">
        <v>45961</v>
      </c>
      <c r="K559">
        <v>3</v>
      </c>
      <c r="L559">
        <v>5</v>
      </c>
      <c r="M559">
        <v>3</v>
      </c>
      <c r="N559">
        <v>2</v>
      </c>
      <c r="O559">
        <v>11</v>
      </c>
      <c r="P559" t="b">
        <f>IF(EPe_BA_intern_assesment_Raw_data___Sheet13[[#This Row],[Customer Rating]]&gt;8,EPe_BA_intern_assesment_Raw_data___Sheet13[[#This Row],[Customer Rating]])</f>
        <v>0</v>
      </c>
      <c r="Q559" t="str">
        <f>IF(AND(EPe_BA_intern_assesment_Raw_data___Sheet13[[#This Row],[Customer Rating]]&gt;6,EPe_BA_intern_assesment_Raw_data___Sheet13[[#This Row],[Customer Rating]]&lt;9), EPe_BA_intern_assesment_Raw_data___Sheet13[[#This Row],[Customer Rating]], "")</f>
        <v/>
      </c>
      <c r="R559">
        <f>IF(EPe_BA_intern_assesment_Raw_data___Sheet13[[#This Row],[Customer Rating]]&lt;7,EPe_BA_intern_assesment_Raw_data___Sheet13[[#This Row],[Customer Rating]])</f>
        <v>2</v>
      </c>
    </row>
    <row r="560" spans="1:18" x14ac:dyDescent="0.3">
      <c r="A560" t="s">
        <v>588</v>
      </c>
      <c r="B560" t="s">
        <v>21</v>
      </c>
      <c r="C560" t="s">
        <v>17</v>
      </c>
      <c r="D560" s="1">
        <v>45950</v>
      </c>
      <c r="E560" s="1">
        <v>45951</v>
      </c>
      <c r="F560" s="1">
        <v>45955</v>
      </c>
      <c r="G560" s="1">
        <v>45957</v>
      </c>
      <c r="H560" t="s">
        <v>18</v>
      </c>
      <c r="I560" t="s">
        <v>19</v>
      </c>
      <c r="J560" s="1">
        <v>45973</v>
      </c>
      <c r="K560">
        <v>1</v>
      </c>
      <c r="L560">
        <v>4</v>
      </c>
      <c r="M560">
        <v>2</v>
      </c>
      <c r="N560">
        <v>6</v>
      </c>
      <c r="O560">
        <v>7</v>
      </c>
      <c r="P560" t="b">
        <f>IF(EPe_BA_intern_assesment_Raw_data___Sheet13[[#This Row],[Customer Rating]]&gt;8,EPe_BA_intern_assesment_Raw_data___Sheet13[[#This Row],[Customer Rating]])</f>
        <v>0</v>
      </c>
      <c r="Q560" t="str">
        <f>IF(AND(EPe_BA_intern_assesment_Raw_data___Sheet13[[#This Row],[Customer Rating]]&gt;6,EPe_BA_intern_assesment_Raw_data___Sheet13[[#This Row],[Customer Rating]]&lt;9), EPe_BA_intern_assesment_Raw_data___Sheet13[[#This Row],[Customer Rating]], "")</f>
        <v/>
      </c>
      <c r="R560">
        <f>IF(EPe_BA_intern_assesment_Raw_data___Sheet13[[#This Row],[Customer Rating]]&lt;7,EPe_BA_intern_assesment_Raw_data___Sheet13[[#This Row],[Customer Rating]])</f>
        <v>6</v>
      </c>
    </row>
    <row r="561" spans="1:18" x14ac:dyDescent="0.3">
      <c r="A561" t="s">
        <v>589</v>
      </c>
      <c r="B561" t="s">
        <v>21</v>
      </c>
      <c r="C561" t="s">
        <v>24</v>
      </c>
      <c r="D561" s="1">
        <v>45933</v>
      </c>
      <c r="E561" s="1"/>
      <c r="F561" s="1"/>
      <c r="G561" s="1"/>
      <c r="H561" t="s">
        <v>25</v>
      </c>
      <c r="I561" t="s">
        <v>28</v>
      </c>
      <c r="J561" s="1"/>
      <c r="P561" t="b">
        <f>IF(EPe_BA_intern_assesment_Raw_data___Sheet13[[#This Row],[Customer Rating]]&gt;8,EPe_BA_intern_assesment_Raw_data___Sheet13[[#This Row],[Customer Rating]])</f>
        <v>0</v>
      </c>
      <c r="Q561" t="str">
        <f>IF(AND(EPe_BA_intern_assesment_Raw_data___Sheet13[[#This Row],[Customer Rating]]&gt;6,EPe_BA_intern_assesment_Raw_data___Sheet13[[#This Row],[Customer Rating]]&lt;9), EPe_BA_intern_assesment_Raw_data___Sheet13[[#This Row],[Customer Rating]], "")</f>
        <v/>
      </c>
      <c r="R561">
        <f>IF(EPe_BA_intern_assesment_Raw_data___Sheet13[[#This Row],[Customer Rating]]&lt;7,EPe_BA_intern_assesment_Raw_data___Sheet13[[#This Row],[Customer Rating]])</f>
        <v>0</v>
      </c>
    </row>
    <row r="562" spans="1:18" x14ac:dyDescent="0.3">
      <c r="A562" t="s">
        <v>590</v>
      </c>
      <c r="B562" t="s">
        <v>34</v>
      </c>
      <c r="C562" t="s">
        <v>17</v>
      </c>
      <c r="D562" s="1">
        <v>45938</v>
      </c>
      <c r="E562" s="1">
        <v>45941</v>
      </c>
      <c r="F562" s="1">
        <v>45944</v>
      </c>
      <c r="G562" s="1">
        <v>45949</v>
      </c>
      <c r="H562" t="s">
        <v>18</v>
      </c>
      <c r="I562" t="s">
        <v>19</v>
      </c>
      <c r="J562" s="1">
        <v>45973</v>
      </c>
      <c r="K562">
        <v>3</v>
      </c>
      <c r="L562">
        <v>3</v>
      </c>
      <c r="M562">
        <v>5</v>
      </c>
      <c r="N562">
        <v>6</v>
      </c>
      <c r="O562">
        <v>11</v>
      </c>
      <c r="P562" t="b">
        <f>IF(EPe_BA_intern_assesment_Raw_data___Sheet13[[#This Row],[Customer Rating]]&gt;8,EPe_BA_intern_assesment_Raw_data___Sheet13[[#This Row],[Customer Rating]])</f>
        <v>0</v>
      </c>
      <c r="Q562" t="str">
        <f>IF(AND(EPe_BA_intern_assesment_Raw_data___Sheet13[[#This Row],[Customer Rating]]&gt;6,EPe_BA_intern_assesment_Raw_data___Sheet13[[#This Row],[Customer Rating]]&lt;9), EPe_BA_intern_assesment_Raw_data___Sheet13[[#This Row],[Customer Rating]], "")</f>
        <v/>
      </c>
      <c r="R562">
        <f>IF(EPe_BA_intern_assesment_Raw_data___Sheet13[[#This Row],[Customer Rating]]&lt;7,EPe_BA_intern_assesment_Raw_data___Sheet13[[#This Row],[Customer Rating]])</f>
        <v>6</v>
      </c>
    </row>
    <row r="563" spans="1:18" x14ac:dyDescent="0.3">
      <c r="A563" t="s">
        <v>591</v>
      </c>
      <c r="B563" t="s">
        <v>21</v>
      </c>
      <c r="C563" t="s">
        <v>24</v>
      </c>
      <c r="D563" s="1">
        <v>45951</v>
      </c>
      <c r="E563" s="1"/>
      <c r="F563" s="1"/>
      <c r="G563" s="1"/>
      <c r="H563" t="s">
        <v>25</v>
      </c>
      <c r="I563" t="s">
        <v>103</v>
      </c>
      <c r="J563" s="1"/>
      <c r="P563" t="b">
        <f>IF(EPe_BA_intern_assesment_Raw_data___Sheet13[[#This Row],[Customer Rating]]&gt;8,EPe_BA_intern_assesment_Raw_data___Sheet13[[#This Row],[Customer Rating]])</f>
        <v>0</v>
      </c>
      <c r="Q563" t="str">
        <f>IF(AND(EPe_BA_intern_assesment_Raw_data___Sheet13[[#This Row],[Customer Rating]]&gt;6,EPe_BA_intern_assesment_Raw_data___Sheet13[[#This Row],[Customer Rating]]&lt;9), EPe_BA_intern_assesment_Raw_data___Sheet13[[#This Row],[Customer Rating]], "")</f>
        <v/>
      </c>
      <c r="R563">
        <f>IF(EPe_BA_intern_assesment_Raw_data___Sheet13[[#This Row],[Customer Rating]]&lt;7,EPe_BA_intern_assesment_Raw_data___Sheet13[[#This Row],[Customer Rating]])</f>
        <v>0</v>
      </c>
    </row>
    <row r="564" spans="1:18" x14ac:dyDescent="0.3">
      <c r="A564" t="s">
        <v>592</v>
      </c>
      <c r="B564" t="s">
        <v>21</v>
      </c>
      <c r="C564" t="s">
        <v>17</v>
      </c>
      <c r="D564" s="1">
        <v>45952</v>
      </c>
      <c r="E564" s="1">
        <v>45953</v>
      </c>
      <c r="F564" s="1">
        <v>45955</v>
      </c>
      <c r="G564" s="1">
        <v>45957</v>
      </c>
      <c r="H564" t="s">
        <v>18</v>
      </c>
      <c r="I564" t="s">
        <v>19</v>
      </c>
      <c r="J564" s="1">
        <v>45976</v>
      </c>
      <c r="K564">
        <v>1</v>
      </c>
      <c r="L564">
        <v>2</v>
      </c>
      <c r="M564">
        <v>2</v>
      </c>
      <c r="N564">
        <v>1</v>
      </c>
      <c r="O564">
        <v>5</v>
      </c>
      <c r="P564" t="b">
        <f>IF(EPe_BA_intern_assesment_Raw_data___Sheet13[[#This Row],[Customer Rating]]&gt;8,EPe_BA_intern_assesment_Raw_data___Sheet13[[#This Row],[Customer Rating]])</f>
        <v>0</v>
      </c>
      <c r="Q564" t="str">
        <f>IF(AND(EPe_BA_intern_assesment_Raw_data___Sheet13[[#This Row],[Customer Rating]]&gt;6,EPe_BA_intern_assesment_Raw_data___Sheet13[[#This Row],[Customer Rating]]&lt;9), EPe_BA_intern_assesment_Raw_data___Sheet13[[#This Row],[Customer Rating]], "")</f>
        <v/>
      </c>
      <c r="R564">
        <f>IF(EPe_BA_intern_assesment_Raw_data___Sheet13[[#This Row],[Customer Rating]]&lt;7,EPe_BA_intern_assesment_Raw_data___Sheet13[[#This Row],[Customer Rating]])</f>
        <v>1</v>
      </c>
    </row>
    <row r="565" spans="1:18" x14ac:dyDescent="0.3">
      <c r="A565" t="s">
        <v>593</v>
      </c>
      <c r="B565" t="s">
        <v>34</v>
      </c>
      <c r="C565" t="s">
        <v>32</v>
      </c>
      <c r="D565" s="1">
        <v>45960</v>
      </c>
      <c r="E565" s="1">
        <v>45963</v>
      </c>
      <c r="F565" s="1">
        <v>45965</v>
      </c>
      <c r="G565" s="1">
        <v>45970</v>
      </c>
      <c r="H565" t="s">
        <v>18</v>
      </c>
      <c r="I565" t="s">
        <v>19</v>
      </c>
      <c r="J565" s="1">
        <v>45996</v>
      </c>
      <c r="K565">
        <v>3</v>
      </c>
      <c r="L565">
        <v>2</v>
      </c>
      <c r="M565">
        <v>5</v>
      </c>
      <c r="N565">
        <v>3</v>
      </c>
      <c r="O565">
        <v>10</v>
      </c>
      <c r="P565" t="b">
        <f>IF(EPe_BA_intern_assesment_Raw_data___Sheet13[[#This Row],[Customer Rating]]&gt;8,EPe_BA_intern_assesment_Raw_data___Sheet13[[#This Row],[Customer Rating]])</f>
        <v>0</v>
      </c>
      <c r="Q565" t="str">
        <f>IF(AND(EPe_BA_intern_assesment_Raw_data___Sheet13[[#This Row],[Customer Rating]]&gt;6,EPe_BA_intern_assesment_Raw_data___Sheet13[[#This Row],[Customer Rating]]&lt;9), EPe_BA_intern_assesment_Raw_data___Sheet13[[#This Row],[Customer Rating]], "")</f>
        <v/>
      </c>
      <c r="R565">
        <f>IF(EPe_BA_intern_assesment_Raw_data___Sheet13[[#This Row],[Customer Rating]]&lt;7,EPe_BA_intern_assesment_Raw_data___Sheet13[[#This Row],[Customer Rating]])</f>
        <v>3</v>
      </c>
    </row>
    <row r="566" spans="1:18" x14ac:dyDescent="0.3">
      <c r="A566" t="s">
        <v>594</v>
      </c>
      <c r="B566" t="s">
        <v>23</v>
      </c>
      <c r="C566" t="s">
        <v>17</v>
      </c>
      <c r="D566" s="1">
        <v>45940</v>
      </c>
      <c r="E566" s="1">
        <v>45942</v>
      </c>
      <c r="F566" s="1">
        <v>45945</v>
      </c>
      <c r="G566" s="1">
        <v>45951</v>
      </c>
      <c r="H566" t="s">
        <v>18</v>
      </c>
      <c r="I566" t="s">
        <v>19</v>
      </c>
      <c r="J566" s="1">
        <v>45980</v>
      </c>
      <c r="K566">
        <v>2</v>
      </c>
      <c r="L566">
        <v>3</v>
      </c>
      <c r="M566">
        <v>6</v>
      </c>
      <c r="N566">
        <v>4</v>
      </c>
      <c r="O566">
        <v>11</v>
      </c>
      <c r="P566" t="b">
        <f>IF(EPe_BA_intern_assesment_Raw_data___Sheet13[[#This Row],[Customer Rating]]&gt;8,EPe_BA_intern_assesment_Raw_data___Sheet13[[#This Row],[Customer Rating]])</f>
        <v>0</v>
      </c>
      <c r="Q566" t="str">
        <f>IF(AND(EPe_BA_intern_assesment_Raw_data___Sheet13[[#This Row],[Customer Rating]]&gt;6,EPe_BA_intern_assesment_Raw_data___Sheet13[[#This Row],[Customer Rating]]&lt;9), EPe_BA_intern_assesment_Raw_data___Sheet13[[#This Row],[Customer Rating]], "")</f>
        <v/>
      </c>
      <c r="R566">
        <f>IF(EPe_BA_intern_assesment_Raw_data___Sheet13[[#This Row],[Customer Rating]]&lt;7,EPe_BA_intern_assesment_Raw_data___Sheet13[[#This Row],[Customer Rating]])</f>
        <v>4</v>
      </c>
    </row>
    <row r="567" spans="1:18" x14ac:dyDescent="0.3">
      <c r="A567" t="s">
        <v>595</v>
      </c>
      <c r="B567" t="s">
        <v>23</v>
      </c>
      <c r="C567" t="s">
        <v>32</v>
      </c>
      <c r="D567" s="1">
        <v>45938</v>
      </c>
      <c r="E567" s="1">
        <v>45939</v>
      </c>
      <c r="F567" s="1">
        <v>45941</v>
      </c>
      <c r="G567" s="1">
        <v>45947</v>
      </c>
      <c r="H567" t="s">
        <v>18</v>
      </c>
      <c r="I567" t="s">
        <v>19</v>
      </c>
      <c r="J567" s="1">
        <v>45969</v>
      </c>
      <c r="K567">
        <v>1</v>
      </c>
      <c r="L567">
        <v>2</v>
      </c>
      <c r="M567">
        <v>6</v>
      </c>
      <c r="N567">
        <v>5</v>
      </c>
      <c r="O567">
        <v>9</v>
      </c>
      <c r="P567" t="b">
        <f>IF(EPe_BA_intern_assesment_Raw_data___Sheet13[[#This Row],[Customer Rating]]&gt;8,EPe_BA_intern_assesment_Raw_data___Sheet13[[#This Row],[Customer Rating]])</f>
        <v>0</v>
      </c>
      <c r="Q567" t="str">
        <f>IF(AND(EPe_BA_intern_assesment_Raw_data___Sheet13[[#This Row],[Customer Rating]]&gt;6,EPe_BA_intern_assesment_Raw_data___Sheet13[[#This Row],[Customer Rating]]&lt;9), EPe_BA_intern_assesment_Raw_data___Sheet13[[#This Row],[Customer Rating]], "")</f>
        <v/>
      </c>
      <c r="R567">
        <f>IF(EPe_BA_intern_assesment_Raw_data___Sheet13[[#This Row],[Customer Rating]]&lt;7,EPe_BA_intern_assesment_Raw_data___Sheet13[[#This Row],[Customer Rating]])</f>
        <v>5</v>
      </c>
    </row>
    <row r="568" spans="1:18" x14ac:dyDescent="0.3">
      <c r="A568" t="s">
        <v>596</v>
      </c>
      <c r="B568" t="s">
        <v>21</v>
      </c>
      <c r="C568" t="s">
        <v>32</v>
      </c>
      <c r="D568" s="1">
        <v>45954</v>
      </c>
      <c r="E568" s="1">
        <v>45959</v>
      </c>
      <c r="F568" s="1">
        <v>45963</v>
      </c>
      <c r="G568" s="1">
        <v>45965</v>
      </c>
      <c r="H568" t="s">
        <v>18</v>
      </c>
      <c r="I568" t="s">
        <v>19</v>
      </c>
      <c r="J568" s="1">
        <v>45993</v>
      </c>
      <c r="K568">
        <v>5</v>
      </c>
      <c r="L568">
        <v>4</v>
      </c>
      <c r="M568">
        <v>2</v>
      </c>
      <c r="N568">
        <v>3</v>
      </c>
      <c r="O568">
        <v>11</v>
      </c>
      <c r="P568" t="b">
        <f>IF(EPe_BA_intern_assesment_Raw_data___Sheet13[[#This Row],[Customer Rating]]&gt;8,EPe_BA_intern_assesment_Raw_data___Sheet13[[#This Row],[Customer Rating]])</f>
        <v>0</v>
      </c>
      <c r="Q568" t="str">
        <f>IF(AND(EPe_BA_intern_assesment_Raw_data___Sheet13[[#This Row],[Customer Rating]]&gt;6,EPe_BA_intern_assesment_Raw_data___Sheet13[[#This Row],[Customer Rating]]&lt;9), EPe_BA_intern_assesment_Raw_data___Sheet13[[#This Row],[Customer Rating]], "")</f>
        <v/>
      </c>
      <c r="R568">
        <f>IF(EPe_BA_intern_assesment_Raw_data___Sheet13[[#This Row],[Customer Rating]]&lt;7,EPe_BA_intern_assesment_Raw_data___Sheet13[[#This Row],[Customer Rating]])</f>
        <v>3</v>
      </c>
    </row>
    <row r="569" spans="1:18" x14ac:dyDescent="0.3">
      <c r="A569" t="s">
        <v>597</v>
      </c>
      <c r="B569" t="s">
        <v>21</v>
      </c>
      <c r="C569" t="s">
        <v>24</v>
      </c>
      <c r="D569" s="1">
        <v>45933</v>
      </c>
      <c r="E569" s="1"/>
      <c r="F569" s="1"/>
      <c r="G569" s="1"/>
      <c r="H569" t="s">
        <v>25</v>
      </c>
      <c r="I569" t="s">
        <v>103</v>
      </c>
      <c r="J569" s="1"/>
      <c r="P569" t="b">
        <f>IF(EPe_BA_intern_assesment_Raw_data___Sheet13[[#This Row],[Customer Rating]]&gt;8,EPe_BA_intern_assesment_Raw_data___Sheet13[[#This Row],[Customer Rating]])</f>
        <v>0</v>
      </c>
      <c r="Q569" t="str">
        <f>IF(AND(EPe_BA_intern_assesment_Raw_data___Sheet13[[#This Row],[Customer Rating]]&gt;6,EPe_BA_intern_assesment_Raw_data___Sheet13[[#This Row],[Customer Rating]]&lt;9), EPe_BA_intern_assesment_Raw_data___Sheet13[[#This Row],[Customer Rating]], "")</f>
        <v/>
      </c>
      <c r="R569">
        <f>IF(EPe_BA_intern_assesment_Raw_data___Sheet13[[#This Row],[Customer Rating]]&lt;7,EPe_BA_intern_assesment_Raw_data___Sheet13[[#This Row],[Customer Rating]])</f>
        <v>0</v>
      </c>
    </row>
    <row r="570" spans="1:18" x14ac:dyDescent="0.3">
      <c r="A570" t="s">
        <v>598</v>
      </c>
      <c r="B570" t="s">
        <v>23</v>
      </c>
      <c r="C570" t="s">
        <v>17</v>
      </c>
      <c r="D570" s="1">
        <v>45944</v>
      </c>
      <c r="E570" s="1">
        <v>45947</v>
      </c>
      <c r="F570" s="1">
        <v>45952</v>
      </c>
      <c r="G570" s="1">
        <v>45956</v>
      </c>
      <c r="H570" t="s">
        <v>18</v>
      </c>
      <c r="I570" t="s">
        <v>19</v>
      </c>
      <c r="J570" s="1">
        <v>45969</v>
      </c>
      <c r="K570">
        <v>3</v>
      </c>
      <c r="L570">
        <v>5</v>
      </c>
      <c r="M570">
        <v>4</v>
      </c>
      <c r="N570">
        <v>9</v>
      </c>
      <c r="O570">
        <v>12</v>
      </c>
      <c r="P570">
        <f>IF(EPe_BA_intern_assesment_Raw_data___Sheet13[[#This Row],[Customer Rating]]&gt;8,EPe_BA_intern_assesment_Raw_data___Sheet13[[#This Row],[Customer Rating]])</f>
        <v>9</v>
      </c>
      <c r="Q570" t="str">
        <f>IF(AND(EPe_BA_intern_assesment_Raw_data___Sheet13[[#This Row],[Customer Rating]]&gt;6,EPe_BA_intern_assesment_Raw_data___Sheet13[[#This Row],[Customer Rating]]&lt;9), EPe_BA_intern_assesment_Raw_data___Sheet13[[#This Row],[Customer Rating]], "")</f>
        <v/>
      </c>
      <c r="R570" t="b">
        <f>IF(EPe_BA_intern_assesment_Raw_data___Sheet13[[#This Row],[Customer Rating]]&lt;7,EPe_BA_intern_assesment_Raw_data___Sheet13[[#This Row],[Customer Rating]])</f>
        <v>0</v>
      </c>
    </row>
    <row r="571" spans="1:18" x14ac:dyDescent="0.3">
      <c r="A571" t="s">
        <v>599</v>
      </c>
      <c r="B571" t="s">
        <v>34</v>
      </c>
      <c r="C571" t="s">
        <v>17</v>
      </c>
      <c r="D571" s="1">
        <v>45934</v>
      </c>
      <c r="E571" s="1">
        <v>45936</v>
      </c>
      <c r="F571" s="1">
        <v>45938</v>
      </c>
      <c r="G571" s="1">
        <v>45945</v>
      </c>
      <c r="H571" t="s">
        <v>18</v>
      </c>
      <c r="I571" t="s">
        <v>19</v>
      </c>
      <c r="J571" s="1">
        <v>45955</v>
      </c>
      <c r="K571">
        <v>2</v>
      </c>
      <c r="L571">
        <v>2</v>
      </c>
      <c r="M571">
        <v>7</v>
      </c>
      <c r="N571">
        <v>4</v>
      </c>
      <c r="O571">
        <v>11</v>
      </c>
      <c r="P571" t="b">
        <f>IF(EPe_BA_intern_assesment_Raw_data___Sheet13[[#This Row],[Customer Rating]]&gt;8,EPe_BA_intern_assesment_Raw_data___Sheet13[[#This Row],[Customer Rating]])</f>
        <v>0</v>
      </c>
      <c r="Q571" t="str">
        <f>IF(AND(EPe_BA_intern_assesment_Raw_data___Sheet13[[#This Row],[Customer Rating]]&gt;6,EPe_BA_intern_assesment_Raw_data___Sheet13[[#This Row],[Customer Rating]]&lt;9), EPe_BA_intern_assesment_Raw_data___Sheet13[[#This Row],[Customer Rating]], "")</f>
        <v/>
      </c>
      <c r="R571">
        <f>IF(EPe_BA_intern_assesment_Raw_data___Sheet13[[#This Row],[Customer Rating]]&lt;7,EPe_BA_intern_assesment_Raw_data___Sheet13[[#This Row],[Customer Rating]])</f>
        <v>4</v>
      </c>
    </row>
    <row r="572" spans="1:18" x14ac:dyDescent="0.3">
      <c r="A572" t="s">
        <v>600</v>
      </c>
      <c r="B572" t="s">
        <v>21</v>
      </c>
      <c r="C572" t="s">
        <v>32</v>
      </c>
      <c r="D572" s="1">
        <v>45955</v>
      </c>
      <c r="E572" s="1">
        <v>45956</v>
      </c>
      <c r="F572" s="1">
        <v>45960</v>
      </c>
      <c r="G572" s="1">
        <v>45967</v>
      </c>
      <c r="H572" t="s">
        <v>18</v>
      </c>
      <c r="I572" t="s">
        <v>19</v>
      </c>
      <c r="J572" s="1">
        <v>45993</v>
      </c>
      <c r="K572">
        <v>1</v>
      </c>
      <c r="L572">
        <v>4</v>
      </c>
      <c r="M572">
        <v>7</v>
      </c>
      <c r="N572">
        <v>9</v>
      </c>
      <c r="O572">
        <v>12</v>
      </c>
      <c r="P572">
        <f>IF(EPe_BA_intern_assesment_Raw_data___Sheet13[[#This Row],[Customer Rating]]&gt;8,EPe_BA_intern_assesment_Raw_data___Sheet13[[#This Row],[Customer Rating]])</f>
        <v>9</v>
      </c>
      <c r="Q572" t="str">
        <f>IF(AND(EPe_BA_intern_assesment_Raw_data___Sheet13[[#This Row],[Customer Rating]]&gt;6,EPe_BA_intern_assesment_Raw_data___Sheet13[[#This Row],[Customer Rating]]&lt;9), EPe_BA_intern_assesment_Raw_data___Sheet13[[#This Row],[Customer Rating]], "")</f>
        <v/>
      </c>
      <c r="R572" t="b">
        <f>IF(EPe_BA_intern_assesment_Raw_data___Sheet13[[#This Row],[Customer Rating]]&lt;7,EPe_BA_intern_assesment_Raw_data___Sheet13[[#This Row],[Customer Rating]])</f>
        <v>0</v>
      </c>
    </row>
    <row r="573" spans="1:18" x14ac:dyDescent="0.3">
      <c r="A573" t="s">
        <v>601</v>
      </c>
      <c r="B573" t="s">
        <v>16</v>
      </c>
      <c r="C573" t="s">
        <v>17</v>
      </c>
      <c r="D573" s="1">
        <v>45951</v>
      </c>
      <c r="E573" s="1">
        <v>45954</v>
      </c>
      <c r="F573" s="1">
        <v>45959</v>
      </c>
      <c r="G573" s="1">
        <v>45966</v>
      </c>
      <c r="H573" t="s">
        <v>18</v>
      </c>
      <c r="I573" t="s">
        <v>19</v>
      </c>
      <c r="J573" s="1">
        <v>45987</v>
      </c>
      <c r="K573">
        <v>3</v>
      </c>
      <c r="L573">
        <v>5</v>
      </c>
      <c r="M573">
        <v>7</v>
      </c>
      <c r="N573">
        <v>2</v>
      </c>
      <c r="O573">
        <v>15</v>
      </c>
      <c r="P573" t="b">
        <f>IF(EPe_BA_intern_assesment_Raw_data___Sheet13[[#This Row],[Customer Rating]]&gt;8,EPe_BA_intern_assesment_Raw_data___Sheet13[[#This Row],[Customer Rating]])</f>
        <v>0</v>
      </c>
      <c r="Q573" t="str">
        <f>IF(AND(EPe_BA_intern_assesment_Raw_data___Sheet13[[#This Row],[Customer Rating]]&gt;6,EPe_BA_intern_assesment_Raw_data___Sheet13[[#This Row],[Customer Rating]]&lt;9), EPe_BA_intern_assesment_Raw_data___Sheet13[[#This Row],[Customer Rating]], "")</f>
        <v/>
      </c>
      <c r="R573">
        <f>IF(EPe_BA_intern_assesment_Raw_data___Sheet13[[#This Row],[Customer Rating]]&lt;7,EPe_BA_intern_assesment_Raw_data___Sheet13[[#This Row],[Customer Rating]])</f>
        <v>2</v>
      </c>
    </row>
    <row r="574" spans="1:18" x14ac:dyDescent="0.3">
      <c r="A574" t="s">
        <v>602</v>
      </c>
      <c r="B574" t="s">
        <v>34</v>
      </c>
      <c r="C574" t="s">
        <v>32</v>
      </c>
      <c r="D574" s="1">
        <v>45953</v>
      </c>
      <c r="E574" s="1">
        <v>45958</v>
      </c>
      <c r="F574" s="1">
        <v>45961</v>
      </c>
      <c r="G574" s="1">
        <v>45968</v>
      </c>
      <c r="H574" t="s">
        <v>18</v>
      </c>
      <c r="I574" t="s">
        <v>19</v>
      </c>
      <c r="J574" s="1">
        <v>45995</v>
      </c>
      <c r="K574">
        <v>5</v>
      </c>
      <c r="L574">
        <v>3</v>
      </c>
      <c r="M574">
        <v>7</v>
      </c>
      <c r="N574">
        <v>1</v>
      </c>
      <c r="O574">
        <v>15</v>
      </c>
      <c r="P574" t="b">
        <f>IF(EPe_BA_intern_assesment_Raw_data___Sheet13[[#This Row],[Customer Rating]]&gt;8,EPe_BA_intern_assesment_Raw_data___Sheet13[[#This Row],[Customer Rating]])</f>
        <v>0</v>
      </c>
      <c r="Q574" t="str">
        <f>IF(AND(EPe_BA_intern_assesment_Raw_data___Sheet13[[#This Row],[Customer Rating]]&gt;6,EPe_BA_intern_assesment_Raw_data___Sheet13[[#This Row],[Customer Rating]]&lt;9), EPe_BA_intern_assesment_Raw_data___Sheet13[[#This Row],[Customer Rating]], "")</f>
        <v/>
      </c>
      <c r="R574">
        <f>IF(EPe_BA_intern_assesment_Raw_data___Sheet13[[#This Row],[Customer Rating]]&lt;7,EPe_BA_intern_assesment_Raw_data___Sheet13[[#This Row],[Customer Rating]])</f>
        <v>1</v>
      </c>
    </row>
    <row r="575" spans="1:18" x14ac:dyDescent="0.3">
      <c r="A575" t="s">
        <v>603</v>
      </c>
      <c r="B575" t="s">
        <v>21</v>
      </c>
      <c r="C575" t="s">
        <v>32</v>
      </c>
      <c r="D575" s="1">
        <v>45958</v>
      </c>
      <c r="E575" s="1">
        <v>45961</v>
      </c>
      <c r="F575" s="1">
        <v>45964</v>
      </c>
      <c r="G575" s="1">
        <v>45967</v>
      </c>
      <c r="H575" t="s">
        <v>18</v>
      </c>
      <c r="I575" t="s">
        <v>19</v>
      </c>
      <c r="J575" s="1">
        <v>45997</v>
      </c>
      <c r="K575">
        <v>3</v>
      </c>
      <c r="L575">
        <v>3</v>
      </c>
      <c r="M575">
        <v>3</v>
      </c>
      <c r="N575">
        <v>7</v>
      </c>
      <c r="O575">
        <v>9</v>
      </c>
      <c r="P575" t="b">
        <f>IF(EPe_BA_intern_assesment_Raw_data___Sheet13[[#This Row],[Customer Rating]]&gt;8,EPe_BA_intern_assesment_Raw_data___Sheet13[[#This Row],[Customer Rating]])</f>
        <v>0</v>
      </c>
      <c r="Q575">
        <f>IF(AND(EPe_BA_intern_assesment_Raw_data___Sheet13[[#This Row],[Customer Rating]]&gt;6,EPe_BA_intern_assesment_Raw_data___Sheet13[[#This Row],[Customer Rating]]&lt;9), EPe_BA_intern_assesment_Raw_data___Sheet13[[#This Row],[Customer Rating]], "")</f>
        <v>7</v>
      </c>
      <c r="R575" t="b">
        <f>IF(EPe_BA_intern_assesment_Raw_data___Sheet13[[#This Row],[Customer Rating]]&lt;7,EPe_BA_intern_assesment_Raw_data___Sheet13[[#This Row],[Customer Rating]])</f>
        <v>0</v>
      </c>
    </row>
    <row r="576" spans="1:18" x14ac:dyDescent="0.3">
      <c r="A576" t="s">
        <v>604</v>
      </c>
      <c r="B576" t="s">
        <v>21</v>
      </c>
      <c r="C576" t="s">
        <v>17</v>
      </c>
      <c r="D576" s="1">
        <v>45934</v>
      </c>
      <c r="E576" s="1">
        <v>45936</v>
      </c>
      <c r="F576" s="1">
        <v>45940</v>
      </c>
      <c r="G576" s="1">
        <v>45942</v>
      </c>
      <c r="H576" t="s">
        <v>18</v>
      </c>
      <c r="I576" t="s">
        <v>19</v>
      </c>
      <c r="J576" s="1">
        <v>45971</v>
      </c>
      <c r="K576">
        <v>2</v>
      </c>
      <c r="L576">
        <v>4</v>
      </c>
      <c r="M576">
        <v>2</v>
      </c>
      <c r="N576">
        <v>0</v>
      </c>
      <c r="O576">
        <v>8</v>
      </c>
      <c r="P576" t="b">
        <f>IF(EPe_BA_intern_assesment_Raw_data___Sheet13[[#This Row],[Customer Rating]]&gt;8,EPe_BA_intern_assesment_Raw_data___Sheet13[[#This Row],[Customer Rating]])</f>
        <v>0</v>
      </c>
      <c r="Q576" t="str">
        <f>IF(AND(EPe_BA_intern_assesment_Raw_data___Sheet13[[#This Row],[Customer Rating]]&gt;6,EPe_BA_intern_assesment_Raw_data___Sheet13[[#This Row],[Customer Rating]]&lt;9), EPe_BA_intern_assesment_Raw_data___Sheet13[[#This Row],[Customer Rating]], "")</f>
        <v/>
      </c>
      <c r="R576">
        <f>IF(EPe_BA_intern_assesment_Raw_data___Sheet13[[#This Row],[Customer Rating]]&lt;7,EPe_BA_intern_assesment_Raw_data___Sheet13[[#This Row],[Customer Rating]])</f>
        <v>0</v>
      </c>
    </row>
    <row r="577" spans="1:18" x14ac:dyDescent="0.3">
      <c r="A577" t="s">
        <v>605</v>
      </c>
      <c r="B577" t="s">
        <v>16</v>
      </c>
      <c r="C577" t="s">
        <v>32</v>
      </c>
      <c r="D577" s="1">
        <v>45945</v>
      </c>
      <c r="E577" s="1">
        <v>45949</v>
      </c>
      <c r="F577" s="1">
        <v>45953</v>
      </c>
      <c r="G577" s="1">
        <v>45955</v>
      </c>
      <c r="H577" t="s">
        <v>18</v>
      </c>
      <c r="I577" t="s">
        <v>19</v>
      </c>
      <c r="J577" s="1">
        <v>45984</v>
      </c>
      <c r="K577">
        <v>4</v>
      </c>
      <c r="L577">
        <v>4</v>
      </c>
      <c r="M577">
        <v>2</v>
      </c>
      <c r="N577">
        <v>10</v>
      </c>
      <c r="O577">
        <v>10</v>
      </c>
      <c r="P577">
        <f>IF(EPe_BA_intern_assesment_Raw_data___Sheet13[[#This Row],[Customer Rating]]&gt;8,EPe_BA_intern_assesment_Raw_data___Sheet13[[#This Row],[Customer Rating]])</f>
        <v>10</v>
      </c>
      <c r="Q577" t="str">
        <f>IF(AND(EPe_BA_intern_assesment_Raw_data___Sheet13[[#This Row],[Customer Rating]]&gt;6,EPe_BA_intern_assesment_Raw_data___Sheet13[[#This Row],[Customer Rating]]&lt;9), EPe_BA_intern_assesment_Raw_data___Sheet13[[#This Row],[Customer Rating]], "")</f>
        <v/>
      </c>
      <c r="R577" t="b">
        <f>IF(EPe_BA_intern_assesment_Raw_data___Sheet13[[#This Row],[Customer Rating]]&lt;7,EPe_BA_intern_assesment_Raw_data___Sheet13[[#This Row],[Customer Rating]])</f>
        <v>0</v>
      </c>
    </row>
    <row r="578" spans="1:18" x14ac:dyDescent="0.3">
      <c r="A578" t="s">
        <v>606</v>
      </c>
      <c r="B578" t="s">
        <v>16</v>
      </c>
      <c r="C578" t="s">
        <v>17</v>
      </c>
      <c r="D578" s="1">
        <v>45936</v>
      </c>
      <c r="E578" s="1">
        <v>45940</v>
      </c>
      <c r="F578" s="1">
        <v>45944</v>
      </c>
      <c r="G578" s="1">
        <v>45951</v>
      </c>
      <c r="H578" t="s">
        <v>18</v>
      </c>
      <c r="I578" t="s">
        <v>19</v>
      </c>
      <c r="J578" s="1">
        <v>45970</v>
      </c>
      <c r="K578">
        <v>4</v>
      </c>
      <c r="L578">
        <v>4</v>
      </c>
      <c r="M578">
        <v>7</v>
      </c>
      <c r="N578">
        <v>7</v>
      </c>
      <c r="O578">
        <v>15</v>
      </c>
      <c r="P578" t="b">
        <f>IF(EPe_BA_intern_assesment_Raw_data___Sheet13[[#This Row],[Customer Rating]]&gt;8,EPe_BA_intern_assesment_Raw_data___Sheet13[[#This Row],[Customer Rating]])</f>
        <v>0</v>
      </c>
      <c r="Q578">
        <f>IF(AND(EPe_BA_intern_assesment_Raw_data___Sheet13[[#This Row],[Customer Rating]]&gt;6,EPe_BA_intern_assesment_Raw_data___Sheet13[[#This Row],[Customer Rating]]&lt;9), EPe_BA_intern_assesment_Raw_data___Sheet13[[#This Row],[Customer Rating]], "")</f>
        <v>7</v>
      </c>
      <c r="R578" t="b">
        <f>IF(EPe_BA_intern_assesment_Raw_data___Sheet13[[#This Row],[Customer Rating]]&lt;7,EPe_BA_intern_assesment_Raw_data___Sheet13[[#This Row],[Customer Rating]])</f>
        <v>0</v>
      </c>
    </row>
    <row r="579" spans="1:18" x14ac:dyDescent="0.3">
      <c r="A579" t="s">
        <v>607</v>
      </c>
      <c r="B579" t="s">
        <v>23</v>
      </c>
      <c r="C579" t="s">
        <v>32</v>
      </c>
      <c r="D579" s="1">
        <v>45953</v>
      </c>
      <c r="E579" s="1">
        <v>45955</v>
      </c>
      <c r="F579" s="1">
        <v>45957</v>
      </c>
      <c r="G579" s="1">
        <v>45960</v>
      </c>
      <c r="H579" t="s">
        <v>18</v>
      </c>
      <c r="I579" t="s">
        <v>19</v>
      </c>
      <c r="J579" s="1">
        <v>45979</v>
      </c>
      <c r="K579">
        <v>2</v>
      </c>
      <c r="L579">
        <v>2</v>
      </c>
      <c r="M579">
        <v>3</v>
      </c>
      <c r="N579">
        <v>3</v>
      </c>
      <c r="O579">
        <v>7</v>
      </c>
      <c r="P579" t="b">
        <f>IF(EPe_BA_intern_assesment_Raw_data___Sheet13[[#This Row],[Customer Rating]]&gt;8,EPe_BA_intern_assesment_Raw_data___Sheet13[[#This Row],[Customer Rating]])</f>
        <v>0</v>
      </c>
      <c r="Q579" t="str">
        <f>IF(AND(EPe_BA_intern_assesment_Raw_data___Sheet13[[#This Row],[Customer Rating]]&gt;6,EPe_BA_intern_assesment_Raw_data___Sheet13[[#This Row],[Customer Rating]]&lt;9), EPe_BA_intern_assesment_Raw_data___Sheet13[[#This Row],[Customer Rating]], "")</f>
        <v/>
      </c>
      <c r="R579">
        <f>IF(EPe_BA_intern_assesment_Raw_data___Sheet13[[#This Row],[Customer Rating]]&lt;7,EPe_BA_intern_assesment_Raw_data___Sheet13[[#This Row],[Customer Rating]])</f>
        <v>3</v>
      </c>
    </row>
    <row r="580" spans="1:18" x14ac:dyDescent="0.3">
      <c r="A580" t="s">
        <v>608</v>
      </c>
      <c r="B580" t="s">
        <v>34</v>
      </c>
      <c r="C580" t="s">
        <v>32</v>
      </c>
      <c r="D580" s="1">
        <v>45940</v>
      </c>
      <c r="E580" s="1">
        <v>45942</v>
      </c>
      <c r="F580" s="1">
        <v>45945</v>
      </c>
      <c r="G580" s="1">
        <v>45952</v>
      </c>
      <c r="H580" t="s">
        <v>18</v>
      </c>
      <c r="I580" t="s">
        <v>19</v>
      </c>
      <c r="J580" s="1">
        <v>45965</v>
      </c>
      <c r="K580">
        <v>2</v>
      </c>
      <c r="L580">
        <v>3</v>
      </c>
      <c r="M580">
        <v>7</v>
      </c>
      <c r="N580">
        <v>6</v>
      </c>
      <c r="O580">
        <v>12</v>
      </c>
      <c r="P580" t="b">
        <f>IF(EPe_BA_intern_assesment_Raw_data___Sheet13[[#This Row],[Customer Rating]]&gt;8,EPe_BA_intern_assesment_Raw_data___Sheet13[[#This Row],[Customer Rating]])</f>
        <v>0</v>
      </c>
      <c r="Q580" t="str">
        <f>IF(AND(EPe_BA_intern_assesment_Raw_data___Sheet13[[#This Row],[Customer Rating]]&gt;6,EPe_BA_intern_assesment_Raw_data___Sheet13[[#This Row],[Customer Rating]]&lt;9), EPe_BA_intern_assesment_Raw_data___Sheet13[[#This Row],[Customer Rating]], "")</f>
        <v/>
      </c>
      <c r="R580">
        <f>IF(EPe_BA_intern_assesment_Raw_data___Sheet13[[#This Row],[Customer Rating]]&lt;7,EPe_BA_intern_assesment_Raw_data___Sheet13[[#This Row],[Customer Rating]])</f>
        <v>6</v>
      </c>
    </row>
    <row r="581" spans="1:18" x14ac:dyDescent="0.3">
      <c r="A581" t="s">
        <v>609</v>
      </c>
      <c r="B581" t="s">
        <v>34</v>
      </c>
      <c r="C581" t="s">
        <v>32</v>
      </c>
      <c r="D581" s="1">
        <v>45959</v>
      </c>
      <c r="E581" s="1">
        <v>45960</v>
      </c>
      <c r="F581" s="1">
        <v>45962</v>
      </c>
      <c r="G581" s="1">
        <v>45964</v>
      </c>
      <c r="H581" t="s">
        <v>18</v>
      </c>
      <c r="I581" t="s">
        <v>19</v>
      </c>
      <c r="J581" s="1">
        <v>45989</v>
      </c>
      <c r="K581">
        <v>1</v>
      </c>
      <c r="L581">
        <v>2</v>
      </c>
      <c r="M581">
        <v>2</v>
      </c>
      <c r="N581">
        <v>9</v>
      </c>
      <c r="O581">
        <v>5</v>
      </c>
      <c r="P581">
        <f>IF(EPe_BA_intern_assesment_Raw_data___Sheet13[[#This Row],[Customer Rating]]&gt;8,EPe_BA_intern_assesment_Raw_data___Sheet13[[#This Row],[Customer Rating]])</f>
        <v>9</v>
      </c>
      <c r="Q581" t="str">
        <f>IF(AND(EPe_BA_intern_assesment_Raw_data___Sheet13[[#This Row],[Customer Rating]]&gt;6,EPe_BA_intern_assesment_Raw_data___Sheet13[[#This Row],[Customer Rating]]&lt;9), EPe_BA_intern_assesment_Raw_data___Sheet13[[#This Row],[Customer Rating]], "")</f>
        <v/>
      </c>
      <c r="R581" t="b">
        <f>IF(EPe_BA_intern_assesment_Raw_data___Sheet13[[#This Row],[Customer Rating]]&lt;7,EPe_BA_intern_assesment_Raw_data___Sheet13[[#This Row],[Customer Rating]])</f>
        <v>0</v>
      </c>
    </row>
    <row r="582" spans="1:18" x14ac:dyDescent="0.3">
      <c r="A582" t="s">
        <v>610</v>
      </c>
      <c r="B582" t="s">
        <v>23</v>
      </c>
      <c r="C582" t="s">
        <v>17</v>
      </c>
      <c r="D582" s="1">
        <v>45931</v>
      </c>
      <c r="E582" s="1">
        <v>45935</v>
      </c>
      <c r="F582" s="1">
        <v>45937</v>
      </c>
      <c r="G582" s="1">
        <v>45940</v>
      </c>
      <c r="H582" t="s">
        <v>18</v>
      </c>
      <c r="I582" t="s">
        <v>19</v>
      </c>
      <c r="J582" s="1">
        <v>45952</v>
      </c>
      <c r="K582">
        <v>4</v>
      </c>
      <c r="L582">
        <v>2</v>
      </c>
      <c r="M582">
        <v>3</v>
      </c>
      <c r="N582">
        <v>6</v>
      </c>
      <c r="O582">
        <v>9</v>
      </c>
      <c r="P582" t="b">
        <f>IF(EPe_BA_intern_assesment_Raw_data___Sheet13[[#This Row],[Customer Rating]]&gt;8,EPe_BA_intern_assesment_Raw_data___Sheet13[[#This Row],[Customer Rating]])</f>
        <v>0</v>
      </c>
      <c r="Q582" t="str">
        <f>IF(AND(EPe_BA_intern_assesment_Raw_data___Sheet13[[#This Row],[Customer Rating]]&gt;6,EPe_BA_intern_assesment_Raw_data___Sheet13[[#This Row],[Customer Rating]]&lt;9), EPe_BA_intern_assesment_Raw_data___Sheet13[[#This Row],[Customer Rating]], "")</f>
        <v/>
      </c>
      <c r="R582">
        <f>IF(EPe_BA_intern_assesment_Raw_data___Sheet13[[#This Row],[Customer Rating]]&lt;7,EPe_BA_intern_assesment_Raw_data___Sheet13[[#This Row],[Customer Rating]])</f>
        <v>6</v>
      </c>
    </row>
    <row r="583" spans="1:18" x14ac:dyDescent="0.3">
      <c r="A583" t="s">
        <v>611</v>
      </c>
      <c r="B583" t="s">
        <v>34</v>
      </c>
      <c r="C583" t="s">
        <v>17</v>
      </c>
      <c r="D583" s="1">
        <v>45932</v>
      </c>
      <c r="E583" s="1">
        <v>45933</v>
      </c>
      <c r="F583" s="1">
        <v>45938</v>
      </c>
      <c r="G583" s="1">
        <v>45943</v>
      </c>
      <c r="H583" t="s">
        <v>18</v>
      </c>
      <c r="I583" t="s">
        <v>19</v>
      </c>
      <c r="J583" s="1">
        <v>45963</v>
      </c>
      <c r="K583">
        <v>1</v>
      </c>
      <c r="L583">
        <v>5</v>
      </c>
      <c r="M583">
        <v>5</v>
      </c>
      <c r="N583">
        <v>3</v>
      </c>
      <c r="O583">
        <v>11</v>
      </c>
      <c r="P583" t="b">
        <f>IF(EPe_BA_intern_assesment_Raw_data___Sheet13[[#This Row],[Customer Rating]]&gt;8,EPe_BA_intern_assesment_Raw_data___Sheet13[[#This Row],[Customer Rating]])</f>
        <v>0</v>
      </c>
      <c r="Q583" t="str">
        <f>IF(AND(EPe_BA_intern_assesment_Raw_data___Sheet13[[#This Row],[Customer Rating]]&gt;6,EPe_BA_intern_assesment_Raw_data___Sheet13[[#This Row],[Customer Rating]]&lt;9), EPe_BA_intern_assesment_Raw_data___Sheet13[[#This Row],[Customer Rating]], "")</f>
        <v/>
      </c>
      <c r="R583">
        <f>IF(EPe_BA_intern_assesment_Raw_data___Sheet13[[#This Row],[Customer Rating]]&lt;7,EPe_BA_intern_assesment_Raw_data___Sheet13[[#This Row],[Customer Rating]])</f>
        <v>3</v>
      </c>
    </row>
    <row r="584" spans="1:18" x14ac:dyDescent="0.3">
      <c r="A584" t="s">
        <v>612</v>
      </c>
      <c r="B584" t="s">
        <v>34</v>
      </c>
      <c r="C584" t="s">
        <v>17</v>
      </c>
      <c r="D584" s="1">
        <v>45941</v>
      </c>
      <c r="E584" s="1">
        <v>45944</v>
      </c>
      <c r="F584" s="1">
        <v>45948</v>
      </c>
      <c r="G584" s="1">
        <v>45952</v>
      </c>
      <c r="H584" t="s">
        <v>18</v>
      </c>
      <c r="I584" t="s">
        <v>19</v>
      </c>
      <c r="J584" s="1">
        <v>45970</v>
      </c>
      <c r="K584">
        <v>3</v>
      </c>
      <c r="L584">
        <v>4</v>
      </c>
      <c r="M584">
        <v>4</v>
      </c>
      <c r="N584">
        <v>1</v>
      </c>
      <c r="O584">
        <v>11</v>
      </c>
      <c r="P584" t="b">
        <f>IF(EPe_BA_intern_assesment_Raw_data___Sheet13[[#This Row],[Customer Rating]]&gt;8,EPe_BA_intern_assesment_Raw_data___Sheet13[[#This Row],[Customer Rating]])</f>
        <v>0</v>
      </c>
      <c r="Q584" t="str">
        <f>IF(AND(EPe_BA_intern_assesment_Raw_data___Sheet13[[#This Row],[Customer Rating]]&gt;6,EPe_BA_intern_assesment_Raw_data___Sheet13[[#This Row],[Customer Rating]]&lt;9), EPe_BA_intern_assesment_Raw_data___Sheet13[[#This Row],[Customer Rating]], "")</f>
        <v/>
      </c>
      <c r="R584">
        <f>IF(EPe_BA_intern_assesment_Raw_data___Sheet13[[#This Row],[Customer Rating]]&lt;7,EPe_BA_intern_assesment_Raw_data___Sheet13[[#This Row],[Customer Rating]])</f>
        <v>1</v>
      </c>
    </row>
    <row r="585" spans="1:18" x14ac:dyDescent="0.3">
      <c r="A585" t="s">
        <v>613</v>
      </c>
      <c r="B585" t="s">
        <v>34</v>
      </c>
      <c r="C585" t="s">
        <v>17</v>
      </c>
      <c r="D585" s="1">
        <v>45956</v>
      </c>
      <c r="E585" s="1">
        <v>45958</v>
      </c>
      <c r="F585" s="1">
        <v>45960</v>
      </c>
      <c r="G585" s="1">
        <v>45966</v>
      </c>
      <c r="H585" t="s">
        <v>18</v>
      </c>
      <c r="I585" t="s">
        <v>19</v>
      </c>
      <c r="J585" s="1">
        <v>45996</v>
      </c>
      <c r="K585">
        <v>2</v>
      </c>
      <c r="L585">
        <v>2</v>
      </c>
      <c r="M585">
        <v>6</v>
      </c>
      <c r="N585">
        <v>5</v>
      </c>
      <c r="O585">
        <v>10</v>
      </c>
      <c r="P585" t="b">
        <f>IF(EPe_BA_intern_assesment_Raw_data___Sheet13[[#This Row],[Customer Rating]]&gt;8,EPe_BA_intern_assesment_Raw_data___Sheet13[[#This Row],[Customer Rating]])</f>
        <v>0</v>
      </c>
      <c r="Q585" t="str">
        <f>IF(AND(EPe_BA_intern_assesment_Raw_data___Sheet13[[#This Row],[Customer Rating]]&gt;6,EPe_BA_intern_assesment_Raw_data___Sheet13[[#This Row],[Customer Rating]]&lt;9), EPe_BA_intern_assesment_Raw_data___Sheet13[[#This Row],[Customer Rating]], "")</f>
        <v/>
      </c>
      <c r="R585">
        <f>IF(EPe_BA_intern_assesment_Raw_data___Sheet13[[#This Row],[Customer Rating]]&lt;7,EPe_BA_intern_assesment_Raw_data___Sheet13[[#This Row],[Customer Rating]])</f>
        <v>5</v>
      </c>
    </row>
    <row r="586" spans="1:18" x14ac:dyDescent="0.3">
      <c r="A586" t="s">
        <v>614</v>
      </c>
      <c r="B586" t="s">
        <v>34</v>
      </c>
      <c r="C586" t="s">
        <v>17</v>
      </c>
      <c r="D586" s="1">
        <v>45932</v>
      </c>
      <c r="E586" s="1">
        <v>45933</v>
      </c>
      <c r="F586" s="1">
        <v>45938</v>
      </c>
      <c r="G586" s="1">
        <v>45944</v>
      </c>
      <c r="H586" t="s">
        <v>25</v>
      </c>
      <c r="I586" t="s">
        <v>35</v>
      </c>
      <c r="J586" s="1"/>
      <c r="K586">
        <v>1</v>
      </c>
      <c r="L586">
        <v>5</v>
      </c>
      <c r="M586">
        <v>6</v>
      </c>
      <c r="O586">
        <v>12</v>
      </c>
      <c r="P586" t="b">
        <f>IF(EPe_BA_intern_assesment_Raw_data___Sheet13[[#This Row],[Customer Rating]]&gt;8,EPe_BA_intern_assesment_Raw_data___Sheet13[[#This Row],[Customer Rating]])</f>
        <v>0</v>
      </c>
      <c r="Q586" t="str">
        <f>IF(AND(EPe_BA_intern_assesment_Raw_data___Sheet13[[#This Row],[Customer Rating]]&gt;6,EPe_BA_intern_assesment_Raw_data___Sheet13[[#This Row],[Customer Rating]]&lt;9), EPe_BA_intern_assesment_Raw_data___Sheet13[[#This Row],[Customer Rating]], "")</f>
        <v/>
      </c>
      <c r="R586">
        <f>IF(EPe_BA_intern_assesment_Raw_data___Sheet13[[#This Row],[Customer Rating]]&lt;7,EPe_BA_intern_assesment_Raw_data___Sheet13[[#This Row],[Customer Rating]])</f>
        <v>0</v>
      </c>
    </row>
    <row r="587" spans="1:18" x14ac:dyDescent="0.3">
      <c r="A587" t="s">
        <v>615</v>
      </c>
      <c r="B587" t="s">
        <v>34</v>
      </c>
      <c r="C587" t="s">
        <v>32</v>
      </c>
      <c r="D587" s="1">
        <v>45940</v>
      </c>
      <c r="E587" s="1">
        <v>45942</v>
      </c>
      <c r="F587" s="1">
        <v>45943</v>
      </c>
      <c r="G587" s="1">
        <v>45950</v>
      </c>
      <c r="H587" t="s">
        <v>18</v>
      </c>
      <c r="I587" t="s">
        <v>19</v>
      </c>
      <c r="J587" s="1">
        <v>45970</v>
      </c>
      <c r="K587">
        <v>2</v>
      </c>
      <c r="L587">
        <v>1</v>
      </c>
      <c r="M587">
        <v>7</v>
      </c>
      <c r="N587">
        <v>5</v>
      </c>
      <c r="O587">
        <v>10</v>
      </c>
      <c r="P587" t="b">
        <f>IF(EPe_BA_intern_assesment_Raw_data___Sheet13[[#This Row],[Customer Rating]]&gt;8,EPe_BA_intern_assesment_Raw_data___Sheet13[[#This Row],[Customer Rating]])</f>
        <v>0</v>
      </c>
      <c r="Q587" t="str">
        <f>IF(AND(EPe_BA_intern_assesment_Raw_data___Sheet13[[#This Row],[Customer Rating]]&gt;6,EPe_BA_intern_assesment_Raw_data___Sheet13[[#This Row],[Customer Rating]]&lt;9), EPe_BA_intern_assesment_Raw_data___Sheet13[[#This Row],[Customer Rating]], "")</f>
        <v/>
      </c>
      <c r="R587">
        <f>IF(EPe_BA_intern_assesment_Raw_data___Sheet13[[#This Row],[Customer Rating]]&lt;7,EPe_BA_intern_assesment_Raw_data___Sheet13[[#This Row],[Customer Rating]])</f>
        <v>5</v>
      </c>
    </row>
    <row r="588" spans="1:18" x14ac:dyDescent="0.3">
      <c r="A588" t="s">
        <v>616</v>
      </c>
      <c r="B588" t="s">
        <v>16</v>
      </c>
      <c r="C588" t="s">
        <v>17</v>
      </c>
      <c r="D588" s="1">
        <v>45942</v>
      </c>
      <c r="E588" s="1">
        <v>45943</v>
      </c>
      <c r="F588" s="1">
        <v>45948</v>
      </c>
      <c r="G588" s="1">
        <v>45952</v>
      </c>
      <c r="H588" t="s">
        <v>18</v>
      </c>
      <c r="I588" t="s">
        <v>19</v>
      </c>
      <c r="J588" s="1">
        <v>45970</v>
      </c>
      <c r="K588">
        <v>1</v>
      </c>
      <c r="L588">
        <v>5</v>
      </c>
      <c r="M588">
        <v>4</v>
      </c>
      <c r="N588">
        <v>8</v>
      </c>
      <c r="O588">
        <v>10</v>
      </c>
      <c r="P588" t="b">
        <f>IF(EPe_BA_intern_assesment_Raw_data___Sheet13[[#This Row],[Customer Rating]]&gt;8,EPe_BA_intern_assesment_Raw_data___Sheet13[[#This Row],[Customer Rating]])</f>
        <v>0</v>
      </c>
      <c r="Q588">
        <f>IF(AND(EPe_BA_intern_assesment_Raw_data___Sheet13[[#This Row],[Customer Rating]]&gt;6,EPe_BA_intern_assesment_Raw_data___Sheet13[[#This Row],[Customer Rating]]&lt;9), EPe_BA_intern_assesment_Raw_data___Sheet13[[#This Row],[Customer Rating]], "")</f>
        <v>8</v>
      </c>
      <c r="R588" t="b">
        <f>IF(EPe_BA_intern_assesment_Raw_data___Sheet13[[#This Row],[Customer Rating]]&lt;7,EPe_BA_intern_assesment_Raw_data___Sheet13[[#This Row],[Customer Rating]])</f>
        <v>0</v>
      </c>
    </row>
    <row r="589" spans="1:18" x14ac:dyDescent="0.3">
      <c r="A589" t="s">
        <v>617</v>
      </c>
      <c r="B589" t="s">
        <v>34</v>
      </c>
      <c r="C589" t="s">
        <v>24</v>
      </c>
      <c r="D589" s="1">
        <v>45942</v>
      </c>
      <c r="E589" s="1"/>
      <c r="F589" s="1"/>
      <c r="G589" s="1"/>
      <c r="H589" t="s">
        <v>25</v>
      </c>
      <c r="I589" t="s">
        <v>35</v>
      </c>
      <c r="J589" s="1"/>
      <c r="P589" t="b">
        <f>IF(EPe_BA_intern_assesment_Raw_data___Sheet13[[#This Row],[Customer Rating]]&gt;8,EPe_BA_intern_assesment_Raw_data___Sheet13[[#This Row],[Customer Rating]])</f>
        <v>0</v>
      </c>
      <c r="Q589" t="str">
        <f>IF(AND(EPe_BA_intern_assesment_Raw_data___Sheet13[[#This Row],[Customer Rating]]&gt;6,EPe_BA_intern_assesment_Raw_data___Sheet13[[#This Row],[Customer Rating]]&lt;9), EPe_BA_intern_assesment_Raw_data___Sheet13[[#This Row],[Customer Rating]], "")</f>
        <v/>
      </c>
      <c r="R589">
        <f>IF(EPe_BA_intern_assesment_Raw_data___Sheet13[[#This Row],[Customer Rating]]&lt;7,EPe_BA_intern_assesment_Raw_data___Sheet13[[#This Row],[Customer Rating]])</f>
        <v>0</v>
      </c>
    </row>
    <row r="590" spans="1:18" x14ac:dyDescent="0.3">
      <c r="A590" t="s">
        <v>618</v>
      </c>
      <c r="B590" t="s">
        <v>16</v>
      </c>
      <c r="C590" t="s">
        <v>17</v>
      </c>
      <c r="D590" s="1">
        <v>45944</v>
      </c>
      <c r="E590" s="1">
        <v>45947</v>
      </c>
      <c r="F590" s="1">
        <v>45948</v>
      </c>
      <c r="G590" s="1">
        <v>45951</v>
      </c>
      <c r="H590" t="s">
        <v>25</v>
      </c>
      <c r="I590" t="s">
        <v>103</v>
      </c>
      <c r="J590" s="1"/>
      <c r="K590">
        <v>3</v>
      </c>
      <c r="L590">
        <v>1</v>
      </c>
      <c r="M590">
        <v>3</v>
      </c>
      <c r="O590">
        <v>7</v>
      </c>
      <c r="P590" t="b">
        <f>IF(EPe_BA_intern_assesment_Raw_data___Sheet13[[#This Row],[Customer Rating]]&gt;8,EPe_BA_intern_assesment_Raw_data___Sheet13[[#This Row],[Customer Rating]])</f>
        <v>0</v>
      </c>
      <c r="Q590" t="str">
        <f>IF(AND(EPe_BA_intern_assesment_Raw_data___Sheet13[[#This Row],[Customer Rating]]&gt;6,EPe_BA_intern_assesment_Raw_data___Sheet13[[#This Row],[Customer Rating]]&lt;9), EPe_BA_intern_assesment_Raw_data___Sheet13[[#This Row],[Customer Rating]], "")</f>
        <v/>
      </c>
      <c r="R590">
        <f>IF(EPe_BA_intern_assesment_Raw_data___Sheet13[[#This Row],[Customer Rating]]&lt;7,EPe_BA_intern_assesment_Raw_data___Sheet13[[#This Row],[Customer Rating]])</f>
        <v>0</v>
      </c>
    </row>
    <row r="591" spans="1:18" x14ac:dyDescent="0.3">
      <c r="A591" t="s">
        <v>619</v>
      </c>
      <c r="B591" t="s">
        <v>34</v>
      </c>
      <c r="C591" t="s">
        <v>17</v>
      </c>
      <c r="D591" s="1">
        <v>45935</v>
      </c>
      <c r="E591" s="1">
        <v>45938</v>
      </c>
      <c r="F591" s="1">
        <v>45939</v>
      </c>
      <c r="G591" s="1">
        <v>45943</v>
      </c>
      <c r="H591" t="s">
        <v>18</v>
      </c>
      <c r="I591" t="s">
        <v>19</v>
      </c>
      <c r="J591" s="1">
        <v>45961</v>
      </c>
      <c r="K591">
        <v>3</v>
      </c>
      <c r="L591">
        <v>1</v>
      </c>
      <c r="M591">
        <v>4</v>
      </c>
      <c r="N591">
        <v>9</v>
      </c>
      <c r="O591">
        <v>8</v>
      </c>
      <c r="P591">
        <f>IF(EPe_BA_intern_assesment_Raw_data___Sheet13[[#This Row],[Customer Rating]]&gt;8,EPe_BA_intern_assesment_Raw_data___Sheet13[[#This Row],[Customer Rating]])</f>
        <v>9</v>
      </c>
      <c r="Q591" t="str">
        <f>IF(AND(EPe_BA_intern_assesment_Raw_data___Sheet13[[#This Row],[Customer Rating]]&gt;6,EPe_BA_intern_assesment_Raw_data___Sheet13[[#This Row],[Customer Rating]]&lt;9), EPe_BA_intern_assesment_Raw_data___Sheet13[[#This Row],[Customer Rating]], "")</f>
        <v/>
      </c>
      <c r="R591" t="b">
        <f>IF(EPe_BA_intern_assesment_Raw_data___Sheet13[[#This Row],[Customer Rating]]&lt;7,EPe_BA_intern_assesment_Raw_data___Sheet13[[#This Row],[Customer Rating]])</f>
        <v>0</v>
      </c>
    </row>
    <row r="592" spans="1:18" x14ac:dyDescent="0.3">
      <c r="A592" t="s">
        <v>620</v>
      </c>
      <c r="B592" t="s">
        <v>23</v>
      </c>
      <c r="C592" t="s">
        <v>24</v>
      </c>
      <c r="D592" s="1">
        <v>45938</v>
      </c>
      <c r="E592" s="1"/>
      <c r="F592" s="1"/>
      <c r="G592" s="1"/>
      <c r="H592" t="s">
        <v>25</v>
      </c>
      <c r="I592" t="s">
        <v>65</v>
      </c>
      <c r="J592" s="1"/>
      <c r="P592" t="b">
        <f>IF(EPe_BA_intern_assesment_Raw_data___Sheet13[[#This Row],[Customer Rating]]&gt;8,EPe_BA_intern_assesment_Raw_data___Sheet13[[#This Row],[Customer Rating]])</f>
        <v>0</v>
      </c>
      <c r="Q592" t="str">
        <f>IF(AND(EPe_BA_intern_assesment_Raw_data___Sheet13[[#This Row],[Customer Rating]]&gt;6,EPe_BA_intern_assesment_Raw_data___Sheet13[[#This Row],[Customer Rating]]&lt;9), EPe_BA_intern_assesment_Raw_data___Sheet13[[#This Row],[Customer Rating]], "")</f>
        <v/>
      </c>
      <c r="R592">
        <f>IF(EPe_BA_intern_assesment_Raw_data___Sheet13[[#This Row],[Customer Rating]]&lt;7,EPe_BA_intern_assesment_Raw_data___Sheet13[[#This Row],[Customer Rating]])</f>
        <v>0</v>
      </c>
    </row>
    <row r="593" spans="1:18" x14ac:dyDescent="0.3">
      <c r="A593" t="s">
        <v>621</v>
      </c>
      <c r="B593" t="s">
        <v>21</v>
      </c>
      <c r="C593" t="s">
        <v>17</v>
      </c>
      <c r="D593" s="1">
        <v>45947</v>
      </c>
      <c r="E593" s="1">
        <v>45952</v>
      </c>
      <c r="F593" s="1">
        <v>45953</v>
      </c>
      <c r="G593" s="1">
        <v>45956</v>
      </c>
      <c r="H593" t="s">
        <v>18</v>
      </c>
      <c r="I593" t="s">
        <v>19</v>
      </c>
      <c r="J593" s="1">
        <v>45986</v>
      </c>
      <c r="K593">
        <v>5</v>
      </c>
      <c r="L593">
        <v>1</v>
      </c>
      <c r="M593">
        <v>3</v>
      </c>
      <c r="N593">
        <v>0</v>
      </c>
      <c r="O593">
        <v>9</v>
      </c>
      <c r="P593" t="b">
        <f>IF(EPe_BA_intern_assesment_Raw_data___Sheet13[[#This Row],[Customer Rating]]&gt;8,EPe_BA_intern_assesment_Raw_data___Sheet13[[#This Row],[Customer Rating]])</f>
        <v>0</v>
      </c>
      <c r="Q593" t="str">
        <f>IF(AND(EPe_BA_intern_assesment_Raw_data___Sheet13[[#This Row],[Customer Rating]]&gt;6,EPe_BA_intern_assesment_Raw_data___Sheet13[[#This Row],[Customer Rating]]&lt;9), EPe_BA_intern_assesment_Raw_data___Sheet13[[#This Row],[Customer Rating]], "")</f>
        <v/>
      </c>
      <c r="R593">
        <f>IF(EPe_BA_intern_assesment_Raw_data___Sheet13[[#This Row],[Customer Rating]]&lt;7,EPe_BA_intern_assesment_Raw_data___Sheet13[[#This Row],[Customer Rating]])</f>
        <v>0</v>
      </c>
    </row>
    <row r="594" spans="1:18" x14ac:dyDescent="0.3">
      <c r="A594" t="s">
        <v>622</v>
      </c>
      <c r="B594" t="s">
        <v>16</v>
      </c>
      <c r="C594" t="s">
        <v>32</v>
      </c>
      <c r="D594" s="1">
        <v>45944</v>
      </c>
      <c r="E594" s="1">
        <v>45948</v>
      </c>
      <c r="F594" s="1">
        <v>45949</v>
      </c>
      <c r="G594" s="1">
        <v>45956</v>
      </c>
      <c r="H594" t="s">
        <v>25</v>
      </c>
      <c r="I594" t="s">
        <v>26</v>
      </c>
      <c r="J594" s="1"/>
      <c r="K594">
        <v>4</v>
      </c>
      <c r="L594">
        <v>1</v>
      </c>
      <c r="M594">
        <v>7</v>
      </c>
      <c r="O594">
        <v>12</v>
      </c>
      <c r="P594" t="b">
        <f>IF(EPe_BA_intern_assesment_Raw_data___Sheet13[[#This Row],[Customer Rating]]&gt;8,EPe_BA_intern_assesment_Raw_data___Sheet13[[#This Row],[Customer Rating]])</f>
        <v>0</v>
      </c>
      <c r="Q594" t="str">
        <f>IF(AND(EPe_BA_intern_assesment_Raw_data___Sheet13[[#This Row],[Customer Rating]]&gt;6,EPe_BA_intern_assesment_Raw_data___Sheet13[[#This Row],[Customer Rating]]&lt;9), EPe_BA_intern_assesment_Raw_data___Sheet13[[#This Row],[Customer Rating]], "")</f>
        <v/>
      </c>
      <c r="R594">
        <f>IF(EPe_BA_intern_assesment_Raw_data___Sheet13[[#This Row],[Customer Rating]]&lt;7,EPe_BA_intern_assesment_Raw_data___Sheet13[[#This Row],[Customer Rating]])</f>
        <v>0</v>
      </c>
    </row>
    <row r="595" spans="1:18" x14ac:dyDescent="0.3">
      <c r="A595" t="s">
        <v>623</v>
      </c>
      <c r="B595" t="s">
        <v>34</v>
      </c>
      <c r="C595" t="s">
        <v>17</v>
      </c>
      <c r="D595" s="1">
        <v>45949</v>
      </c>
      <c r="E595" s="1">
        <v>45954</v>
      </c>
      <c r="F595" s="1">
        <v>45958</v>
      </c>
      <c r="G595" s="1">
        <v>45962</v>
      </c>
      <c r="H595" t="s">
        <v>18</v>
      </c>
      <c r="I595" t="s">
        <v>19</v>
      </c>
      <c r="J595" s="1">
        <v>45992</v>
      </c>
      <c r="K595">
        <v>5</v>
      </c>
      <c r="L595">
        <v>4</v>
      </c>
      <c r="M595">
        <v>4</v>
      </c>
      <c r="N595">
        <v>7</v>
      </c>
      <c r="O595">
        <v>13</v>
      </c>
      <c r="P595" t="b">
        <f>IF(EPe_BA_intern_assesment_Raw_data___Sheet13[[#This Row],[Customer Rating]]&gt;8,EPe_BA_intern_assesment_Raw_data___Sheet13[[#This Row],[Customer Rating]])</f>
        <v>0</v>
      </c>
      <c r="Q595">
        <f>IF(AND(EPe_BA_intern_assesment_Raw_data___Sheet13[[#This Row],[Customer Rating]]&gt;6,EPe_BA_intern_assesment_Raw_data___Sheet13[[#This Row],[Customer Rating]]&lt;9), EPe_BA_intern_assesment_Raw_data___Sheet13[[#This Row],[Customer Rating]], "")</f>
        <v>7</v>
      </c>
      <c r="R595" t="b">
        <f>IF(EPe_BA_intern_assesment_Raw_data___Sheet13[[#This Row],[Customer Rating]]&lt;7,EPe_BA_intern_assesment_Raw_data___Sheet13[[#This Row],[Customer Rating]])</f>
        <v>0</v>
      </c>
    </row>
    <row r="596" spans="1:18" x14ac:dyDescent="0.3">
      <c r="A596" t="s">
        <v>624</v>
      </c>
      <c r="B596" t="s">
        <v>23</v>
      </c>
      <c r="C596" t="s">
        <v>17</v>
      </c>
      <c r="D596" s="1">
        <v>45952</v>
      </c>
      <c r="E596" s="1">
        <v>45956</v>
      </c>
      <c r="F596" s="1">
        <v>45958</v>
      </c>
      <c r="G596" s="1">
        <v>45965</v>
      </c>
      <c r="H596" t="s">
        <v>18</v>
      </c>
      <c r="I596" t="s">
        <v>19</v>
      </c>
      <c r="J596" s="1">
        <v>45984</v>
      </c>
      <c r="K596">
        <v>4</v>
      </c>
      <c r="L596">
        <v>2</v>
      </c>
      <c r="M596">
        <v>7</v>
      </c>
      <c r="N596">
        <v>2</v>
      </c>
      <c r="O596">
        <v>13</v>
      </c>
      <c r="P596" t="b">
        <f>IF(EPe_BA_intern_assesment_Raw_data___Sheet13[[#This Row],[Customer Rating]]&gt;8,EPe_BA_intern_assesment_Raw_data___Sheet13[[#This Row],[Customer Rating]])</f>
        <v>0</v>
      </c>
      <c r="Q596" t="str">
        <f>IF(AND(EPe_BA_intern_assesment_Raw_data___Sheet13[[#This Row],[Customer Rating]]&gt;6,EPe_BA_intern_assesment_Raw_data___Sheet13[[#This Row],[Customer Rating]]&lt;9), EPe_BA_intern_assesment_Raw_data___Sheet13[[#This Row],[Customer Rating]], "")</f>
        <v/>
      </c>
      <c r="R596">
        <f>IF(EPe_BA_intern_assesment_Raw_data___Sheet13[[#This Row],[Customer Rating]]&lt;7,EPe_BA_intern_assesment_Raw_data___Sheet13[[#This Row],[Customer Rating]])</f>
        <v>2</v>
      </c>
    </row>
    <row r="597" spans="1:18" x14ac:dyDescent="0.3">
      <c r="A597" t="s">
        <v>625</v>
      </c>
      <c r="B597" t="s">
        <v>21</v>
      </c>
      <c r="C597" t="s">
        <v>17</v>
      </c>
      <c r="D597" s="1">
        <v>45956</v>
      </c>
      <c r="E597" s="1">
        <v>45959</v>
      </c>
      <c r="F597" s="1">
        <v>45961</v>
      </c>
      <c r="G597" s="1">
        <v>45963</v>
      </c>
      <c r="H597" t="s">
        <v>18</v>
      </c>
      <c r="I597" t="s">
        <v>19</v>
      </c>
      <c r="J597" s="1">
        <v>45979</v>
      </c>
      <c r="K597">
        <v>3</v>
      </c>
      <c r="L597">
        <v>2</v>
      </c>
      <c r="M597">
        <v>2</v>
      </c>
      <c r="N597">
        <v>8</v>
      </c>
      <c r="O597">
        <v>7</v>
      </c>
      <c r="P597" t="b">
        <f>IF(EPe_BA_intern_assesment_Raw_data___Sheet13[[#This Row],[Customer Rating]]&gt;8,EPe_BA_intern_assesment_Raw_data___Sheet13[[#This Row],[Customer Rating]])</f>
        <v>0</v>
      </c>
      <c r="Q597">
        <f>IF(AND(EPe_BA_intern_assesment_Raw_data___Sheet13[[#This Row],[Customer Rating]]&gt;6,EPe_BA_intern_assesment_Raw_data___Sheet13[[#This Row],[Customer Rating]]&lt;9), EPe_BA_intern_assesment_Raw_data___Sheet13[[#This Row],[Customer Rating]], "")</f>
        <v>8</v>
      </c>
      <c r="R597" t="b">
        <f>IF(EPe_BA_intern_assesment_Raw_data___Sheet13[[#This Row],[Customer Rating]]&lt;7,EPe_BA_intern_assesment_Raw_data___Sheet13[[#This Row],[Customer Rating]])</f>
        <v>0</v>
      </c>
    </row>
    <row r="598" spans="1:18" x14ac:dyDescent="0.3">
      <c r="A598" t="s">
        <v>626</v>
      </c>
      <c r="B598" t="s">
        <v>16</v>
      </c>
      <c r="C598" t="s">
        <v>17</v>
      </c>
      <c r="D598" s="1">
        <v>45936</v>
      </c>
      <c r="E598" s="1">
        <v>45937</v>
      </c>
      <c r="F598" s="1">
        <v>45938</v>
      </c>
      <c r="G598" s="1">
        <v>45940</v>
      </c>
      <c r="H598" t="s">
        <v>25</v>
      </c>
      <c r="I598" t="s">
        <v>26</v>
      </c>
      <c r="J598" s="1"/>
      <c r="K598">
        <v>1</v>
      </c>
      <c r="L598">
        <v>1</v>
      </c>
      <c r="M598">
        <v>2</v>
      </c>
      <c r="O598">
        <v>4</v>
      </c>
      <c r="P598" t="b">
        <f>IF(EPe_BA_intern_assesment_Raw_data___Sheet13[[#This Row],[Customer Rating]]&gt;8,EPe_BA_intern_assesment_Raw_data___Sheet13[[#This Row],[Customer Rating]])</f>
        <v>0</v>
      </c>
      <c r="Q598" t="str">
        <f>IF(AND(EPe_BA_intern_assesment_Raw_data___Sheet13[[#This Row],[Customer Rating]]&gt;6,EPe_BA_intern_assesment_Raw_data___Sheet13[[#This Row],[Customer Rating]]&lt;9), EPe_BA_intern_assesment_Raw_data___Sheet13[[#This Row],[Customer Rating]], "")</f>
        <v/>
      </c>
      <c r="R598">
        <f>IF(EPe_BA_intern_assesment_Raw_data___Sheet13[[#This Row],[Customer Rating]]&lt;7,EPe_BA_intern_assesment_Raw_data___Sheet13[[#This Row],[Customer Rating]])</f>
        <v>0</v>
      </c>
    </row>
    <row r="599" spans="1:18" x14ac:dyDescent="0.3">
      <c r="A599" t="s">
        <v>627</v>
      </c>
      <c r="B599" t="s">
        <v>21</v>
      </c>
      <c r="C599" t="s">
        <v>17</v>
      </c>
      <c r="D599" s="1">
        <v>45936</v>
      </c>
      <c r="E599" s="1">
        <v>45938</v>
      </c>
      <c r="F599" s="1">
        <v>45940</v>
      </c>
      <c r="G599" s="1">
        <v>45944</v>
      </c>
      <c r="H599" t="s">
        <v>18</v>
      </c>
      <c r="I599" t="s">
        <v>19</v>
      </c>
      <c r="J599" s="1">
        <v>45958</v>
      </c>
      <c r="K599">
        <v>2</v>
      </c>
      <c r="L599">
        <v>2</v>
      </c>
      <c r="M599">
        <v>4</v>
      </c>
      <c r="N599">
        <v>3</v>
      </c>
      <c r="O599">
        <v>8</v>
      </c>
      <c r="P599" t="b">
        <f>IF(EPe_BA_intern_assesment_Raw_data___Sheet13[[#This Row],[Customer Rating]]&gt;8,EPe_BA_intern_assesment_Raw_data___Sheet13[[#This Row],[Customer Rating]])</f>
        <v>0</v>
      </c>
      <c r="Q599" t="str">
        <f>IF(AND(EPe_BA_intern_assesment_Raw_data___Sheet13[[#This Row],[Customer Rating]]&gt;6,EPe_BA_intern_assesment_Raw_data___Sheet13[[#This Row],[Customer Rating]]&lt;9), EPe_BA_intern_assesment_Raw_data___Sheet13[[#This Row],[Customer Rating]], "")</f>
        <v/>
      </c>
      <c r="R599">
        <f>IF(EPe_BA_intern_assesment_Raw_data___Sheet13[[#This Row],[Customer Rating]]&lt;7,EPe_BA_intern_assesment_Raw_data___Sheet13[[#This Row],[Customer Rating]])</f>
        <v>3</v>
      </c>
    </row>
    <row r="600" spans="1:18" x14ac:dyDescent="0.3">
      <c r="A600" t="s">
        <v>628</v>
      </c>
      <c r="B600" t="s">
        <v>23</v>
      </c>
      <c r="C600" t="s">
        <v>17</v>
      </c>
      <c r="D600" s="1">
        <v>45936</v>
      </c>
      <c r="E600" s="1">
        <v>45939</v>
      </c>
      <c r="F600" s="1">
        <v>45940</v>
      </c>
      <c r="G600" s="1">
        <v>45945</v>
      </c>
      <c r="H600" t="s">
        <v>18</v>
      </c>
      <c r="I600" t="s">
        <v>19</v>
      </c>
      <c r="J600" s="1">
        <v>45971</v>
      </c>
      <c r="K600">
        <v>3</v>
      </c>
      <c r="L600">
        <v>1</v>
      </c>
      <c r="M600">
        <v>5</v>
      </c>
      <c r="N600">
        <v>1</v>
      </c>
      <c r="O600">
        <v>9</v>
      </c>
      <c r="P600" t="b">
        <f>IF(EPe_BA_intern_assesment_Raw_data___Sheet13[[#This Row],[Customer Rating]]&gt;8,EPe_BA_intern_assesment_Raw_data___Sheet13[[#This Row],[Customer Rating]])</f>
        <v>0</v>
      </c>
      <c r="Q600" t="str">
        <f>IF(AND(EPe_BA_intern_assesment_Raw_data___Sheet13[[#This Row],[Customer Rating]]&gt;6,EPe_BA_intern_assesment_Raw_data___Sheet13[[#This Row],[Customer Rating]]&lt;9), EPe_BA_intern_assesment_Raw_data___Sheet13[[#This Row],[Customer Rating]], "")</f>
        <v/>
      </c>
      <c r="R600">
        <f>IF(EPe_BA_intern_assesment_Raw_data___Sheet13[[#This Row],[Customer Rating]]&lt;7,EPe_BA_intern_assesment_Raw_data___Sheet13[[#This Row],[Customer Rating]])</f>
        <v>1</v>
      </c>
    </row>
    <row r="601" spans="1:18" x14ac:dyDescent="0.3">
      <c r="A601" t="s">
        <v>629</v>
      </c>
      <c r="B601" t="s">
        <v>16</v>
      </c>
      <c r="C601" t="s">
        <v>17</v>
      </c>
      <c r="D601" s="1">
        <v>45933</v>
      </c>
      <c r="E601" s="1">
        <v>45936</v>
      </c>
      <c r="F601" s="1">
        <v>45938</v>
      </c>
      <c r="G601" s="1">
        <v>45942</v>
      </c>
      <c r="H601" t="s">
        <v>18</v>
      </c>
      <c r="I601" t="s">
        <v>19</v>
      </c>
      <c r="J601" s="1">
        <v>45959</v>
      </c>
      <c r="K601">
        <v>3</v>
      </c>
      <c r="L601">
        <v>2</v>
      </c>
      <c r="M601">
        <v>4</v>
      </c>
      <c r="N601">
        <v>4</v>
      </c>
      <c r="O601">
        <v>9</v>
      </c>
      <c r="P601" t="b">
        <f>IF(EPe_BA_intern_assesment_Raw_data___Sheet13[[#This Row],[Customer Rating]]&gt;8,EPe_BA_intern_assesment_Raw_data___Sheet13[[#This Row],[Customer Rating]])</f>
        <v>0</v>
      </c>
      <c r="Q601" t="str">
        <f>IF(AND(EPe_BA_intern_assesment_Raw_data___Sheet13[[#This Row],[Customer Rating]]&gt;6,EPe_BA_intern_assesment_Raw_data___Sheet13[[#This Row],[Customer Rating]]&lt;9), EPe_BA_intern_assesment_Raw_data___Sheet13[[#This Row],[Customer Rating]], "")</f>
        <v/>
      </c>
      <c r="R601">
        <f>IF(EPe_BA_intern_assesment_Raw_data___Sheet13[[#This Row],[Customer Rating]]&lt;7,EPe_BA_intern_assesment_Raw_data___Sheet13[[#This Row],[Customer Rating]])</f>
        <v>4</v>
      </c>
    </row>
    <row r="602" spans="1:18" x14ac:dyDescent="0.3">
      <c r="A602" t="s">
        <v>630</v>
      </c>
      <c r="B602" t="s">
        <v>21</v>
      </c>
      <c r="C602" t="s">
        <v>24</v>
      </c>
      <c r="D602" s="1">
        <v>45950</v>
      </c>
      <c r="E602" s="1"/>
      <c r="F602" s="1"/>
      <c r="G602" s="1"/>
      <c r="H602" t="s">
        <v>25</v>
      </c>
      <c r="I602" t="s">
        <v>103</v>
      </c>
      <c r="J602" s="1"/>
      <c r="P602" t="b">
        <f>IF(EPe_BA_intern_assesment_Raw_data___Sheet13[[#This Row],[Customer Rating]]&gt;8,EPe_BA_intern_assesment_Raw_data___Sheet13[[#This Row],[Customer Rating]])</f>
        <v>0</v>
      </c>
      <c r="Q602" t="str">
        <f>IF(AND(EPe_BA_intern_assesment_Raw_data___Sheet13[[#This Row],[Customer Rating]]&gt;6,EPe_BA_intern_assesment_Raw_data___Sheet13[[#This Row],[Customer Rating]]&lt;9), EPe_BA_intern_assesment_Raw_data___Sheet13[[#This Row],[Customer Rating]], "")</f>
        <v/>
      </c>
      <c r="R602">
        <f>IF(EPe_BA_intern_assesment_Raw_data___Sheet13[[#This Row],[Customer Rating]]&lt;7,EPe_BA_intern_assesment_Raw_data___Sheet13[[#This Row],[Customer Rating]])</f>
        <v>0</v>
      </c>
    </row>
    <row r="603" spans="1:18" x14ac:dyDescent="0.3">
      <c r="A603" t="s">
        <v>631</v>
      </c>
      <c r="B603" t="s">
        <v>34</v>
      </c>
      <c r="C603" t="s">
        <v>17</v>
      </c>
      <c r="D603" s="1">
        <v>45958</v>
      </c>
      <c r="E603" s="1">
        <v>45959</v>
      </c>
      <c r="F603" s="1">
        <v>45964</v>
      </c>
      <c r="G603" s="1">
        <v>45970</v>
      </c>
      <c r="H603" t="s">
        <v>18</v>
      </c>
      <c r="I603" t="s">
        <v>19</v>
      </c>
      <c r="J603" s="1">
        <v>45981</v>
      </c>
      <c r="K603">
        <v>1</v>
      </c>
      <c r="L603">
        <v>5</v>
      </c>
      <c r="M603">
        <v>6</v>
      </c>
      <c r="N603">
        <v>3</v>
      </c>
      <c r="O603">
        <v>12</v>
      </c>
      <c r="P603" t="b">
        <f>IF(EPe_BA_intern_assesment_Raw_data___Sheet13[[#This Row],[Customer Rating]]&gt;8,EPe_BA_intern_assesment_Raw_data___Sheet13[[#This Row],[Customer Rating]])</f>
        <v>0</v>
      </c>
      <c r="Q603" t="str">
        <f>IF(AND(EPe_BA_intern_assesment_Raw_data___Sheet13[[#This Row],[Customer Rating]]&gt;6,EPe_BA_intern_assesment_Raw_data___Sheet13[[#This Row],[Customer Rating]]&lt;9), EPe_BA_intern_assesment_Raw_data___Sheet13[[#This Row],[Customer Rating]], "")</f>
        <v/>
      </c>
      <c r="R603">
        <f>IF(EPe_BA_intern_assesment_Raw_data___Sheet13[[#This Row],[Customer Rating]]&lt;7,EPe_BA_intern_assesment_Raw_data___Sheet13[[#This Row],[Customer Rating]])</f>
        <v>3</v>
      </c>
    </row>
    <row r="604" spans="1:18" x14ac:dyDescent="0.3">
      <c r="A604" t="s">
        <v>632</v>
      </c>
      <c r="B604" t="s">
        <v>16</v>
      </c>
      <c r="C604" t="s">
        <v>32</v>
      </c>
      <c r="D604" s="1">
        <v>45943</v>
      </c>
      <c r="E604" s="1">
        <v>45946</v>
      </c>
      <c r="F604" s="1">
        <v>45950</v>
      </c>
      <c r="G604" s="1">
        <v>45952</v>
      </c>
      <c r="H604" t="s">
        <v>18</v>
      </c>
      <c r="I604" t="s">
        <v>19</v>
      </c>
      <c r="J604" s="1">
        <v>45981</v>
      </c>
      <c r="K604">
        <v>3</v>
      </c>
      <c r="L604">
        <v>4</v>
      </c>
      <c r="M604">
        <v>2</v>
      </c>
      <c r="N604">
        <v>8</v>
      </c>
      <c r="O604">
        <v>9</v>
      </c>
      <c r="P604" t="b">
        <f>IF(EPe_BA_intern_assesment_Raw_data___Sheet13[[#This Row],[Customer Rating]]&gt;8,EPe_BA_intern_assesment_Raw_data___Sheet13[[#This Row],[Customer Rating]])</f>
        <v>0</v>
      </c>
      <c r="Q604">
        <f>IF(AND(EPe_BA_intern_assesment_Raw_data___Sheet13[[#This Row],[Customer Rating]]&gt;6,EPe_BA_intern_assesment_Raw_data___Sheet13[[#This Row],[Customer Rating]]&lt;9), EPe_BA_intern_assesment_Raw_data___Sheet13[[#This Row],[Customer Rating]], "")</f>
        <v>8</v>
      </c>
      <c r="R604" t="b">
        <f>IF(EPe_BA_intern_assesment_Raw_data___Sheet13[[#This Row],[Customer Rating]]&lt;7,EPe_BA_intern_assesment_Raw_data___Sheet13[[#This Row],[Customer Rating]])</f>
        <v>0</v>
      </c>
    </row>
    <row r="605" spans="1:18" x14ac:dyDescent="0.3">
      <c r="A605" t="s">
        <v>633</v>
      </c>
      <c r="B605" t="s">
        <v>21</v>
      </c>
      <c r="C605" t="s">
        <v>17</v>
      </c>
      <c r="D605" s="1">
        <v>45950</v>
      </c>
      <c r="E605" s="1">
        <v>45953</v>
      </c>
      <c r="F605" s="1">
        <v>45956</v>
      </c>
      <c r="G605" s="1">
        <v>45960</v>
      </c>
      <c r="H605" t="s">
        <v>18</v>
      </c>
      <c r="I605" t="s">
        <v>19</v>
      </c>
      <c r="J605" s="1">
        <v>45982</v>
      </c>
      <c r="K605">
        <v>3</v>
      </c>
      <c r="L605">
        <v>3</v>
      </c>
      <c r="M605">
        <v>4</v>
      </c>
      <c r="N605">
        <v>6</v>
      </c>
      <c r="O605">
        <v>10</v>
      </c>
      <c r="P605" t="b">
        <f>IF(EPe_BA_intern_assesment_Raw_data___Sheet13[[#This Row],[Customer Rating]]&gt;8,EPe_BA_intern_assesment_Raw_data___Sheet13[[#This Row],[Customer Rating]])</f>
        <v>0</v>
      </c>
      <c r="Q605" t="str">
        <f>IF(AND(EPe_BA_intern_assesment_Raw_data___Sheet13[[#This Row],[Customer Rating]]&gt;6,EPe_BA_intern_assesment_Raw_data___Sheet13[[#This Row],[Customer Rating]]&lt;9), EPe_BA_intern_assesment_Raw_data___Sheet13[[#This Row],[Customer Rating]], "")</f>
        <v/>
      </c>
      <c r="R605">
        <f>IF(EPe_BA_intern_assesment_Raw_data___Sheet13[[#This Row],[Customer Rating]]&lt;7,EPe_BA_intern_assesment_Raw_data___Sheet13[[#This Row],[Customer Rating]])</f>
        <v>6</v>
      </c>
    </row>
    <row r="606" spans="1:18" x14ac:dyDescent="0.3">
      <c r="A606" t="s">
        <v>634</v>
      </c>
      <c r="B606" t="s">
        <v>23</v>
      </c>
      <c r="C606" t="s">
        <v>32</v>
      </c>
      <c r="D606" s="1">
        <v>45952</v>
      </c>
      <c r="E606" s="1">
        <v>45953</v>
      </c>
      <c r="F606" s="1">
        <v>45954</v>
      </c>
      <c r="G606" s="1">
        <v>45961</v>
      </c>
      <c r="H606" t="s">
        <v>18</v>
      </c>
      <c r="I606" t="s">
        <v>19</v>
      </c>
      <c r="J606" s="1">
        <v>45981</v>
      </c>
      <c r="K606">
        <v>1</v>
      </c>
      <c r="L606">
        <v>1</v>
      </c>
      <c r="M606">
        <v>7</v>
      </c>
      <c r="N606">
        <v>9</v>
      </c>
      <c r="O606">
        <v>9</v>
      </c>
      <c r="P606">
        <f>IF(EPe_BA_intern_assesment_Raw_data___Sheet13[[#This Row],[Customer Rating]]&gt;8,EPe_BA_intern_assesment_Raw_data___Sheet13[[#This Row],[Customer Rating]])</f>
        <v>9</v>
      </c>
      <c r="Q606" t="str">
        <f>IF(AND(EPe_BA_intern_assesment_Raw_data___Sheet13[[#This Row],[Customer Rating]]&gt;6,EPe_BA_intern_assesment_Raw_data___Sheet13[[#This Row],[Customer Rating]]&lt;9), EPe_BA_intern_assesment_Raw_data___Sheet13[[#This Row],[Customer Rating]], "")</f>
        <v/>
      </c>
      <c r="R606" t="b">
        <f>IF(EPe_BA_intern_assesment_Raw_data___Sheet13[[#This Row],[Customer Rating]]&lt;7,EPe_BA_intern_assesment_Raw_data___Sheet13[[#This Row],[Customer Rating]])</f>
        <v>0</v>
      </c>
    </row>
    <row r="607" spans="1:18" x14ac:dyDescent="0.3">
      <c r="A607" t="s">
        <v>635</v>
      </c>
      <c r="B607" t="s">
        <v>23</v>
      </c>
      <c r="C607" t="s">
        <v>17</v>
      </c>
      <c r="D607" s="1">
        <v>45938</v>
      </c>
      <c r="E607" s="1">
        <v>45941</v>
      </c>
      <c r="F607" s="1">
        <v>45946</v>
      </c>
      <c r="G607" s="1">
        <v>45952</v>
      </c>
      <c r="H607" t="s">
        <v>18</v>
      </c>
      <c r="I607" t="s">
        <v>19</v>
      </c>
      <c r="J607" s="1">
        <v>45966</v>
      </c>
      <c r="K607">
        <v>3</v>
      </c>
      <c r="L607">
        <v>5</v>
      </c>
      <c r="M607">
        <v>6</v>
      </c>
      <c r="N607">
        <v>3</v>
      </c>
      <c r="O607">
        <v>14</v>
      </c>
      <c r="P607" t="b">
        <f>IF(EPe_BA_intern_assesment_Raw_data___Sheet13[[#This Row],[Customer Rating]]&gt;8,EPe_BA_intern_assesment_Raw_data___Sheet13[[#This Row],[Customer Rating]])</f>
        <v>0</v>
      </c>
      <c r="Q607" t="str">
        <f>IF(AND(EPe_BA_intern_assesment_Raw_data___Sheet13[[#This Row],[Customer Rating]]&gt;6,EPe_BA_intern_assesment_Raw_data___Sheet13[[#This Row],[Customer Rating]]&lt;9), EPe_BA_intern_assesment_Raw_data___Sheet13[[#This Row],[Customer Rating]], "")</f>
        <v/>
      </c>
      <c r="R607">
        <f>IF(EPe_BA_intern_assesment_Raw_data___Sheet13[[#This Row],[Customer Rating]]&lt;7,EPe_BA_intern_assesment_Raw_data___Sheet13[[#This Row],[Customer Rating]])</f>
        <v>3</v>
      </c>
    </row>
    <row r="608" spans="1:18" x14ac:dyDescent="0.3">
      <c r="A608" t="s">
        <v>636</v>
      </c>
      <c r="B608" t="s">
        <v>16</v>
      </c>
      <c r="C608" t="s">
        <v>17</v>
      </c>
      <c r="D608" s="1">
        <v>45946</v>
      </c>
      <c r="E608" s="1">
        <v>45950</v>
      </c>
      <c r="F608" s="1">
        <v>45955</v>
      </c>
      <c r="G608" s="1">
        <v>45962</v>
      </c>
      <c r="H608" t="s">
        <v>18</v>
      </c>
      <c r="I608" t="s">
        <v>19</v>
      </c>
      <c r="J608" s="1">
        <v>45972</v>
      </c>
      <c r="K608">
        <v>4</v>
      </c>
      <c r="L608">
        <v>5</v>
      </c>
      <c r="M608">
        <v>7</v>
      </c>
      <c r="N608">
        <v>2</v>
      </c>
      <c r="O608">
        <v>16</v>
      </c>
      <c r="P608" t="b">
        <f>IF(EPe_BA_intern_assesment_Raw_data___Sheet13[[#This Row],[Customer Rating]]&gt;8,EPe_BA_intern_assesment_Raw_data___Sheet13[[#This Row],[Customer Rating]])</f>
        <v>0</v>
      </c>
      <c r="Q608" t="str">
        <f>IF(AND(EPe_BA_intern_assesment_Raw_data___Sheet13[[#This Row],[Customer Rating]]&gt;6,EPe_BA_intern_assesment_Raw_data___Sheet13[[#This Row],[Customer Rating]]&lt;9), EPe_BA_intern_assesment_Raw_data___Sheet13[[#This Row],[Customer Rating]], "")</f>
        <v/>
      </c>
      <c r="R608">
        <f>IF(EPe_BA_intern_assesment_Raw_data___Sheet13[[#This Row],[Customer Rating]]&lt;7,EPe_BA_intern_assesment_Raw_data___Sheet13[[#This Row],[Customer Rating]])</f>
        <v>2</v>
      </c>
    </row>
    <row r="609" spans="1:18" x14ac:dyDescent="0.3">
      <c r="A609" t="s">
        <v>637</v>
      </c>
      <c r="B609" t="s">
        <v>21</v>
      </c>
      <c r="C609" t="s">
        <v>32</v>
      </c>
      <c r="D609" s="1">
        <v>45960</v>
      </c>
      <c r="E609" s="1">
        <v>45964</v>
      </c>
      <c r="F609" s="1">
        <v>45968</v>
      </c>
      <c r="G609" s="1">
        <v>45970</v>
      </c>
      <c r="H609" t="s">
        <v>18</v>
      </c>
      <c r="I609" t="s">
        <v>19</v>
      </c>
      <c r="J609" s="1">
        <v>46000</v>
      </c>
      <c r="K609">
        <v>4</v>
      </c>
      <c r="L609">
        <v>4</v>
      </c>
      <c r="M609">
        <v>2</v>
      </c>
      <c r="N609">
        <v>4</v>
      </c>
      <c r="O609">
        <v>10</v>
      </c>
      <c r="P609" t="b">
        <f>IF(EPe_BA_intern_assesment_Raw_data___Sheet13[[#This Row],[Customer Rating]]&gt;8,EPe_BA_intern_assesment_Raw_data___Sheet13[[#This Row],[Customer Rating]])</f>
        <v>0</v>
      </c>
      <c r="Q609" t="str">
        <f>IF(AND(EPe_BA_intern_assesment_Raw_data___Sheet13[[#This Row],[Customer Rating]]&gt;6,EPe_BA_intern_assesment_Raw_data___Sheet13[[#This Row],[Customer Rating]]&lt;9), EPe_BA_intern_assesment_Raw_data___Sheet13[[#This Row],[Customer Rating]], "")</f>
        <v/>
      </c>
      <c r="R609">
        <f>IF(EPe_BA_intern_assesment_Raw_data___Sheet13[[#This Row],[Customer Rating]]&lt;7,EPe_BA_intern_assesment_Raw_data___Sheet13[[#This Row],[Customer Rating]])</f>
        <v>4</v>
      </c>
    </row>
    <row r="610" spans="1:18" x14ac:dyDescent="0.3">
      <c r="A610" t="s">
        <v>638</v>
      </c>
      <c r="B610" t="s">
        <v>16</v>
      </c>
      <c r="C610" t="s">
        <v>17</v>
      </c>
      <c r="D610" s="1">
        <v>45949</v>
      </c>
      <c r="E610" s="1">
        <v>45953</v>
      </c>
      <c r="F610" s="1">
        <v>45957</v>
      </c>
      <c r="G610" s="1">
        <v>45962</v>
      </c>
      <c r="H610" t="s">
        <v>18</v>
      </c>
      <c r="I610" t="s">
        <v>19</v>
      </c>
      <c r="J610" s="1">
        <v>45987</v>
      </c>
      <c r="K610">
        <v>4</v>
      </c>
      <c r="L610">
        <v>4</v>
      </c>
      <c r="M610">
        <v>5</v>
      </c>
      <c r="N610">
        <v>0</v>
      </c>
      <c r="O610">
        <v>13</v>
      </c>
      <c r="P610" t="b">
        <f>IF(EPe_BA_intern_assesment_Raw_data___Sheet13[[#This Row],[Customer Rating]]&gt;8,EPe_BA_intern_assesment_Raw_data___Sheet13[[#This Row],[Customer Rating]])</f>
        <v>0</v>
      </c>
      <c r="Q610" t="str">
        <f>IF(AND(EPe_BA_intern_assesment_Raw_data___Sheet13[[#This Row],[Customer Rating]]&gt;6,EPe_BA_intern_assesment_Raw_data___Sheet13[[#This Row],[Customer Rating]]&lt;9), EPe_BA_intern_assesment_Raw_data___Sheet13[[#This Row],[Customer Rating]], "")</f>
        <v/>
      </c>
      <c r="R610">
        <f>IF(EPe_BA_intern_assesment_Raw_data___Sheet13[[#This Row],[Customer Rating]]&lt;7,EPe_BA_intern_assesment_Raw_data___Sheet13[[#This Row],[Customer Rating]])</f>
        <v>0</v>
      </c>
    </row>
    <row r="611" spans="1:18" x14ac:dyDescent="0.3">
      <c r="A611" t="s">
        <v>639</v>
      </c>
      <c r="B611" t="s">
        <v>16</v>
      </c>
      <c r="C611" t="s">
        <v>32</v>
      </c>
      <c r="D611" s="1">
        <v>45935</v>
      </c>
      <c r="E611" s="1">
        <v>45939</v>
      </c>
      <c r="F611" s="1">
        <v>45940</v>
      </c>
      <c r="G611" s="1">
        <v>45945</v>
      </c>
      <c r="H611" t="s">
        <v>18</v>
      </c>
      <c r="I611" t="s">
        <v>19</v>
      </c>
      <c r="J611" s="1">
        <v>45964</v>
      </c>
      <c r="K611">
        <v>4</v>
      </c>
      <c r="L611">
        <v>1</v>
      </c>
      <c r="M611">
        <v>5</v>
      </c>
      <c r="N611">
        <v>1</v>
      </c>
      <c r="O611">
        <v>10</v>
      </c>
      <c r="P611" t="b">
        <f>IF(EPe_BA_intern_assesment_Raw_data___Sheet13[[#This Row],[Customer Rating]]&gt;8,EPe_BA_intern_assesment_Raw_data___Sheet13[[#This Row],[Customer Rating]])</f>
        <v>0</v>
      </c>
      <c r="Q611" t="str">
        <f>IF(AND(EPe_BA_intern_assesment_Raw_data___Sheet13[[#This Row],[Customer Rating]]&gt;6,EPe_BA_intern_assesment_Raw_data___Sheet13[[#This Row],[Customer Rating]]&lt;9), EPe_BA_intern_assesment_Raw_data___Sheet13[[#This Row],[Customer Rating]], "")</f>
        <v/>
      </c>
      <c r="R611">
        <f>IF(EPe_BA_intern_assesment_Raw_data___Sheet13[[#This Row],[Customer Rating]]&lt;7,EPe_BA_intern_assesment_Raw_data___Sheet13[[#This Row],[Customer Rating]])</f>
        <v>1</v>
      </c>
    </row>
    <row r="612" spans="1:18" x14ac:dyDescent="0.3">
      <c r="A612" t="s">
        <v>640</v>
      </c>
      <c r="B612" t="s">
        <v>21</v>
      </c>
      <c r="C612" t="s">
        <v>32</v>
      </c>
      <c r="D612" s="1">
        <v>45938</v>
      </c>
      <c r="E612" s="1">
        <v>45941</v>
      </c>
      <c r="F612" s="1">
        <v>45942</v>
      </c>
      <c r="G612" s="1">
        <v>45948</v>
      </c>
      <c r="H612" t="s">
        <v>18</v>
      </c>
      <c r="I612" t="s">
        <v>19</v>
      </c>
      <c r="J612" s="1">
        <v>45966</v>
      </c>
      <c r="K612">
        <v>3</v>
      </c>
      <c r="L612">
        <v>1</v>
      </c>
      <c r="M612">
        <v>6</v>
      </c>
      <c r="N612">
        <v>1</v>
      </c>
      <c r="O612">
        <v>10</v>
      </c>
      <c r="P612" t="b">
        <f>IF(EPe_BA_intern_assesment_Raw_data___Sheet13[[#This Row],[Customer Rating]]&gt;8,EPe_BA_intern_assesment_Raw_data___Sheet13[[#This Row],[Customer Rating]])</f>
        <v>0</v>
      </c>
      <c r="Q612" t="str">
        <f>IF(AND(EPe_BA_intern_assesment_Raw_data___Sheet13[[#This Row],[Customer Rating]]&gt;6,EPe_BA_intern_assesment_Raw_data___Sheet13[[#This Row],[Customer Rating]]&lt;9), EPe_BA_intern_assesment_Raw_data___Sheet13[[#This Row],[Customer Rating]], "")</f>
        <v/>
      </c>
      <c r="R612">
        <f>IF(EPe_BA_intern_assesment_Raw_data___Sheet13[[#This Row],[Customer Rating]]&lt;7,EPe_BA_intern_assesment_Raw_data___Sheet13[[#This Row],[Customer Rating]])</f>
        <v>1</v>
      </c>
    </row>
    <row r="613" spans="1:18" x14ac:dyDescent="0.3">
      <c r="A613" t="s">
        <v>641</v>
      </c>
      <c r="B613" t="s">
        <v>21</v>
      </c>
      <c r="C613" t="s">
        <v>17</v>
      </c>
      <c r="D613" s="1">
        <v>45945</v>
      </c>
      <c r="E613" s="1">
        <v>45947</v>
      </c>
      <c r="F613" s="1">
        <v>45952</v>
      </c>
      <c r="G613" s="1">
        <v>45956</v>
      </c>
      <c r="H613" t="s">
        <v>18</v>
      </c>
      <c r="I613" t="s">
        <v>19</v>
      </c>
      <c r="J613" s="1">
        <v>45979</v>
      </c>
      <c r="K613">
        <v>2</v>
      </c>
      <c r="L613">
        <v>5</v>
      </c>
      <c r="M613">
        <v>4</v>
      </c>
      <c r="N613">
        <v>2</v>
      </c>
      <c r="O613">
        <v>11</v>
      </c>
      <c r="P613" t="b">
        <f>IF(EPe_BA_intern_assesment_Raw_data___Sheet13[[#This Row],[Customer Rating]]&gt;8,EPe_BA_intern_assesment_Raw_data___Sheet13[[#This Row],[Customer Rating]])</f>
        <v>0</v>
      </c>
      <c r="Q613" t="str">
        <f>IF(AND(EPe_BA_intern_assesment_Raw_data___Sheet13[[#This Row],[Customer Rating]]&gt;6,EPe_BA_intern_assesment_Raw_data___Sheet13[[#This Row],[Customer Rating]]&lt;9), EPe_BA_intern_assesment_Raw_data___Sheet13[[#This Row],[Customer Rating]], "")</f>
        <v/>
      </c>
      <c r="R613">
        <f>IF(EPe_BA_intern_assesment_Raw_data___Sheet13[[#This Row],[Customer Rating]]&lt;7,EPe_BA_intern_assesment_Raw_data___Sheet13[[#This Row],[Customer Rating]])</f>
        <v>2</v>
      </c>
    </row>
    <row r="614" spans="1:18" x14ac:dyDescent="0.3">
      <c r="A614" t="s">
        <v>642</v>
      </c>
      <c r="B614" t="s">
        <v>34</v>
      </c>
      <c r="C614" t="s">
        <v>17</v>
      </c>
      <c r="D614" s="1">
        <v>45951</v>
      </c>
      <c r="E614" s="1">
        <v>45955</v>
      </c>
      <c r="F614" s="1">
        <v>45960</v>
      </c>
      <c r="G614" s="1">
        <v>45962</v>
      </c>
      <c r="H614" t="s">
        <v>18</v>
      </c>
      <c r="I614" t="s">
        <v>19</v>
      </c>
      <c r="J614" s="1">
        <v>45984</v>
      </c>
      <c r="K614">
        <v>4</v>
      </c>
      <c r="L614">
        <v>5</v>
      </c>
      <c r="M614">
        <v>2</v>
      </c>
      <c r="N614">
        <v>8</v>
      </c>
      <c r="O614">
        <v>11</v>
      </c>
      <c r="P614" t="b">
        <f>IF(EPe_BA_intern_assesment_Raw_data___Sheet13[[#This Row],[Customer Rating]]&gt;8,EPe_BA_intern_assesment_Raw_data___Sheet13[[#This Row],[Customer Rating]])</f>
        <v>0</v>
      </c>
      <c r="Q614">
        <f>IF(AND(EPe_BA_intern_assesment_Raw_data___Sheet13[[#This Row],[Customer Rating]]&gt;6,EPe_BA_intern_assesment_Raw_data___Sheet13[[#This Row],[Customer Rating]]&lt;9), EPe_BA_intern_assesment_Raw_data___Sheet13[[#This Row],[Customer Rating]], "")</f>
        <v>8</v>
      </c>
      <c r="R614" t="b">
        <f>IF(EPe_BA_intern_assesment_Raw_data___Sheet13[[#This Row],[Customer Rating]]&lt;7,EPe_BA_intern_assesment_Raw_data___Sheet13[[#This Row],[Customer Rating]])</f>
        <v>0</v>
      </c>
    </row>
    <row r="615" spans="1:18" x14ac:dyDescent="0.3">
      <c r="A615" t="s">
        <v>643</v>
      </c>
      <c r="B615" t="s">
        <v>21</v>
      </c>
      <c r="C615" t="s">
        <v>24</v>
      </c>
      <c r="D615" s="1">
        <v>45939</v>
      </c>
      <c r="E615" s="1"/>
      <c r="F615" s="1"/>
      <c r="G615" s="1"/>
      <c r="H615" t="s">
        <v>25</v>
      </c>
      <c r="I615" t="s">
        <v>103</v>
      </c>
      <c r="J615" s="1"/>
      <c r="P615" t="b">
        <f>IF(EPe_BA_intern_assesment_Raw_data___Sheet13[[#This Row],[Customer Rating]]&gt;8,EPe_BA_intern_assesment_Raw_data___Sheet13[[#This Row],[Customer Rating]])</f>
        <v>0</v>
      </c>
      <c r="Q615" t="str">
        <f>IF(AND(EPe_BA_intern_assesment_Raw_data___Sheet13[[#This Row],[Customer Rating]]&gt;6,EPe_BA_intern_assesment_Raw_data___Sheet13[[#This Row],[Customer Rating]]&lt;9), EPe_BA_intern_assesment_Raw_data___Sheet13[[#This Row],[Customer Rating]], "")</f>
        <v/>
      </c>
      <c r="R615">
        <f>IF(EPe_BA_intern_assesment_Raw_data___Sheet13[[#This Row],[Customer Rating]]&lt;7,EPe_BA_intern_assesment_Raw_data___Sheet13[[#This Row],[Customer Rating]])</f>
        <v>0</v>
      </c>
    </row>
    <row r="616" spans="1:18" x14ac:dyDescent="0.3">
      <c r="A616" t="s">
        <v>644</v>
      </c>
      <c r="B616" t="s">
        <v>23</v>
      </c>
      <c r="C616" t="s">
        <v>17</v>
      </c>
      <c r="D616" s="1">
        <v>45945</v>
      </c>
      <c r="E616" s="1">
        <v>45949</v>
      </c>
      <c r="F616" s="1">
        <v>45953</v>
      </c>
      <c r="G616" s="1">
        <v>45958</v>
      </c>
      <c r="H616" t="s">
        <v>18</v>
      </c>
      <c r="I616" t="s">
        <v>19</v>
      </c>
      <c r="J616" s="1">
        <v>45980</v>
      </c>
      <c r="K616">
        <v>4</v>
      </c>
      <c r="L616">
        <v>4</v>
      </c>
      <c r="M616">
        <v>5</v>
      </c>
      <c r="N616">
        <v>6</v>
      </c>
      <c r="O616">
        <v>13</v>
      </c>
      <c r="P616" t="b">
        <f>IF(EPe_BA_intern_assesment_Raw_data___Sheet13[[#This Row],[Customer Rating]]&gt;8,EPe_BA_intern_assesment_Raw_data___Sheet13[[#This Row],[Customer Rating]])</f>
        <v>0</v>
      </c>
      <c r="Q616" t="str">
        <f>IF(AND(EPe_BA_intern_assesment_Raw_data___Sheet13[[#This Row],[Customer Rating]]&gt;6,EPe_BA_intern_assesment_Raw_data___Sheet13[[#This Row],[Customer Rating]]&lt;9), EPe_BA_intern_assesment_Raw_data___Sheet13[[#This Row],[Customer Rating]], "")</f>
        <v/>
      </c>
      <c r="R616">
        <f>IF(EPe_BA_intern_assesment_Raw_data___Sheet13[[#This Row],[Customer Rating]]&lt;7,EPe_BA_intern_assesment_Raw_data___Sheet13[[#This Row],[Customer Rating]])</f>
        <v>6</v>
      </c>
    </row>
    <row r="617" spans="1:18" x14ac:dyDescent="0.3">
      <c r="A617" t="s">
        <v>645</v>
      </c>
      <c r="B617" t="s">
        <v>16</v>
      </c>
      <c r="C617" t="s">
        <v>17</v>
      </c>
      <c r="D617" s="1">
        <v>45939</v>
      </c>
      <c r="E617" s="1">
        <v>45942</v>
      </c>
      <c r="F617" s="1">
        <v>45943</v>
      </c>
      <c r="G617" s="1">
        <v>45949</v>
      </c>
      <c r="H617" t="s">
        <v>18</v>
      </c>
      <c r="I617" t="s">
        <v>19</v>
      </c>
      <c r="J617" s="1">
        <v>45960</v>
      </c>
      <c r="K617">
        <v>3</v>
      </c>
      <c r="L617">
        <v>1</v>
      </c>
      <c r="M617">
        <v>6</v>
      </c>
      <c r="N617">
        <v>6</v>
      </c>
      <c r="O617">
        <v>10</v>
      </c>
      <c r="P617" t="b">
        <f>IF(EPe_BA_intern_assesment_Raw_data___Sheet13[[#This Row],[Customer Rating]]&gt;8,EPe_BA_intern_assesment_Raw_data___Sheet13[[#This Row],[Customer Rating]])</f>
        <v>0</v>
      </c>
      <c r="Q617" t="str">
        <f>IF(AND(EPe_BA_intern_assesment_Raw_data___Sheet13[[#This Row],[Customer Rating]]&gt;6,EPe_BA_intern_assesment_Raw_data___Sheet13[[#This Row],[Customer Rating]]&lt;9), EPe_BA_intern_assesment_Raw_data___Sheet13[[#This Row],[Customer Rating]], "")</f>
        <v/>
      </c>
      <c r="R617">
        <f>IF(EPe_BA_intern_assesment_Raw_data___Sheet13[[#This Row],[Customer Rating]]&lt;7,EPe_BA_intern_assesment_Raw_data___Sheet13[[#This Row],[Customer Rating]])</f>
        <v>6</v>
      </c>
    </row>
    <row r="618" spans="1:18" x14ac:dyDescent="0.3">
      <c r="A618" t="s">
        <v>646</v>
      </c>
      <c r="B618" t="s">
        <v>16</v>
      </c>
      <c r="C618" t="s">
        <v>17</v>
      </c>
      <c r="D618" s="1">
        <v>45952</v>
      </c>
      <c r="E618" s="1">
        <v>45957</v>
      </c>
      <c r="F618" s="1">
        <v>45958</v>
      </c>
      <c r="G618" s="1">
        <v>45961</v>
      </c>
      <c r="H618" t="s">
        <v>18</v>
      </c>
      <c r="I618" t="s">
        <v>19</v>
      </c>
      <c r="J618" s="1">
        <v>45989</v>
      </c>
      <c r="K618">
        <v>5</v>
      </c>
      <c r="L618">
        <v>1</v>
      </c>
      <c r="M618">
        <v>3</v>
      </c>
      <c r="N618">
        <v>3</v>
      </c>
      <c r="O618">
        <v>9</v>
      </c>
      <c r="P618" t="b">
        <f>IF(EPe_BA_intern_assesment_Raw_data___Sheet13[[#This Row],[Customer Rating]]&gt;8,EPe_BA_intern_assesment_Raw_data___Sheet13[[#This Row],[Customer Rating]])</f>
        <v>0</v>
      </c>
      <c r="Q618" t="str">
        <f>IF(AND(EPe_BA_intern_assesment_Raw_data___Sheet13[[#This Row],[Customer Rating]]&gt;6,EPe_BA_intern_assesment_Raw_data___Sheet13[[#This Row],[Customer Rating]]&lt;9), EPe_BA_intern_assesment_Raw_data___Sheet13[[#This Row],[Customer Rating]], "")</f>
        <v/>
      </c>
      <c r="R618">
        <f>IF(EPe_BA_intern_assesment_Raw_data___Sheet13[[#This Row],[Customer Rating]]&lt;7,EPe_BA_intern_assesment_Raw_data___Sheet13[[#This Row],[Customer Rating]])</f>
        <v>3</v>
      </c>
    </row>
    <row r="619" spans="1:18" x14ac:dyDescent="0.3">
      <c r="A619" t="s">
        <v>647</v>
      </c>
      <c r="B619" t="s">
        <v>23</v>
      </c>
      <c r="C619" t="s">
        <v>32</v>
      </c>
      <c r="D619" s="1">
        <v>45931</v>
      </c>
      <c r="E619" s="1">
        <v>45934</v>
      </c>
      <c r="F619" s="1">
        <v>45939</v>
      </c>
      <c r="G619" s="1">
        <v>45943</v>
      </c>
      <c r="H619" t="s">
        <v>18</v>
      </c>
      <c r="I619" t="s">
        <v>19</v>
      </c>
      <c r="J619" s="1">
        <v>45971</v>
      </c>
      <c r="K619">
        <v>3</v>
      </c>
      <c r="L619">
        <v>5</v>
      </c>
      <c r="M619">
        <v>4</v>
      </c>
      <c r="N619">
        <v>4</v>
      </c>
      <c r="O619">
        <v>12</v>
      </c>
      <c r="P619" t="b">
        <f>IF(EPe_BA_intern_assesment_Raw_data___Sheet13[[#This Row],[Customer Rating]]&gt;8,EPe_BA_intern_assesment_Raw_data___Sheet13[[#This Row],[Customer Rating]])</f>
        <v>0</v>
      </c>
      <c r="Q619" t="str">
        <f>IF(AND(EPe_BA_intern_assesment_Raw_data___Sheet13[[#This Row],[Customer Rating]]&gt;6,EPe_BA_intern_assesment_Raw_data___Sheet13[[#This Row],[Customer Rating]]&lt;9), EPe_BA_intern_assesment_Raw_data___Sheet13[[#This Row],[Customer Rating]], "")</f>
        <v/>
      </c>
      <c r="R619">
        <f>IF(EPe_BA_intern_assesment_Raw_data___Sheet13[[#This Row],[Customer Rating]]&lt;7,EPe_BA_intern_assesment_Raw_data___Sheet13[[#This Row],[Customer Rating]])</f>
        <v>4</v>
      </c>
    </row>
    <row r="620" spans="1:18" x14ac:dyDescent="0.3">
      <c r="A620" t="s">
        <v>648</v>
      </c>
      <c r="B620" t="s">
        <v>21</v>
      </c>
      <c r="C620" t="s">
        <v>24</v>
      </c>
      <c r="D620" s="1">
        <v>45959</v>
      </c>
      <c r="E620" s="1"/>
      <c r="F620" s="1"/>
      <c r="G620" s="1"/>
      <c r="H620" t="s">
        <v>25</v>
      </c>
      <c r="I620" t="s">
        <v>103</v>
      </c>
      <c r="J620" s="1"/>
      <c r="P620" t="b">
        <f>IF(EPe_BA_intern_assesment_Raw_data___Sheet13[[#This Row],[Customer Rating]]&gt;8,EPe_BA_intern_assesment_Raw_data___Sheet13[[#This Row],[Customer Rating]])</f>
        <v>0</v>
      </c>
      <c r="Q620" t="str">
        <f>IF(AND(EPe_BA_intern_assesment_Raw_data___Sheet13[[#This Row],[Customer Rating]]&gt;6,EPe_BA_intern_assesment_Raw_data___Sheet13[[#This Row],[Customer Rating]]&lt;9), EPe_BA_intern_assesment_Raw_data___Sheet13[[#This Row],[Customer Rating]], "")</f>
        <v/>
      </c>
      <c r="R620">
        <f>IF(EPe_BA_intern_assesment_Raw_data___Sheet13[[#This Row],[Customer Rating]]&lt;7,EPe_BA_intern_assesment_Raw_data___Sheet13[[#This Row],[Customer Rating]])</f>
        <v>0</v>
      </c>
    </row>
    <row r="621" spans="1:18" x14ac:dyDescent="0.3">
      <c r="A621" t="s">
        <v>649</v>
      </c>
      <c r="B621" t="s">
        <v>23</v>
      </c>
      <c r="C621" t="s">
        <v>17</v>
      </c>
      <c r="D621" s="1">
        <v>45956</v>
      </c>
      <c r="E621" s="1">
        <v>45957</v>
      </c>
      <c r="F621" s="1">
        <v>45960</v>
      </c>
      <c r="G621" s="1">
        <v>45963</v>
      </c>
      <c r="H621" t="s">
        <v>25</v>
      </c>
      <c r="I621" t="s">
        <v>65</v>
      </c>
      <c r="J621" s="1"/>
      <c r="K621">
        <v>1</v>
      </c>
      <c r="L621">
        <v>3</v>
      </c>
      <c r="M621">
        <v>3</v>
      </c>
      <c r="O621">
        <v>7</v>
      </c>
      <c r="P621" t="b">
        <f>IF(EPe_BA_intern_assesment_Raw_data___Sheet13[[#This Row],[Customer Rating]]&gt;8,EPe_BA_intern_assesment_Raw_data___Sheet13[[#This Row],[Customer Rating]])</f>
        <v>0</v>
      </c>
      <c r="Q621" t="str">
        <f>IF(AND(EPe_BA_intern_assesment_Raw_data___Sheet13[[#This Row],[Customer Rating]]&gt;6,EPe_BA_intern_assesment_Raw_data___Sheet13[[#This Row],[Customer Rating]]&lt;9), EPe_BA_intern_assesment_Raw_data___Sheet13[[#This Row],[Customer Rating]], "")</f>
        <v/>
      </c>
      <c r="R621">
        <f>IF(EPe_BA_intern_assesment_Raw_data___Sheet13[[#This Row],[Customer Rating]]&lt;7,EPe_BA_intern_assesment_Raw_data___Sheet13[[#This Row],[Customer Rating]])</f>
        <v>0</v>
      </c>
    </row>
    <row r="622" spans="1:18" x14ac:dyDescent="0.3">
      <c r="A622" t="s">
        <v>650</v>
      </c>
      <c r="B622" t="s">
        <v>23</v>
      </c>
      <c r="C622" t="s">
        <v>17</v>
      </c>
      <c r="D622" s="1">
        <v>45945</v>
      </c>
      <c r="E622" s="1">
        <v>45949</v>
      </c>
      <c r="F622" s="1">
        <v>45954</v>
      </c>
      <c r="G622" s="1">
        <v>45958</v>
      </c>
      <c r="H622" t="s">
        <v>25</v>
      </c>
      <c r="I622" t="s">
        <v>35</v>
      </c>
      <c r="J622" s="1"/>
      <c r="K622">
        <v>4</v>
      </c>
      <c r="L622">
        <v>5</v>
      </c>
      <c r="M622">
        <v>4</v>
      </c>
      <c r="O622">
        <v>13</v>
      </c>
      <c r="P622" t="b">
        <f>IF(EPe_BA_intern_assesment_Raw_data___Sheet13[[#This Row],[Customer Rating]]&gt;8,EPe_BA_intern_assesment_Raw_data___Sheet13[[#This Row],[Customer Rating]])</f>
        <v>0</v>
      </c>
      <c r="Q622" t="str">
        <f>IF(AND(EPe_BA_intern_assesment_Raw_data___Sheet13[[#This Row],[Customer Rating]]&gt;6,EPe_BA_intern_assesment_Raw_data___Sheet13[[#This Row],[Customer Rating]]&lt;9), EPe_BA_intern_assesment_Raw_data___Sheet13[[#This Row],[Customer Rating]], "")</f>
        <v/>
      </c>
      <c r="R622">
        <f>IF(EPe_BA_intern_assesment_Raw_data___Sheet13[[#This Row],[Customer Rating]]&lt;7,EPe_BA_intern_assesment_Raw_data___Sheet13[[#This Row],[Customer Rating]])</f>
        <v>0</v>
      </c>
    </row>
    <row r="623" spans="1:18" x14ac:dyDescent="0.3">
      <c r="A623" t="s">
        <v>651</v>
      </c>
      <c r="B623" t="s">
        <v>34</v>
      </c>
      <c r="C623" t="s">
        <v>32</v>
      </c>
      <c r="D623" s="1">
        <v>45959</v>
      </c>
      <c r="E623" s="1">
        <v>45960</v>
      </c>
      <c r="F623" s="1">
        <v>45963</v>
      </c>
      <c r="G623" s="1">
        <v>45965</v>
      </c>
      <c r="H623" t="s">
        <v>18</v>
      </c>
      <c r="I623" t="s">
        <v>19</v>
      </c>
      <c r="J623" s="1">
        <v>45981</v>
      </c>
      <c r="K623">
        <v>1</v>
      </c>
      <c r="L623">
        <v>3</v>
      </c>
      <c r="M623">
        <v>2</v>
      </c>
      <c r="N623">
        <v>6</v>
      </c>
      <c r="O623">
        <v>6</v>
      </c>
      <c r="P623" t="b">
        <f>IF(EPe_BA_intern_assesment_Raw_data___Sheet13[[#This Row],[Customer Rating]]&gt;8,EPe_BA_intern_assesment_Raw_data___Sheet13[[#This Row],[Customer Rating]])</f>
        <v>0</v>
      </c>
      <c r="Q623" t="str">
        <f>IF(AND(EPe_BA_intern_assesment_Raw_data___Sheet13[[#This Row],[Customer Rating]]&gt;6,EPe_BA_intern_assesment_Raw_data___Sheet13[[#This Row],[Customer Rating]]&lt;9), EPe_BA_intern_assesment_Raw_data___Sheet13[[#This Row],[Customer Rating]], "")</f>
        <v/>
      </c>
      <c r="R623">
        <f>IF(EPe_BA_intern_assesment_Raw_data___Sheet13[[#This Row],[Customer Rating]]&lt;7,EPe_BA_intern_assesment_Raw_data___Sheet13[[#This Row],[Customer Rating]])</f>
        <v>6</v>
      </c>
    </row>
    <row r="624" spans="1:18" x14ac:dyDescent="0.3">
      <c r="A624" t="s">
        <v>652</v>
      </c>
      <c r="B624" t="s">
        <v>23</v>
      </c>
      <c r="C624" t="s">
        <v>17</v>
      </c>
      <c r="D624" s="1">
        <v>45940</v>
      </c>
      <c r="E624" s="1">
        <v>45944</v>
      </c>
      <c r="F624" s="1">
        <v>45945</v>
      </c>
      <c r="G624" s="1">
        <v>45951</v>
      </c>
      <c r="H624" t="s">
        <v>18</v>
      </c>
      <c r="I624" t="s">
        <v>19</v>
      </c>
      <c r="J624" s="1">
        <v>45971</v>
      </c>
      <c r="K624">
        <v>4</v>
      </c>
      <c r="L624">
        <v>1</v>
      </c>
      <c r="M624">
        <v>6</v>
      </c>
      <c r="N624">
        <v>9</v>
      </c>
      <c r="O624">
        <v>11</v>
      </c>
      <c r="P624">
        <f>IF(EPe_BA_intern_assesment_Raw_data___Sheet13[[#This Row],[Customer Rating]]&gt;8,EPe_BA_intern_assesment_Raw_data___Sheet13[[#This Row],[Customer Rating]])</f>
        <v>9</v>
      </c>
      <c r="Q624" t="str">
        <f>IF(AND(EPe_BA_intern_assesment_Raw_data___Sheet13[[#This Row],[Customer Rating]]&gt;6,EPe_BA_intern_assesment_Raw_data___Sheet13[[#This Row],[Customer Rating]]&lt;9), EPe_BA_intern_assesment_Raw_data___Sheet13[[#This Row],[Customer Rating]], "")</f>
        <v/>
      </c>
      <c r="R624" t="b">
        <f>IF(EPe_BA_intern_assesment_Raw_data___Sheet13[[#This Row],[Customer Rating]]&lt;7,EPe_BA_intern_assesment_Raw_data___Sheet13[[#This Row],[Customer Rating]])</f>
        <v>0</v>
      </c>
    </row>
    <row r="625" spans="1:18" x14ac:dyDescent="0.3">
      <c r="A625" t="s">
        <v>653</v>
      </c>
      <c r="B625" t="s">
        <v>16</v>
      </c>
      <c r="C625" t="s">
        <v>17</v>
      </c>
      <c r="D625" s="1">
        <v>45952</v>
      </c>
      <c r="E625" s="1">
        <v>45957</v>
      </c>
      <c r="F625" s="1">
        <v>45962</v>
      </c>
      <c r="G625" s="1">
        <v>45969</v>
      </c>
      <c r="H625" t="s">
        <v>18</v>
      </c>
      <c r="I625" t="s">
        <v>19</v>
      </c>
      <c r="J625" s="1">
        <v>45986</v>
      </c>
      <c r="K625">
        <v>5</v>
      </c>
      <c r="L625">
        <v>5</v>
      </c>
      <c r="M625">
        <v>7</v>
      </c>
      <c r="N625">
        <v>8</v>
      </c>
      <c r="O625">
        <v>17</v>
      </c>
      <c r="P625" t="b">
        <f>IF(EPe_BA_intern_assesment_Raw_data___Sheet13[[#This Row],[Customer Rating]]&gt;8,EPe_BA_intern_assesment_Raw_data___Sheet13[[#This Row],[Customer Rating]])</f>
        <v>0</v>
      </c>
      <c r="Q625">
        <f>IF(AND(EPe_BA_intern_assesment_Raw_data___Sheet13[[#This Row],[Customer Rating]]&gt;6,EPe_BA_intern_assesment_Raw_data___Sheet13[[#This Row],[Customer Rating]]&lt;9), EPe_BA_intern_assesment_Raw_data___Sheet13[[#This Row],[Customer Rating]], "")</f>
        <v>8</v>
      </c>
      <c r="R625" t="b">
        <f>IF(EPe_BA_intern_assesment_Raw_data___Sheet13[[#This Row],[Customer Rating]]&lt;7,EPe_BA_intern_assesment_Raw_data___Sheet13[[#This Row],[Customer Rating]])</f>
        <v>0</v>
      </c>
    </row>
    <row r="626" spans="1:18" x14ac:dyDescent="0.3">
      <c r="A626" t="s">
        <v>654</v>
      </c>
      <c r="B626" t="s">
        <v>23</v>
      </c>
      <c r="C626" t="s">
        <v>24</v>
      </c>
      <c r="D626" s="1">
        <v>45948</v>
      </c>
      <c r="E626" s="1"/>
      <c r="F626" s="1"/>
      <c r="G626" s="1"/>
      <c r="H626" t="s">
        <v>25</v>
      </c>
      <c r="I626" t="s">
        <v>103</v>
      </c>
      <c r="J626" s="1"/>
      <c r="P626" t="b">
        <f>IF(EPe_BA_intern_assesment_Raw_data___Sheet13[[#This Row],[Customer Rating]]&gt;8,EPe_BA_intern_assesment_Raw_data___Sheet13[[#This Row],[Customer Rating]])</f>
        <v>0</v>
      </c>
      <c r="Q626" t="str">
        <f>IF(AND(EPe_BA_intern_assesment_Raw_data___Sheet13[[#This Row],[Customer Rating]]&gt;6,EPe_BA_intern_assesment_Raw_data___Sheet13[[#This Row],[Customer Rating]]&lt;9), EPe_BA_intern_assesment_Raw_data___Sheet13[[#This Row],[Customer Rating]], "")</f>
        <v/>
      </c>
      <c r="R626">
        <f>IF(EPe_BA_intern_assesment_Raw_data___Sheet13[[#This Row],[Customer Rating]]&lt;7,EPe_BA_intern_assesment_Raw_data___Sheet13[[#This Row],[Customer Rating]])</f>
        <v>0</v>
      </c>
    </row>
    <row r="627" spans="1:18" x14ac:dyDescent="0.3">
      <c r="A627" t="s">
        <v>655</v>
      </c>
      <c r="B627" t="s">
        <v>16</v>
      </c>
      <c r="C627" t="s">
        <v>32</v>
      </c>
      <c r="D627" s="1">
        <v>45936</v>
      </c>
      <c r="E627" s="1">
        <v>45938</v>
      </c>
      <c r="F627" s="1">
        <v>45942</v>
      </c>
      <c r="G627" s="1">
        <v>45949</v>
      </c>
      <c r="H627" t="s">
        <v>18</v>
      </c>
      <c r="I627" t="s">
        <v>19</v>
      </c>
      <c r="J627" s="1">
        <v>45976</v>
      </c>
      <c r="K627">
        <v>2</v>
      </c>
      <c r="L627">
        <v>4</v>
      </c>
      <c r="M627">
        <v>7</v>
      </c>
      <c r="N627">
        <v>0</v>
      </c>
      <c r="O627">
        <v>13</v>
      </c>
      <c r="P627" t="b">
        <f>IF(EPe_BA_intern_assesment_Raw_data___Sheet13[[#This Row],[Customer Rating]]&gt;8,EPe_BA_intern_assesment_Raw_data___Sheet13[[#This Row],[Customer Rating]])</f>
        <v>0</v>
      </c>
      <c r="Q627" t="str">
        <f>IF(AND(EPe_BA_intern_assesment_Raw_data___Sheet13[[#This Row],[Customer Rating]]&gt;6,EPe_BA_intern_assesment_Raw_data___Sheet13[[#This Row],[Customer Rating]]&lt;9), EPe_BA_intern_assesment_Raw_data___Sheet13[[#This Row],[Customer Rating]], "")</f>
        <v/>
      </c>
      <c r="R627">
        <f>IF(EPe_BA_intern_assesment_Raw_data___Sheet13[[#This Row],[Customer Rating]]&lt;7,EPe_BA_intern_assesment_Raw_data___Sheet13[[#This Row],[Customer Rating]])</f>
        <v>0</v>
      </c>
    </row>
    <row r="628" spans="1:18" x14ac:dyDescent="0.3">
      <c r="A628" t="s">
        <v>656</v>
      </c>
      <c r="B628" t="s">
        <v>16</v>
      </c>
      <c r="C628" t="s">
        <v>17</v>
      </c>
      <c r="D628" s="1">
        <v>45933</v>
      </c>
      <c r="E628" s="1">
        <v>45938</v>
      </c>
      <c r="F628" s="1">
        <v>45940</v>
      </c>
      <c r="G628" s="1">
        <v>45942</v>
      </c>
      <c r="H628" t="s">
        <v>18</v>
      </c>
      <c r="I628" t="s">
        <v>19</v>
      </c>
      <c r="J628" s="1">
        <v>45972</v>
      </c>
      <c r="K628">
        <v>5</v>
      </c>
      <c r="L628">
        <v>2</v>
      </c>
      <c r="M628">
        <v>2</v>
      </c>
      <c r="N628">
        <v>1</v>
      </c>
      <c r="O628">
        <v>9</v>
      </c>
      <c r="P628" t="b">
        <f>IF(EPe_BA_intern_assesment_Raw_data___Sheet13[[#This Row],[Customer Rating]]&gt;8,EPe_BA_intern_assesment_Raw_data___Sheet13[[#This Row],[Customer Rating]])</f>
        <v>0</v>
      </c>
      <c r="Q628" t="str">
        <f>IF(AND(EPe_BA_intern_assesment_Raw_data___Sheet13[[#This Row],[Customer Rating]]&gt;6,EPe_BA_intern_assesment_Raw_data___Sheet13[[#This Row],[Customer Rating]]&lt;9), EPe_BA_intern_assesment_Raw_data___Sheet13[[#This Row],[Customer Rating]], "")</f>
        <v/>
      </c>
      <c r="R628">
        <f>IF(EPe_BA_intern_assesment_Raw_data___Sheet13[[#This Row],[Customer Rating]]&lt;7,EPe_BA_intern_assesment_Raw_data___Sheet13[[#This Row],[Customer Rating]])</f>
        <v>1</v>
      </c>
    </row>
    <row r="629" spans="1:18" x14ac:dyDescent="0.3">
      <c r="A629" t="s">
        <v>657</v>
      </c>
      <c r="B629" t="s">
        <v>16</v>
      </c>
      <c r="C629" t="s">
        <v>24</v>
      </c>
      <c r="D629" s="1">
        <v>45945</v>
      </c>
      <c r="E629" s="1"/>
      <c r="F629" s="1"/>
      <c r="G629" s="1"/>
      <c r="H629" t="s">
        <v>25</v>
      </c>
      <c r="I629" t="s">
        <v>103</v>
      </c>
      <c r="J629" s="1"/>
      <c r="P629" t="b">
        <f>IF(EPe_BA_intern_assesment_Raw_data___Sheet13[[#This Row],[Customer Rating]]&gt;8,EPe_BA_intern_assesment_Raw_data___Sheet13[[#This Row],[Customer Rating]])</f>
        <v>0</v>
      </c>
      <c r="Q629" t="str">
        <f>IF(AND(EPe_BA_intern_assesment_Raw_data___Sheet13[[#This Row],[Customer Rating]]&gt;6,EPe_BA_intern_assesment_Raw_data___Sheet13[[#This Row],[Customer Rating]]&lt;9), EPe_BA_intern_assesment_Raw_data___Sheet13[[#This Row],[Customer Rating]], "")</f>
        <v/>
      </c>
      <c r="R629">
        <f>IF(EPe_BA_intern_assesment_Raw_data___Sheet13[[#This Row],[Customer Rating]]&lt;7,EPe_BA_intern_assesment_Raw_data___Sheet13[[#This Row],[Customer Rating]])</f>
        <v>0</v>
      </c>
    </row>
    <row r="630" spans="1:18" x14ac:dyDescent="0.3">
      <c r="A630" t="s">
        <v>658</v>
      </c>
      <c r="B630" t="s">
        <v>21</v>
      </c>
      <c r="C630" t="s">
        <v>17</v>
      </c>
      <c r="D630" s="1">
        <v>45961</v>
      </c>
      <c r="E630" s="1">
        <v>45964</v>
      </c>
      <c r="F630" s="1">
        <v>45965</v>
      </c>
      <c r="G630" s="1">
        <v>45968</v>
      </c>
      <c r="H630" t="s">
        <v>25</v>
      </c>
      <c r="I630" t="s">
        <v>28</v>
      </c>
      <c r="J630" s="1"/>
      <c r="K630">
        <v>3</v>
      </c>
      <c r="L630">
        <v>1</v>
      </c>
      <c r="M630">
        <v>3</v>
      </c>
      <c r="O630">
        <v>7</v>
      </c>
      <c r="P630" t="b">
        <f>IF(EPe_BA_intern_assesment_Raw_data___Sheet13[[#This Row],[Customer Rating]]&gt;8,EPe_BA_intern_assesment_Raw_data___Sheet13[[#This Row],[Customer Rating]])</f>
        <v>0</v>
      </c>
      <c r="Q630" t="str">
        <f>IF(AND(EPe_BA_intern_assesment_Raw_data___Sheet13[[#This Row],[Customer Rating]]&gt;6,EPe_BA_intern_assesment_Raw_data___Sheet13[[#This Row],[Customer Rating]]&lt;9), EPe_BA_intern_assesment_Raw_data___Sheet13[[#This Row],[Customer Rating]], "")</f>
        <v/>
      </c>
      <c r="R630">
        <f>IF(EPe_BA_intern_assesment_Raw_data___Sheet13[[#This Row],[Customer Rating]]&lt;7,EPe_BA_intern_assesment_Raw_data___Sheet13[[#This Row],[Customer Rating]])</f>
        <v>0</v>
      </c>
    </row>
    <row r="631" spans="1:18" x14ac:dyDescent="0.3">
      <c r="A631" t="s">
        <v>659</v>
      </c>
      <c r="B631" t="s">
        <v>34</v>
      </c>
      <c r="C631" t="s">
        <v>17</v>
      </c>
      <c r="D631" s="1">
        <v>45942</v>
      </c>
      <c r="E631" s="1">
        <v>45945</v>
      </c>
      <c r="F631" s="1">
        <v>45946</v>
      </c>
      <c r="G631" s="1">
        <v>45953</v>
      </c>
      <c r="H631" t="s">
        <v>18</v>
      </c>
      <c r="I631" t="s">
        <v>19</v>
      </c>
      <c r="J631" s="1">
        <v>45978</v>
      </c>
      <c r="K631">
        <v>3</v>
      </c>
      <c r="L631">
        <v>1</v>
      </c>
      <c r="M631">
        <v>7</v>
      </c>
      <c r="N631">
        <v>3</v>
      </c>
      <c r="O631">
        <v>11</v>
      </c>
      <c r="P631" t="b">
        <f>IF(EPe_BA_intern_assesment_Raw_data___Sheet13[[#This Row],[Customer Rating]]&gt;8,EPe_BA_intern_assesment_Raw_data___Sheet13[[#This Row],[Customer Rating]])</f>
        <v>0</v>
      </c>
      <c r="Q631" t="str">
        <f>IF(AND(EPe_BA_intern_assesment_Raw_data___Sheet13[[#This Row],[Customer Rating]]&gt;6,EPe_BA_intern_assesment_Raw_data___Sheet13[[#This Row],[Customer Rating]]&lt;9), EPe_BA_intern_assesment_Raw_data___Sheet13[[#This Row],[Customer Rating]], "")</f>
        <v/>
      </c>
      <c r="R631">
        <f>IF(EPe_BA_intern_assesment_Raw_data___Sheet13[[#This Row],[Customer Rating]]&lt;7,EPe_BA_intern_assesment_Raw_data___Sheet13[[#This Row],[Customer Rating]])</f>
        <v>3</v>
      </c>
    </row>
    <row r="632" spans="1:18" x14ac:dyDescent="0.3">
      <c r="A632" t="s">
        <v>660</v>
      </c>
      <c r="B632" t="s">
        <v>16</v>
      </c>
      <c r="C632" t="s">
        <v>32</v>
      </c>
      <c r="D632" s="1">
        <v>45949</v>
      </c>
      <c r="E632" s="1">
        <v>45950</v>
      </c>
      <c r="F632" s="1">
        <v>45955</v>
      </c>
      <c r="G632" s="1">
        <v>45961</v>
      </c>
      <c r="H632" t="s">
        <v>18</v>
      </c>
      <c r="I632" t="s">
        <v>19</v>
      </c>
      <c r="J632" s="1">
        <v>45982</v>
      </c>
      <c r="K632">
        <v>1</v>
      </c>
      <c r="L632">
        <v>5</v>
      </c>
      <c r="M632">
        <v>6</v>
      </c>
      <c r="N632">
        <v>1</v>
      </c>
      <c r="O632">
        <v>12</v>
      </c>
      <c r="P632" t="b">
        <f>IF(EPe_BA_intern_assesment_Raw_data___Sheet13[[#This Row],[Customer Rating]]&gt;8,EPe_BA_intern_assesment_Raw_data___Sheet13[[#This Row],[Customer Rating]])</f>
        <v>0</v>
      </c>
      <c r="Q632" t="str">
        <f>IF(AND(EPe_BA_intern_assesment_Raw_data___Sheet13[[#This Row],[Customer Rating]]&gt;6,EPe_BA_intern_assesment_Raw_data___Sheet13[[#This Row],[Customer Rating]]&lt;9), EPe_BA_intern_assesment_Raw_data___Sheet13[[#This Row],[Customer Rating]], "")</f>
        <v/>
      </c>
      <c r="R632">
        <f>IF(EPe_BA_intern_assesment_Raw_data___Sheet13[[#This Row],[Customer Rating]]&lt;7,EPe_BA_intern_assesment_Raw_data___Sheet13[[#This Row],[Customer Rating]])</f>
        <v>1</v>
      </c>
    </row>
    <row r="633" spans="1:18" x14ac:dyDescent="0.3">
      <c r="A633" t="s">
        <v>661</v>
      </c>
      <c r="B633" t="s">
        <v>16</v>
      </c>
      <c r="C633" t="s">
        <v>24</v>
      </c>
      <c r="D633" s="1">
        <v>45940</v>
      </c>
      <c r="E633" s="1"/>
      <c r="F633" s="1"/>
      <c r="G633" s="1"/>
      <c r="H633" t="s">
        <v>25</v>
      </c>
      <c r="I633" t="s">
        <v>65</v>
      </c>
      <c r="J633" s="1"/>
      <c r="P633" t="b">
        <f>IF(EPe_BA_intern_assesment_Raw_data___Sheet13[[#This Row],[Customer Rating]]&gt;8,EPe_BA_intern_assesment_Raw_data___Sheet13[[#This Row],[Customer Rating]])</f>
        <v>0</v>
      </c>
      <c r="Q633" t="str">
        <f>IF(AND(EPe_BA_intern_assesment_Raw_data___Sheet13[[#This Row],[Customer Rating]]&gt;6,EPe_BA_intern_assesment_Raw_data___Sheet13[[#This Row],[Customer Rating]]&lt;9), EPe_BA_intern_assesment_Raw_data___Sheet13[[#This Row],[Customer Rating]], "")</f>
        <v/>
      </c>
      <c r="R633">
        <f>IF(EPe_BA_intern_assesment_Raw_data___Sheet13[[#This Row],[Customer Rating]]&lt;7,EPe_BA_intern_assesment_Raw_data___Sheet13[[#This Row],[Customer Rating]])</f>
        <v>0</v>
      </c>
    </row>
    <row r="634" spans="1:18" x14ac:dyDescent="0.3">
      <c r="A634" t="s">
        <v>662</v>
      </c>
      <c r="B634" t="s">
        <v>21</v>
      </c>
      <c r="C634" t="s">
        <v>32</v>
      </c>
      <c r="D634" s="1">
        <v>45951</v>
      </c>
      <c r="E634" s="1">
        <v>45952</v>
      </c>
      <c r="F634" s="1">
        <v>45954</v>
      </c>
      <c r="G634" s="1">
        <v>45956</v>
      </c>
      <c r="H634" t="s">
        <v>18</v>
      </c>
      <c r="I634" t="s">
        <v>19</v>
      </c>
      <c r="J634" s="1">
        <v>45982</v>
      </c>
      <c r="K634">
        <v>1</v>
      </c>
      <c r="L634">
        <v>2</v>
      </c>
      <c r="M634">
        <v>2</v>
      </c>
      <c r="N634">
        <v>9</v>
      </c>
      <c r="O634">
        <v>5</v>
      </c>
      <c r="P634">
        <f>IF(EPe_BA_intern_assesment_Raw_data___Sheet13[[#This Row],[Customer Rating]]&gt;8,EPe_BA_intern_assesment_Raw_data___Sheet13[[#This Row],[Customer Rating]])</f>
        <v>9</v>
      </c>
      <c r="Q634" t="str">
        <f>IF(AND(EPe_BA_intern_assesment_Raw_data___Sheet13[[#This Row],[Customer Rating]]&gt;6,EPe_BA_intern_assesment_Raw_data___Sheet13[[#This Row],[Customer Rating]]&lt;9), EPe_BA_intern_assesment_Raw_data___Sheet13[[#This Row],[Customer Rating]], "")</f>
        <v/>
      </c>
      <c r="R634" t="b">
        <f>IF(EPe_BA_intern_assesment_Raw_data___Sheet13[[#This Row],[Customer Rating]]&lt;7,EPe_BA_intern_assesment_Raw_data___Sheet13[[#This Row],[Customer Rating]])</f>
        <v>0</v>
      </c>
    </row>
    <row r="635" spans="1:18" x14ac:dyDescent="0.3">
      <c r="A635" t="s">
        <v>663</v>
      </c>
      <c r="B635" t="s">
        <v>16</v>
      </c>
      <c r="C635" t="s">
        <v>17</v>
      </c>
      <c r="D635" s="1">
        <v>45961</v>
      </c>
      <c r="E635" s="1">
        <v>45964</v>
      </c>
      <c r="F635" s="1">
        <v>45966</v>
      </c>
      <c r="G635" s="1">
        <v>45968</v>
      </c>
      <c r="H635" t="s">
        <v>18</v>
      </c>
      <c r="I635" t="s">
        <v>19</v>
      </c>
      <c r="J635" s="1">
        <v>45987</v>
      </c>
      <c r="K635">
        <v>3</v>
      </c>
      <c r="L635">
        <v>2</v>
      </c>
      <c r="M635">
        <v>2</v>
      </c>
      <c r="N635">
        <v>3</v>
      </c>
      <c r="O635">
        <v>7</v>
      </c>
      <c r="P635" t="b">
        <f>IF(EPe_BA_intern_assesment_Raw_data___Sheet13[[#This Row],[Customer Rating]]&gt;8,EPe_BA_intern_assesment_Raw_data___Sheet13[[#This Row],[Customer Rating]])</f>
        <v>0</v>
      </c>
      <c r="Q635" t="str">
        <f>IF(AND(EPe_BA_intern_assesment_Raw_data___Sheet13[[#This Row],[Customer Rating]]&gt;6,EPe_BA_intern_assesment_Raw_data___Sheet13[[#This Row],[Customer Rating]]&lt;9), EPe_BA_intern_assesment_Raw_data___Sheet13[[#This Row],[Customer Rating]], "")</f>
        <v/>
      </c>
      <c r="R635">
        <f>IF(EPe_BA_intern_assesment_Raw_data___Sheet13[[#This Row],[Customer Rating]]&lt;7,EPe_BA_intern_assesment_Raw_data___Sheet13[[#This Row],[Customer Rating]])</f>
        <v>3</v>
      </c>
    </row>
    <row r="636" spans="1:18" x14ac:dyDescent="0.3">
      <c r="A636" t="s">
        <v>664</v>
      </c>
      <c r="B636" t="s">
        <v>23</v>
      </c>
      <c r="C636" t="s">
        <v>17</v>
      </c>
      <c r="D636" s="1">
        <v>45944</v>
      </c>
      <c r="E636" s="1">
        <v>45947</v>
      </c>
      <c r="F636" s="1">
        <v>45949</v>
      </c>
      <c r="G636" s="1">
        <v>45951</v>
      </c>
      <c r="H636" t="s">
        <v>18</v>
      </c>
      <c r="I636" t="s">
        <v>19</v>
      </c>
      <c r="J636" s="1">
        <v>45966</v>
      </c>
      <c r="K636">
        <v>3</v>
      </c>
      <c r="L636">
        <v>2</v>
      </c>
      <c r="M636">
        <v>2</v>
      </c>
      <c r="N636">
        <v>5</v>
      </c>
      <c r="O636">
        <v>7</v>
      </c>
      <c r="P636" t="b">
        <f>IF(EPe_BA_intern_assesment_Raw_data___Sheet13[[#This Row],[Customer Rating]]&gt;8,EPe_BA_intern_assesment_Raw_data___Sheet13[[#This Row],[Customer Rating]])</f>
        <v>0</v>
      </c>
      <c r="Q636" t="str">
        <f>IF(AND(EPe_BA_intern_assesment_Raw_data___Sheet13[[#This Row],[Customer Rating]]&gt;6,EPe_BA_intern_assesment_Raw_data___Sheet13[[#This Row],[Customer Rating]]&lt;9), EPe_BA_intern_assesment_Raw_data___Sheet13[[#This Row],[Customer Rating]], "")</f>
        <v/>
      </c>
      <c r="R636">
        <f>IF(EPe_BA_intern_assesment_Raw_data___Sheet13[[#This Row],[Customer Rating]]&lt;7,EPe_BA_intern_assesment_Raw_data___Sheet13[[#This Row],[Customer Rating]])</f>
        <v>5</v>
      </c>
    </row>
    <row r="637" spans="1:18" x14ac:dyDescent="0.3">
      <c r="A637" t="s">
        <v>665</v>
      </c>
      <c r="B637" t="s">
        <v>23</v>
      </c>
      <c r="C637" t="s">
        <v>32</v>
      </c>
      <c r="D637" s="1">
        <v>45953</v>
      </c>
      <c r="E637" s="1">
        <v>45956</v>
      </c>
      <c r="F637" s="1">
        <v>45961</v>
      </c>
      <c r="G637" s="1">
        <v>45964</v>
      </c>
      <c r="H637" t="s">
        <v>25</v>
      </c>
      <c r="I637" t="s">
        <v>103</v>
      </c>
      <c r="J637" s="1"/>
      <c r="K637">
        <v>3</v>
      </c>
      <c r="L637">
        <v>5</v>
      </c>
      <c r="M637">
        <v>3</v>
      </c>
      <c r="O637">
        <v>11</v>
      </c>
      <c r="P637" t="b">
        <f>IF(EPe_BA_intern_assesment_Raw_data___Sheet13[[#This Row],[Customer Rating]]&gt;8,EPe_BA_intern_assesment_Raw_data___Sheet13[[#This Row],[Customer Rating]])</f>
        <v>0</v>
      </c>
      <c r="Q637" t="str">
        <f>IF(AND(EPe_BA_intern_assesment_Raw_data___Sheet13[[#This Row],[Customer Rating]]&gt;6,EPe_BA_intern_assesment_Raw_data___Sheet13[[#This Row],[Customer Rating]]&lt;9), EPe_BA_intern_assesment_Raw_data___Sheet13[[#This Row],[Customer Rating]], "")</f>
        <v/>
      </c>
      <c r="R637">
        <f>IF(EPe_BA_intern_assesment_Raw_data___Sheet13[[#This Row],[Customer Rating]]&lt;7,EPe_BA_intern_assesment_Raw_data___Sheet13[[#This Row],[Customer Rating]])</f>
        <v>0</v>
      </c>
    </row>
    <row r="638" spans="1:18" x14ac:dyDescent="0.3">
      <c r="A638" t="s">
        <v>666</v>
      </c>
      <c r="B638" t="s">
        <v>34</v>
      </c>
      <c r="C638" t="s">
        <v>17</v>
      </c>
      <c r="D638" s="1">
        <v>45939</v>
      </c>
      <c r="E638" s="1">
        <v>45943</v>
      </c>
      <c r="F638" s="1">
        <v>45948</v>
      </c>
      <c r="G638" s="1">
        <v>45950</v>
      </c>
      <c r="H638" t="s">
        <v>18</v>
      </c>
      <c r="I638" t="s">
        <v>19</v>
      </c>
      <c r="J638" s="1">
        <v>45977</v>
      </c>
      <c r="K638">
        <v>4</v>
      </c>
      <c r="L638">
        <v>5</v>
      </c>
      <c r="M638">
        <v>2</v>
      </c>
      <c r="N638">
        <v>3</v>
      </c>
      <c r="O638">
        <v>11</v>
      </c>
      <c r="P638" t="b">
        <f>IF(EPe_BA_intern_assesment_Raw_data___Sheet13[[#This Row],[Customer Rating]]&gt;8,EPe_BA_intern_assesment_Raw_data___Sheet13[[#This Row],[Customer Rating]])</f>
        <v>0</v>
      </c>
      <c r="Q638" t="str">
        <f>IF(AND(EPe_BA_intern_assesment_Raw_data___Sheet13[[#This Row],[Customer Rating]]&gt;6,EPe_BA_intern_assesment_Raw_data___Sheet13[[#This Row],[Customer Rating]]&lt;9), EPe_BA_intern_assesment_Raw_data___Sheet13[[#This Row],[Customer Rating]], "")</f>
        <v/>
      </c>
      <c r="R638">
        <f>IF(EPe_BA_intern_assesment_Raw_data___Sheet13[[#This Row],[Customer Rating]]&lt;7,EPe_BA_intern_assesment_Raw_data___Sheet13[[#This Row],[Customer Rating]])</f>
        <v>3</v>
      </c>
    </row>
    <row r="639" spans="1:18" x14ac:dyDescent="0.3">
      <c r="A639" t="s">
        <v>667</v>
      </c>
      <c r="B639" t="s">
        <v>16</v>
      </c>
      <c r="C639" t="s">
        <v>32</v>
      </c>
      <c r="D639" s="1">
        <v>45945</v>
      </c>
      <c r="E639" s="1">
        <v>45950</v>
      </c>
      <c r="F639" s="1">
        <v>45953</v>
      </c>
      <c r="G639" s="1">
        <v>45958</v>
      </c>
      <c r="H639" t="s">
        <v>18</v>
      </c>
      <c r="I639" t="s">
        <v>19</v>
      </c>
      <c r="J639" s="1">
        <v>45973</v>
      </c>
      <c r="K639">
        <v>5</v>
      </c>
      <c r="L639">
        <v>3</v>
      </c>
      <c r="M639">
        <v>5</v>
      </c>
      <c r="N639">
        <v>2</v>
      </c>
      <c r="O639">
        <v>13</v>
      </c>
      <c r="P639" t="b">
        <f>IF(EPe_BA_intern_assesment_Raw_data___Sheet13[[#This Row],[Customer Rating]]&gt;8,EPe_BA_intern_assesment_Raw_data___Sheet13[[#This Row],[Customer Rating]])</f>
        <v>0</v>
      </c>
      <c r="Q639" t="str">
        <f>IF(AND(EPe_BA_intern_assesment_Raw_data___Sheet13[[#This Row],[Customer Rating]]&gt;6,EPe_BA_intern_assesment_Raw_data___Sheet13[[#This Row],[Customer Rating]]&lt;9), EPe_BA_intern_assesment_Raw_data___Sheet13[[#This Row],[Customer Rating]], "")</f>
        <v/>
      </c>
      <c r="R639">
        <f>IF(EPe_BA_intern_assesment_Raw_data___Sheet13[[#This Row],[Customer Rating]]&lt;7,EPe_BA_intern_assesment_Raw_data___Sheet13[[#This Row],[Customer Rating]])</f>
        <v>2</v>
      </c>
    </row>
    <row r="640" spans="1:18" x14ac:dyDescent="0.3">
      <c r="A640" t="s">
        <v>668</v>
      </c>
      <c r="B640" t="s">
        <v>21</v>
      </c>
      <c r="C640" t="s">
        <v>32</v>
      </c>
      <c r="D640" s="1">
        <v>45958</v>
      </c>
      <c r="E640" s="1">
        <v>45962</v>
      </c>
      <c r="F640" s="1">
        <v>45965</v>
      </c>
      <c r="G640" s="1">
        <v>45969</v>
      </c>
      <c r="H640" t="s">
        <v>18</v>
      </c>
      <c r="I640" t="s">
        <v>19</v>
      </c>
      <c r="J640" s="1">
        <v>45988</v>
      </c>
      <c r="K640">
        <v>4</v>
      </c>
      <c r="L640">
        <v>3</v>
      </c>
      <c r="M640">
        <v>4</v>
      </c>
      <c r="N640">
        <v>1</v>
      </c>
      <c r="O640">
        <v>11</v>
      </c>
      <c r="P640" t="b">
        <f>IF(EPe_BA_intern_assesment_Raw_data___Sheet13[[#This Row],[Customer Rating]]&gt;8,EPe_BA_intern_assesment_Raw_data___Sheet13[[#This Row],[Customer Rating]])</f>
        <v>0</v>
      </c>
      <c r="Q640" t="str">
        <f>IF(AND(EPe_BA_intern_assesment_Raw_data___Sheet13[[#This Row],[Customer Rating]]&gt;6,EPe_BA_intern_assesment_Raw_data___Sheet13[[#This Row],[Customer Rating]]&lt;9), EPe_BA_intern_assesment_Raw_data___Sheet13[[#This Row],[Customer Rating]], "")</f>
        <v/>
      </c>
      <c r="R640">
        <f>IF(EPe_BA_intern_assesment_Raw_data___Sheet13[[#This Row],[Customer Rating]]&lt;7,EPe_BA_intern_assesment_Raw_data___Sheet13[[#This Row],[Customer Rating]])</f>
        <v>1</v>
      </c>
    </row>
    <row r="641" spans="1:18" x14ac:dyDescent="0.3">
      <c r="A641" t="s">
        <v>669</v>
      </c>
      <c r="B641" t="s">
        <v>23</v>
      </c>
      <c r="C641" t="s">
        <v>17</v>
      </c>
      <c r="D641" s="1">
        <v>45940</v>
      </c>
      <c r="E641" s="1">
        <v>45942</v>
      </c>
      <c r="F641" s="1">
        <v>45945</v>
      </c>
      <c r="G641" s="1">
        <v>45950</v>
      </c>
      <c r="H641" t="s">
        <v>18</v>
      </c>
      <c r="I641" t="s">
        <v>19</v>
      </c>
      <c r="J641" s="1">
        <v>45963</v>
      </c>
      <c r="K641">
        <v>2</v>
      </c>
      <c r="L641">
        <v>3</v>
      </c>
      <c r="M641">
        <v>5</v>
      </c>
      <c r="N641">
        <v>8</v>
      </c>
      <c r="O641">
        <v>10</v>
      </c>
      <c r="P641" t="b">
        <f>IF(EPe_BA_intern_assesment_Raw_data___Sheet13[[#This Row],[Customer Rating]]&gt;8,EPe_BA_intern_assesment_Raw_data___Sheet13[[#This Row],[Customer Rating]])</f>
        <v>0</v>
      </c>
      <c r="Q641">
        <f>IF(AND(EPe_BA_intern_assesment_Raw_data___Sheet13[[#This Row],[Customer Rating]]&gt;6,EPe_BA_intern_assesment_Raw_data___Sheet13[[#This Row],[Customer Rating]]&lt;9), EPe_BA_intern_assesment_Raw_data___Sheet13[[#This Row],[Customer Rating]], "")</f>
        <v>8</v>
      </c>
      <c r="R641" t="b">
        <f>IF(EPe_BA_intern_assesment_Raw_data___Sheet13[[#This Row],[Customer Rating]]&lt;7,EPe_BA_intern_assesment_Raw_data___Sheet13[[#This Row],[Customer Rating]])</f>
        <v>0</v>
      </c>
    </row>
    <row r="642" spans="1:18" x14ac:dyDescent="0.3">
      <c r="A642" t="s">
        <v>670</v>
      </c>
      <c r="B642" t="s">
        <v>21</v>
      </c>
      <c r="C642" t="s">
        <v>24</v>
      </c>
      <c r="D642" s="1">
        <v>45937</v>
      </c>
      <c r="E642" s="1"/>
      <c r="F642" s="1"/>
      <c r="G642" s="1"/>
      <c r="H642" t="s">
        <v>25</v>
      </c>
      <c r="I642" t="s">
        <v>28</v>
      </c>
      <c r="J642" s="1"/>
      <c r="P642" t="b">
        <f>IF(EPe_BA_intern_assesment_Raw_data___Sheet13[[#This Row],[Customer Rating]]&gt;8,EPe_BA_intern_assesment_Raw_data___Sheet13[[#This Row],[Customer Rating]])</f>
        <v>0</v>
      </c>
      <c r="Q642" t="str">
        <f>IF(AND(EPe_BA_intern_assesment_Raw_data___Sheet13[[#This Row],[Customer Rating]]&gt;6,EPe_BA_intern_assesment_Raw_data___Sheet13[[#This Row],[Customer Rating]]&lt;9), EPe_BA_intern_assesment_Raw_data___Sheet13[[#This Row],[Customer Rating]], "")</f>
        <v/>
      </c>
      <c r="R642">
        <f>IF(EPe_BA_intern_assesment_Raw_data___Sheet13[[#This Row],[Customer Rating]]&lt;7,EPe_BA_intern_assesment_Raw_data___Sheet13[[#This Row],[Customer Rating]])</f>
        <v>0</v>
      </c>
    </row>
    <row r="643" spans="1:18" x14ac:dyDescent="0.3">
      <c r="A643" t="s">
        <v>671</v>
      </c>
      <c r="B643" t="s">
        <v>21</v>
      </c>
      <c r="C643" t="s">
        <v>17</v>
      </c>
      <c r="D643" s="1">
        <v>45943</v>
      </c>
      <c r="E643" s="1">
        <v>45947</v>
      </c>
      <c r="F643" s="1">
        <v>45951</v>
      </c>
      <c r="G643" s="1">
        <v>45954</v>
      </c>
      <c r="H643" t="s">
        <v>18</v>
      </c>
      <c r="I643" t="s">
        <v>19</v>
      </c>
      <c r="J643" s="1">
        <v>45979</v>
      </c>
      <c r="K643">
        <v>4</v>
      </c>
      <c r="L643">
        <v>4</v>
      </c>
      <c r="M643">
        <v>3</v>
      </c>
      <c r="N643">
        <v>9</v>
      </c>
      <c r="O643">
        <v>11</v>
      </c>
      <c r="P643">
        <f>IF(EPe_BA_intern_assesment_Raw_data___Sheet13[[#This Row],[Customer Rating]]&gt;8,EPe_BA_intern_assesment_Raw_data___Sheet13[[#This Row],[Customer Rating]])</f>
        <v>9</v>
      </c>
      <c r="Q643" t="str">
        <f>IF(AND(EPe_BA_intern_assesment_Raw_data___Sheet13[[#This Row],[Customer Rating]]&gt;6,EPe_BA_intern_assesment_Raw_data___Sheet13[[#This Row],[Customer Rating]]&lt;9), EPe_BA_intern_assesment_Raw_data___Sheet13[[#This Row],[Customer Rating]], "")</f>
        <v/>
      </c>
      <c r="R643" t="b">
        <f>IF(EPe_BA_intern_assesment_Raw_data___Sheet13[[#This Row],[Customer Rating]]&lt;7,EPe_BA_intern_assesment_Raw_data___Sheet13[[#This Row],[Customer Rating]])</f>
        <v>0</v>
      </c>
    </row>
    <row r="644" spans="1:18" x14ac:dyDescent="0.3">
      <c r="A644" t="s">
        <v>672</v>
      </c>
      <c r="B644" t="s">
        <v>23</v>
      </c>
      <c r="C644" t="s">
        <v>17</v>
      </c>
      <c r="D644" s="1">
        <v>45958</v>
      </c>
      <c r="E644" s="1">
        <v>45961</v>
      </c>
      <c r="F644" s="1">
        <v>45962</v>
      </c>
      <c r="G644" s="1">
        <v>45965</v>
      </c>
      <c r="H644" t="s">
        <v>18</v>
      </c>
      <c r="I644" t="s">
        <v>19</v>
      </c>
      <c r="J644" s="1">
        <v>45979</v>
      </c>
      <c r="K644">
        <v>3</v>
      </c>
      <c r="L644">
        <v>1</v>
      </c>
      <c r="M644">
        <v>3</v>
      </c>
      <c r="N644">
        <v>4</v>
      </c>
      <c r="O644">
        <v>7</v>
      </c>
      <c r="P644" t="b">
        <f>IF(EPe_BA_intern_assesment_Raw_data___Sheet13[[#This Row],[Customer Rating]]&gt;8,EPe_BA_intern_assesment_Raw_data___Sheet13[[#This Row],[Customer Rating]])</f>
        <v>0</v>
      </c>
      <c r="Q644" t="str">
        <f>IF(AND(EPe_BA_intern_assesment_Raw_data___Sheet13[[#This Row],[Customer Rating]]&gt;6,EPe_BA_intern_assesment_Raw_data___Sheet13[[#This Row],[Customer Rating]]&lt;9), EPe_BA_intern_assesment_Raw_data___Sheet13[[#This Row],[Customer Rating]], "")</f>
        <v/>
      </c>
      <c r="R644">
        <f>IF(EPe_BA_intern_assesment_Raw_data___Sheet13[[#This Row],[Customer Rating]]&lt;7,EPe_BA_intern_assesment_Raw_data___Sheet13[[#This Row],[Customer Rating]])</f>
        <v>4</v>
      </c>
    </row>
    <row r="645" spans="1:18" x14ac:dyDescent="0.3">
      <c r="A645" t="s">
        <v>673</v>
      </c>
      <c r="B645" t="s">
        <v>21</v>
      </c>
      <c r="C645" t="s">
        <v>32</v>
      </c>
      <c r="D645" s="1">
        <v>45946</v>
      </c>
      <c r="E645" s="1">
        <v>45950</v>
      </c>
      <c r="F645" s="1">
        <v>45953</v>
      </c>
      <c r="G645" s="1">
        <v>45955</v>
      </c>
      <c r="H645" t="s">
        <v>18</v>
      </c>
      <c r="I645" t="s">
        <v>19</v>
      </c>
      <c r="J645" s="1">
        <v>45973</v>
      </c>
      <c r="K645">
        <v>4</v>
      </c>
      <c r="L645">
        <v>3</v>
      </c>
      <c r="M645">
        <v>2</v>
      </c>
      <c r="N645">
        <v>4</v>
      </c>
      <c r="O645">
        <v>9</v>
      </c>
      <c r="P645" t="b">
        <f>IF(EPe_BA_intern_assesment_Raw_data___Sheet13[[#This Row],[Customer Rating]]&gt;8,EPe_BA_intern_assesment_Raw_data___Sheet13[[#This Row],[Customer Rating]])</f>
        <v>0</v>
      </c>
      <c r="Q645" t="str">
        <f>IF(AND(EPe_BA_intern_assesment_Raw_data___Sheet13[[#This Row],[Customer Rating]]&gt;6,EPe_BA_intern_assesment_Raw_data___Sheet13[[#This Row],[Customer Rating]]&lt;9), EPe_BA_intern_assesment_Raw_data___Sheet13[[#This Row],[Customer Rating]], "")</f>
        <v/>
      </c>
      <c r="R645">
        <f>IF(EPe_BA_intern_assesment_Raw_data___Sheet13[[#This Row],[Customer Rating]]&lt;7,EPe_BA_intern_assesment_Raw_data___Sheet13[[#This Row],[Customer Rating]])</f>
        <v>4</v>
      </c>
    </row>
    <row r="646" spans="1:18" x14ac:dyDescent="0.3">
      <c r="A646" t="s">
        <v>674</v>
      </c>
      <c r="B646" t="s">
        <v>23</v>
      </c>
      <c r="C646" t="s">
        <v>32</v>
      </c>
      <c r="D646" s="1">
        <v>45934</v>
      </c>
      <c r="E646" s="1">
        <v>45935</v>
      </c>
      <c r="F646" s="1">
        <v>45939</v>
      </c>
      <c r="G646" s="1">
        <v>45945</v>
      </c>
      <c r="H646" t="s">
        <v>18</v>
      </c>
      <c r="I646" t="s">
        <v>19</v>
      </c>
      <c r="J646" s="1">
        <v>45972</v>
      </c>
      <c r="K646">
        <v>1</v>
      </c>
      <c r="L646">
        <v>4</v>
      </c>
      <c r="M646">
        <v>6</v>
      </c>
      <c r="N646">
        <v>1</v>
      </c>
      <c r="O646">
        <v>11</v>
      </c>
      <c r="P646" t="b">
        <f>IF(EPe_BA_intern_assesment_Raw_data___Sheet13[[#This Row],[Customer Rating]]&gt;8,EPe_BA_intern_assesment_Raw_data___Sheet13[[#This Row],[Customer Rating]])</f>
        <v>0</v>
      </c>
      <c r="Q646" t="str">
        <f>IF(AND(EPe_BA_intern_assesment_Raw_data___Sheet13[[#This Row],[Customer Rating]]&gt;6,EPe_BA_intern_assesment_Raw_data___Sheet13[[#This Row],[Customer Rating]]&lt;9), EPe_BA_intern_assesment_Raw_data___Sheet13[[#This Row],[Customer Rating]], "")</f>
        <v/>
      </c>
      <c r="R646">
        <f>IF(EPe_BA_intern_assesment_Raw_data___Sheet13[[#This Row],[Customer Rating]]&lt;7,EPe_BA_intern_assesment_Raw_data___Sheet13[[#This Row],[Customer Rating]])</f>
        <v>1</v>
      </c>
    </row>
    <row r="647" spans="1:18" x14ac:dyDescent="0.3">
      <c r="A647" t="s">
        <v>675</v>
      </c>
      <c r="B647" t="s">
        <v>21</v>
      </c>
      <c r="C647" t="s">
        <v>32</v>
      </c>
      <c r="D647" s="1">
        <v>45938</v>
      </c>
      <c r="E647" s="1">
        <v>45941</v>
      </c>
      <c r="F647" s="1">
        <v>45945</v>
      </c>
      <c r="G647" s="1">
        <v>45952</v>
      </c>
      <c r="H647" t="s">
        <v>18</v>
      </c>
      <c r="I647" t="s">
        <v>19</v>
      </c>
      <c r="J647" s="1">
        <v>45967</v>
      </c>
      <c r="K647">
        <v>3</v>
      </c>
      <c r="L647">
        <v>4</v>
      </c>
      <c r="M647">
        <v>7</v>
      </c>
      <c r="N647">
        <v>0</v>
      </c>
      <c r="O647">
        <v>14</v>
      </c>
      <c r="P647" t="b">
        <f>IF(EPe_BA_intern_assesment_Raw_data___Sheet13[[#This Row],[Customer Rating]]&gt;8,EPe_BA_intern_assesment_Raw_data___Sheet13[[#This Row],[Customer Rating]])</f>
        <v>0</v>
      </c>
      <c r="Q647" t="str">
        <f>IF(AND(EPe_BA_intern_assesment_Raw_data___Sheet13[[#This Row],[Customer Rating]]&gt;6,EPe_BA_intern_assesment_Raw_data___Sheet13[[#This Row],[Customer Rating]]&lt;9), EPe_BA_intern_assesment_Raw_data___Sheet13[[#This Row],[Customer Rating]], "")</f>
        <v/>
      </c>
      <c r="R647">
        <f>IF(EPe_BA_intern_assesment_Raw_data___Sheet13[[#This Row],[Customer Rating]]&lt;7,EPe_BA_intern_assesment_Raw_data___Sheet13[[#This Row],[Customer Rating]])</f>
        <v>0</v>
      </c>
    </row>
    <row r="648" spans="1:18" x14ac:dyDescent="0.3">
      <c r="A648" t="s">
        <v>676</v>
      </c>
      <c r="B648" t="s">
        <v>23</v>
      </c>
      <c r="C648" t="s">
        <v>32</v>
      </c>
      <c r="D648" s="1">
        <v>45943</v>
      </c>
      <c r="E648" s="1">
        <v>45948</v>
      </c>
      <c r="F648" s="1">
        <v>45953</v>
      </c>
      <c r="G648" s="1">
        <v>45960</v>
      </c>
      <c r="H648" t="s">
        <v>18</v>
      </c>
      <c r="I648" t="s">
        <v>19</v>
      </c>
      <c r="J648" s="1">
        <v>45980</v>
      </c>
      <c r="K648">
        <v>5</v>
      </c>
      <c r="L648">
        <v>5</v>
      </c>
      <c r="M648">
        <v>7</v>
      </c>
      <c r="N648">
        <v>6</v>
      </c>
      <c r="O648">
        <v>17</v>
      </c>
      <c r="P648" t="b">
        <f>IF(EPe_BA_intern_assesment_Raw_data___Sheet13[[#This Row],[Customer Rating]]&gt;8,EPe_BA_intern_assesment_Raw_data___Sheet13[[#This Row],[Customer Rating]])</f>
        <v>0</v>
      </c>
      <c r="Q648" t="str">
        <f>IF(AND(EPe_BA_intern_assesment_Raw_data___Sheet13[[#This Row],[Customer Rating]]&gt;6,EPe_BA_intern_assesment_Raw_data___Sheet13[[#This Row],[Customer Rating]]&lt;9), EPe_BA_intern_assesment_Raw_data___Sheet13[[#This Row],[Customer Rating]], "")</f>
        <v/>
      </c>
      <c r="R648">
        <f>IF(EPe_BA_intern_assesment_Raw_data___Sheet13[[#This Row],[Customer Rating]]&lt;7,EPe_BA_intern_assesment_Raw_data___Sheet13[[#This Row],[Customer Rating]])</f>
        <v>6</v>
      </c>
    </row>
    <row r="649" spans="1:18" x14ac:dyDescent="0.3">
      <c r="A649" t="s">
        <v>677</v>
      </c>
      <c r="B649" t="s">
        <v>16</v>
      </c>
      <c r="C649" t="s">
        <v>17</v>
      </c>
      <c r="D649" s="1">
        <v>45949</v>
      </c>
      <c r="E649" s="1">
        <v>45953</v>
      </c>
      <c r="F649" s="1">
        <v>45955</v>
      </c>
      <c r="G649" s="1">
        <v>45962</v>
      </c>
      <c r="H649" t="s">
        <v>18</v>
      </c>
      <c r="I649" t="s">
        <v>19</v>
      </c>
      <c r="J649" s="1">
        <v>45992</v>
      </c>
      <c r="K649">
        <v>4</v>
      </c>
      <c r="L649">
        <v>2</v>
      </c>
      <c r="M649">
        <v>7</v>
      </c>
      <c r="N649">
        <v>5</v>
      </c>
      <c r="O649">
        <v>13</v>
      </c>
      <c r="P649" t="b">
        <f>IF(EPe_BA_intern_assesment_Raw_data___Sheet13[[#This Row],[Customer Rating]]&gt;8,EPe_BA_intern_assesment_Raw_data___Sheet13[[#This Row],[Customer Rating]])</f>
        <v>0</v>
      </c>
      <c r="Q649" t="str">
        <f>IF(AND(EPe_BA_intern_assesment_Raw_data___Sheet13[[#This Row],[Customer Rating]]&gt;6,EPe_BA_intern_assesment_Raw_data___Sheet13[[#This Row],[Customer Rating]]&lt;9), EPe_BA_intern_assesment_Raw_data___Sheet13[[#This Row],[Customer Rating]], "")</f>
        <v/>
      </c>
      <c r="R649">
        <f>IF(EPe_BA_intern_assesment_Raw_data___Sheet13[[#This Row],[Customer Rating]]&lt;7,EPe_BA_intern_assesment_Raw_data___Sheet13[[#This Row],[Customer Rating]])</f>
        <v>5</v>
      </c>
    </row>
    <row r="650" spans="1:18" x14ac:dyDescent="0.3">
      <c r="A650" t="s">
        <v>678</v>
      </c>
      <c r="B650" t="s">
        <v>34</v>
      </c>
      <c r="C650" t="s">
        <v>17</v>
      </c>
      <c r="D650" s="1">
        <v>45942</v>
      </c>
      <c r="E650" s="1">
        <v>45945</v>
      </c>
      <c r="F650" s="1">
        <v>45947</v>
      </c>
      <c r="G650" s="1">
        <v>45952</v>
      </c>
      <c r="H650" t="s">
        <v>18</v>
      </c>
      <c r="I650" t="s">
        <v>19</v>
      </c>
      <c r="J650" s="1">
        <v>45964</v>
      </c>
      <c r="K650">
        <v>3</v>
      </c>
      <c r="L650">
        <v>2</v>
      </c>
      <c r="M650">
        <v>5</v>
      </c>
      <c r="N650">
        <v>0</v>
      </c>
      <c r="O650">
        <v>10</v>
      </c>
      <c r="P650" t="b">
        <f>IF(EPe_BA_intern_assesment_Raw_data___Sheet13[[#This Row],[Customer Rating]]&gt;8,EPe_BA_intern_assesment_Raw_data___Sheet13[[#This Row],[Customer Rating]])</f>
        <v>0</v>
      </c>
      <c r="Q650" t="str">
        <f>IF(AND(EPe_BA_intern_assesment_Raw_data___Sheet13[[#This Row],[Customer Rating]]&gt;6,EPe_BA_intern_assesment_Raw_data___Sheet13[[#This Row],[Customer Rating]]&lt;9), EPe_BA_intern_assesment_Raw_data___Sheet13[[#This Row],[Customer Rating]], "")</f>
        <v/>
      </c>
      <c r="R650">
        <f>IF(EPe_BA_intern_assesment_Raw_data___Sheet13[[#This Row],[Customer Rating]]&lt;7,EPe_BA_intern_assesment_Raw_data___Sheet13[[#This Row],[Customer Rating]])</f>
        <v>0</v>
      </c>
    </row>
    <row r="651" spans="1:18" x14ac:dyDescent="0.3">
      <c r="A651" t="s">
        <v>679</v>
      </c>
      <c r="B651" t="s">
        <v>23</v>
      </c>
      <c r="C651" t="s">
        <v>17</v>
      </c>
      <c r="D651" s="1">
        <v>45949</v>
      </c>
      <c r="E651" s="1">
        <v>45950</v>
      </c>
      <c r="F651" s="1">
        <v>45953</v>
      </c>
      <c r="G651" s="1">
        <v>45956</v>
      </c>
      <c r="H651" t="s">
        <v>25</v>
      </c>
      <c r="I651" t="s">
        <v>26</v>
      </c>
      <c r="J651" s="1"/>
      <c r="K651">
        <v>1</v>
      </c>
      <c r="L651">
        <v>3</v>
      </c>
      <c r="M651">
        <v>3</v>
      </c>
      <c r="O651">
        <v>7</v>
      </c>
      <c r="P651" t="b">
        <f>IF(EPe_BA_intern_assesment_Raw_data___Sheet13[[#This Row],[Customer Rating]]&gt;8,EPe_BA_intern_assesment_Raw_data___Sheet13[[#This Row],[Customer Rating]])</f>
        <v>0</v>
      </c>
      <c r="Q651" t="str">
        <f>IF(AND(EPe_BA_intern_assesment_Raw_data___Sheet13[[#This Row],[Customer Rating]]&gt;6,EPe_BA_intern_assesment_Raw_data___Sheet13[[#This Row],[Customer Rating]]&lt;9), EPe_BA_intern_assesment_Raw_data___Sheet13[[#This Row],[Customer Rating]], "")</f>
        <v/>
      </c>
      <c r="R651">
        <f>IF(EPe_BA_intern_assesment_Raw_data___Sheet13[[#This Row],[Customer Rating]]&lt;7,EPe_BA_intern_assesment_Raw_data___Sheet13[[#This Row],[Customer Rating]])</f>
        <v>0</v>
      </c>
    </row>
    <row r="652" spans="1:18" x14ac:dyDescent="0.3">
      <c r="A652" t="s">
        <v>680</v>
      </c>
      <c r="B652" t="s">
        <v>23</v>
      </c>
      <c r="C652" t="s">
        <v>32</v>
      </c>
      <c r="D652" s="1">
        <v>45940</v>
      </c>
      <c r="E652" s="1">
        <v>45941</v>
      </c>
      <c r="F652" s="1">
        <v>45942</v>
      </c>
      <c r="G652" s="1">
        <v>45946</v>
      </c>
      <c r="H652" t="s">
        <v>25</v>
      </c>
      <c r="I652" t="s">
        <v>103</v>
      </c>
      <c r="J652" s="1"/>
      <c r="K652">
        <v>1</v>
      </c>
      <c r="L652">
        <v>1</v>
      </c>
      <c r="M652">
        <v>4</v>
      </c>
      <c r="O652">
        <v>6</v>
      </c>
      <c r="P652" t="b">
        <f>IF(EPe_BA_intern_assesment_Raw_data___Sheet13[[#This Row],[Customer Rating]]&gt;8,EPe_BA_intern_assesment_Raw_data___Sheet13[[#This Row],[Customer Rating]])</f>
        <v>0</v>
      </c>
      <c r="Q652" t="str">
        <f>IF(AND(EPe_BA_intern_assesment_Raw_data___Sheet13[[#This Row],[Customer Rating]]&gt;6,EPe_BA_intern_assesment_Raw_data___Sheet13[[#This Row],[Customer Rating]]&lt;9), EPe_BA_intern_assesment_Raw_data___Sheet13[[#This Row],[Customer Rating]], "")</f>
        <v/>
      </c>
      <c r="R652">
        <f>IF(EPe_BA_intern_assesment_Raw_data___Sheet13[[#This Row],[Customer Rating]]&lt;7,EPe_BA_intern_assesment_Raw_data___Sheet13[[#This Row],[Customer Rating]])</f>
        <v>0</v>
      </c>
    </row>
    <row r="653" spans="1:18" x14ac:dyDescent="0.3">
      <c r="A653" t="s">
        <v>681</v>
      </c>
      <c r="B653" t="s">
        <v>34</v>
      </c>
      <c r="C653" t="s">
        <v>17</v>
      </c>
      <c r="D653" s="1">
        <v>45953</v>
      </c>
      <c r="E653" s="1">
        <v>45957</v>
      </c>
      <c r="F653" s="1">
        <v>45958</v>
      </c>
      <c r="G653" s="1">
        <v>45961</v>
      </c>
      <c r="H653" t="s">
        <v>25</v>
      </c>
      <c r="I653" t="s">
        <v>103</v>
      </c>
      <c r="J653" s="1"/>
      <c r="K653">
        <v>4</v>
      </c>
      <c r="L653">
        <v>1</v>
      </c>
      <c r="M653">
        <v>3</v>
      </c>
      <c r="O653">
        <v>8</v>
      </c>
      <c r="P653" t="b">
        <f>IF(EPe_BA_intern_assesment_Raw_data___Sheet13[[#This Row],[Customer Rating]]&gt;8,EPe_BA_intern_assesment_Raw_data___Sheet13[[#This Row],[Customer Rating]])</f>
        <v>0</v>
      </c>
      <c r="Q653" t="str">
        <f>IF(AND(EPe_BA_intern_assesment_Raw_data___Sheet13[[#This Row],[Customer Rating]]&gt;6,EPe_BA_intern_assesment_Raw_data___Sheet13[[#This Row],[Customer Rating]]&lt;9), EPe_BA_intern_assesment_Raw_data___Sheet13[[#This Row],[Customer Rating]], "")</f>
        <v/>
      </c>
      <c r="R653">
        <f>IF(EPe_BA_intern_assesment_Raw_data___Sheet13[[#This Row],[Customer Rating]]&lt;7,EPe_BA_intern_assesment_Raw_data___Sheet13[[#This Row],[Customer Rating]])</f>
        <v>0</v>
      </c>
    </row>
    <row r="654" spans="1:18" x14ac:dyDescent="0.3">
      <c r="A654" t="s">
        <v>682</v>
      </c>
      <c r="B654" t="s">
        <v>23</v>
      </c>
      <c r="C654" t="s">
        <v>24</v>
      </c>
      <c r="D654" s="1">
        <v>45940</v>
      </c>
      <c r="E654" s="1"/>
      <c r="F654" s="1"/>
      <c r="G654" s="1"/>
      <c r="H654" t="s">
        <v>25</v>
      </c>
      <c r="I654" t="s">
        <v>28</v>
      </c>
      <c r="J654" s="1"/>
      <c r="P654" t="b">
        <f>IF(EPe_BA_intern_assesment_Raw_data___Sheet13[[#This Row],[Customer Rating]]&gt;8,EPe_BA_intern_assesment_Raw_data___Sheet13[[#This Row],[Customer Rating]])</f>
        <v>0</v>
      </c>
      <c r="Q654" t="str">
        <f>IF(AND(EPe_BA_intern_assesment_Raw_data___Sheet13[[#This Row],[Customer Rating]]&gt;6,EPe_BA_intern_assesment_Raw_data___Sheet13[[#This Row],[Customer Rating]]&lt;9), EPe_BA_intern_assesment_Raw_data___Sheet13[[#This Row],[Customer Rating]], "")</f>
        <v/>
      </c>
      <c r="R654">
        <f>IF(EPe_BA_intern_assesment_Raw_data___Sheet13[[#This Row],[Customer Rating]]&lt;7,EPe_BA_intern_assesment_Raw_data___Sheet13[[#This Row],[Customer Rating]])</f>
        <v>0</v>
      </c>
    </row>
    <row r="655" spans="1:18" x14ac:dyDescent="0.3">
      <c r="A655" t="s">
        <v>683</v>
      </c>
      <c r="B655" t="s">
        <v>23</v>
      </c>
      <c r="C655" t="s">
        <v>32</v>
      </c>
      <c r="D655" s="1">
        <v>45931</v>
      </c>
      <c r="E655" s="1">
        <v>45934</v>
      </c>
      <c r="F655" s="1">
        <v>45935</v>
      </c>
      <c r="G655" s="1">
        <v>45940</v>
      </c>
      <c r="H655" t="s">
        <v>18</v>
      </c>
      <c r="I655" t="s">
        <v>19</v>
      </c>
      <c r="J655" s="1">
        <v>45957</v>
      </c>
      <c r="K655">
        <v>3</v>
      </c>
      <c r="L655">
        <v>1</v>
      </c>
      <c r="M655">
        <v>5</v>
      </c>
      <c r="N655">
        <v>3</v>
      </c>
      <c r="O655">
        <v>9</v>
      </c>
      <c r="P655" t="b">
        <f>IF(EPe_BA_intern_assesment_Raw_data___Sheet13[[#This Row],[Customer Rating]]&gt;8,EPe_BA_intern_assesment_Raw_data___Sheet13[[#This Row],[Customer Rating]])</f>
        <v>0</v>
      </c>
      <c r="Q655" t="str">
        <f>IF(AND(EPe_BA_intern_assesment_Raw_data___Sheet13[[#This Row],[Customer Rating]]&gt;6,EPe_BA_intern_assesment_Raw_data___Sheet13[[#This Row],[Customer Rating]]&lt;9), EPe_BA_intern_assesment_Raw_data___Sheet13[[#This Row],[Customer Rating]], "")</f>
        <v/>
      </c>
      <c r="R655">
        <f>IF(EPe_BA_intern_assesment_Raw_data___Sheet13[[#This Row],[Customer Rating]]&lt;7,EPe_BA_intern_assesment_Raw_data___Sheet13[[#This Row],[Customer Rating]])</f>
        <v>3</v>
      </c>
    </row>
    <row r="656" spans="1:18" x14ac:dyDescent="0.3">
      <c r="A656" t="s">
        <v>684</v>
      </c>
      <c r="B656" t="s">
        <v>21</v>
      </c>
      <c r="C656" t="s">
        <v>24</v>
      </c>
      <c r="D656" s="1">
        <v>45957</v>
      </c>
      <c r="E656" s="1"/>
      <c r="F656" s="1"/>
      <c r="G656" s="1"/>
      <c r="H656" t="s">
        <v>25</v>
      </c>
      <c r="I656" t="s">
        <v>65</v>
      </c>
      <c r="J656" s="1"/>
      <c r="P656" t="b">
        <f>IF(EPe_BA_intern_assesment_Raw_data___Sheet13[[#This Row],[Customer Rating]]&gt;8,EPe_BA_intern_assesment_Raw_data___Sheet13[[#This Row],[Customer Rating]])</f>
        <v>0</v>
      </c>
      <c r="Q656" t="str">
        <f>IF(AND(EPe_BA_intern_assesment_Raw_data___Sheet13[[#This Row],[Customer Rating]]&gt;6,EPe_BA_intern_assesment_Raw_data___Sheet13[[#This Row],[Customer Rating]]&lt;9), EPe_BA_intern_assesment_Raw_data___Sheet13[[#This Row],[Customer Rating]], "")</f>
        <v/>
      </c>
      <c r="R656">
        <f>IF(EPe_BA_intern_assesment_Raw_data___Sheet13[[#This Row],[Customer Rating]]&lt;7,EPe_BA_intern_assesment_Raw_data___Sheet13[[#This Row],[Customer Rating]])</f>
        <v>0</v>
      </c>
    </row>
    <row r="657" spans="1:18" x14ac:dyDescent="0.3">
      <c r="A657" t="s">
        <v>685</v>
      </c>
      <c r="B657" t="s">
        <v>34</v>
      </c>
      <c r="C657" t="s">
        <v>24</v>
      </c>
      <c r="D657" s="1">
        <v>45952</v>
      </c>
      <c r="E657" s="1"/>
      <c r="F657" s="1"/>
      <c r="G657" s="1"/>
      <c r="H657" t="s">
        <v>25</v>
      </c>
      <c r="I657" t="s">
        <v>103</v>
      </c>
      <c r="J657" s="1"/>
      <c r="P657" t="b">
        <f>IF(EPe_BA_intern_assesment_Raw_data___Sheet13[[#This Row],[Customer Rating]]&gt;8,EPe_BA_intern_assesment_Raw_data___Sheet13[[#This Row],[Customer Rating]])</f>
        <v>0</v>
      </c>
      <c r="Q657" t="str">
        <f>IF(AND(EPe_BA_intern_assesment_Raw_data___Sheet13[[#This Row],[Customer Rating]]&gt;6,EPe_BA_intern_assesment_Raw_data___Sheet13[[#This Row],[Customer Rating]]&lt;9), EPe_BA_intern_assesment_Raw_data___Sheet13[[#This Row],[Customer Rating]], "")</f>
        <v/>
      </c>
      <c r="R657">
        <f>IF(EPe_BA_intern_assesment_Raw_data___Sheet13[[#This Row],[Customer Rating]]&lt;7,EPe_BA_intern_assesment_Raw_data___Sheet13[[#This Row],[Customer Rating]])</f>
        <v>0</v>
      </c>
    </row>
    <row r="658" spans="1:18" x14ac:dyDescent="0.3">
      <c r="A658" t="s">
        <v>686</v>
      </c>
      <c r="B658" t="s">
        <v>16</v>
      </c>
      <c r="C658" t="s">
        <v>32</v>
      </c>
      <c r="D658" s="1">
        <v>45943</v>
      </c>
      <c r="E658" s="1">
        <v>45948</v>
      </c>
      <c r="F658" s="1">
        <v>45952</v>
      </c>
      <c r="G658" s="1">
        <v>45959</v>
      </c>
      <c r="H658" t="s">
        <v>18</v>
      </c>
      <c r="I658" t="s">
        <v>19</v>
      </c>
      <c r="J658" s="1">
        <v>45980</v>
      </c>
      <c r="K658">
        <v>5</v>
      </c>
      <c r="L658">
        <v>4</v>
      </c>
      <c r="M658">
        <v>7</v>
      </c>
      <c r="N658">
        <v>2</v>
      </c>
      <c r="O658">
        <v>16</v>
      </c>
      <c r="P658" t="b">
        <f>IF(EPe_BA_intern_assesment_Raw_data___Sheet13[[#This Row],[Customer Rating]]&gt;8,EPe_BA_intern_assesment_Raw_data___Sheet13[[#This Row],[Customer Rating]])</f>
        <v>0</v>
      </c>
      <c r="Q658" t="str">
        <f>IF(AND(EPe_BA_intern_assesment_Raw_data___Sheet13[[#This Row],[Customer Rating]]&gt;6,EPe_BA_intern_assesment_Raw_data___Sheet13[[#This Row],[Customer Rating]]&lt;9), EPe_BA_intern_assesment_Raw_data___Sheet13[[#This Row],[Customer Rating]], "")</f>
        <v/>
      </c>
      <c r="R658">
        <f>IF(EPe_BA_intern_assesment_Raw_data___Sheet13[[#This Row],[Customer Rating]]&lt;7,EPe_BA_intern_assesment_Raw_data___Sheet13[[#This Row],[Customer Rating]])</f>
        <v>2</v>
      </c>
    </row>
    <row r="659" spans="1:18" x14ac:dyDescent="0.3">
      <c r="A659" t="s">
        <v>687</v>
      </c>
      <c r="B659" t="s">
        <v>23</v>
      </c>
      <c r="C659" t="s">
        <v>17</v>
      </c>
      <c r="D659" s="1">
        <v>45939</v>
      </c>
      <c r="E659" s="1">
        <v>45941</v>
      </c>
      <c r="F659" s="1">
        <v>45945</v>
      </c>
      <c r="G659" s="1">
        <v>45949</v>
      </c>
      <c r="H659" t="s">
        <v>25</v>
      </c>
      <c r="I659" t="s">
        <v>26</v>
      </c>
      <c r="J659" s="1"/>
      <c r="K659">
        <v>2</v>
      </c>
      <c r="L659">
        <v>4</v>
      </c>
      <c r="M659">
        <v>4</v>
      </c>
      <c r="O659">
        <v>10</v>
      </c>
      <c r="P659" t="b">
        <f>IF(EPe_BA_intern_assesment_Raw_data___Sheet13[[#This Row],[Customer Rating]]&gt;8,EPe_BA_intern_assesment_Raw_data___Sheet13[[#This Row],[Customer Rating]])</f>
        <v>0</v>
      </c>
      <c r="Q659" t="str">
        <f>IF(AND(EPe_BA_intern_assesment_Raw_data___Sheet13[[#This Row],[Customer Rating]]&gt;6,EPe_BA_intern_assesment_Raw_data___Sheet13[[#This Row],[Customer Rating]]&lt;9), EPe_BA_intern_assesment_Raw_data___Sheet13[[#This Row],[Customer Rating]], "")</f>
        <v/>
      </c>
      <c r="R659">
        <f>IF(EPe_BA_intern_assesment_Raw_data___Sheet13[[#This Row],[Customer Rating]]&lt;7,EPe_BA_intern_assesment_Raw_data___Sheet13[[#This Row],[Customer Rating]])</f>
        <v>0</v>
      </c>
    </row>
    <row r="660" spans="1:18" x14ac:dyDescent="0.3">
      <c r="A660" t="s">
        <v>688</v>
      </c>
      <c r="B660" t="s">
        <v>34</v>
      </c>
      <c r="C660" t="s">
        <v>17</v>
      </c>
      <c r="D660" s="1">
        <v>45931</v>
      </c>
      <c r="E660" s="1">
        <v>45932</v>
      </c>
      <c r="F660" s="1">
        <v>45936</v>
      </c>
      <c r="G660" s="1">
        <v>45940</v>
      </c>
      <c r="H660" t="s">
        <v>25</v>
      </c>
      <c r="I660" t="s">
        <v>103</v>
      </c>
      <c r="J660" s="1"/>
      <c r="K660">
        <v>1</v>
      </c>
      <c r="L660">
        <v>4</v>
      </c>
      <c r="M660">
        <v>4</v>
      </c>
      <c r="O660">
        <v>9</v>
      </c>
      <c r="P660" t="b">
        <f>IF(EPe_BA_intern_assesment_Raw_data___Sheet13[[#This Row],[Customer Rating]]&gt;8,EPe_BA_intern_assesment_Raw_data___Sheet13[[#This Row],[Customer Rating]])</f>
        <v>0</v>
      </c>
      <c r="Q660" t="str">
        <f>IF(AND(EPe_BA_intern_assesment_Raw_data___Sheet13[[#This Row],[Customer Rating]]&gt;6,EPe_BA_intern_assesment_Raw_data___Sheet13[[#This Row],[Customer Rating]]&lt;9), EPe_BA_intern_assesment_Raw_data___Sheet13[[#This Row],[Customer Rating]], "")</f>
        <v/>
      </c>
      <c r="R660">
        <f>IF(EPe_BA_intern_assesment_Raw_data___Sheet13[[#This Row],[Customer Rating]]&lt;7,EPe_BA_intern_assesment_Raw_data___Sheet13[[#This Row],[Customer Rating]])</f>
        <v>0</v>
      </c>
    </row>
    <row r="661" spans="1:18" x14ac:dyDescent="0.3">
      <c r="A661" t="s">
        <v>689</v>
      </c>
      <c r="B661" t="s">
        <v>21</v>
      </c>
      <c r="C661" t="s">
        <v>17</v>
      </c>
      <c r="D661" s="1">
        <v>45949</v>
      </c>
      <c r="E661" s="1">
        <v>45951</v>
      </c>
      <c r="F661" s="1">
        <v>45956</v>
      </c>
      <c r="G661" s="1">
        <v>45958</v>
      </c>
      <c r="H661" t="s">
        <v>18</v>
      </c>
      <c r="I661" t="s">
        <v>19</v>
      </c>
      <c r="J661" s="1">
        <v>45975</v>
      </c>
      <c r="K661">
        <v>2</v>
      </c>
      <c r="L661">
        <v>5</v>
      </c>
      <c r="M661">
        <v>2</v>
      </c>
      <c r="N661">
        <v>2</v>
      </c>
      <c r="O661">
        <v>9</v>
      </c>
      <c r="P661" t="b">
        <f>IF(EPe_BA_intern_assesment_Raw_data___Sheet13[[#This Row],[Customer Rating]]&gt;8,EPe_BA_intern_assesment_Raw_data___Sheet13[[#This Row],[Customer Rating]])</f>
        <v>0</v>
      </c>
      <c r="Q661" t="str">
        <f>IF(AND(EPe_BA_intern_assesment_Raw_data___Sheet13[[#This Row],[Customer Rating]]&gt;6,EPe_BA_intern_assesment_Raw_data___Sheet13[[#This Row],[Customer Rating]]&lt;9), EPe_BA_intern_assesment_Raw_data___Sheet13[[#This Row],[Customer Rating]], "")</f>
        <v/>
      </c>
      <c r="R661">
        <f>IF(EPe_BA_intern_assesment_Raw_data___Sheet13[[#This Row],[Customer Rating]]&lt;7,EPe_BA_intern_assesment_Raw_data___Sheet13[[#This Row],[Customer Rating]])</f>
        <v>2</v>
      </c>
    </row>
    <row r="662" spans="1:18" x14ac:dyDescent="0.3">
      <c r="A662" t="s">
        <v>690</v>
      </c>
      <c r="B662" t="s">
        <v>16</v>
      </c>
      <c r="C662" t="s">
        <v>17</v>
      </c>
      <c r="D662" s="1">
        <v>45958</v>
      </c>
      <c r="E662" s="1">
        <v>45963</v>
      </c>
      <c r="F662" s="1">
        <v>45967</v>
      </c>
      <c r="G662" s="1">
        <v>45973</v>
      </c>
      <c r="H662" t="s">
        <v>18</v>
      </c>
      <c r="I662" t="s">
        <v>19</v>
      </c>
      <c r="J662" s="1">
        <v>45992</v>
      </c>
      <c r="K662">
        <v>5</v>
      </c>
      <c r="L662">
        <v>4</v>
      </c>
      <c r="M662">
        <v>6</v>
      </c>
      <c r="N662">
        <v>1</v>
      </c>
      <c r="O662">
        <v>15</v>
      </c>
      <c r="P662" t="b">
        <f>IF(EPe_BA_intern_assesment_Raw_data___Sheet13[[#This Row],[Customer Rating]]&gt;8,EPe_BA_intern_assesment_Raw_data___Sheet13[[#This Row],[Customer Rating]])</f>
        <v>0</v>
      </c>
      <c r="Q662" t="str">
        <f>IF(AND(EPe_BA_intern_assesment_Raw_data___Sheet13[[#This Row],[Customer Rating]]&gt;6,EPe_BA_intern_assesment_Raw_data___Sheet13[[#This Row],[Customer Rating]]&lt;9), EPe_BA_intern_assesment_Raw_data___Sheet13[[#This Row],[Customer Rating]], "")</f>
        <v/>
      </c>
      <c r="R662">
        <f>IF(EPe_BA_intern_assesment_Raw_data___Sheet13[[#This Row],[Customer Rating]]&lt;7,EPe_BA_intern_assesment_Raw_data___Sheet13[[#This Row],[Customer Rating]])</f>
        <v>1</v>
      </c>
    </row>
    <row r="663" spans="1:18" x14ac:dyDescent="0.3">
      <c r="A663" t="s">
        <v>691</v>
      </c>
      <c r="B663" t="s">
        <v>34</v>
      </c>
      <c r="C663" t="s">
        <v>17</v>
      </c>
      <c r="D663" s="1">
        <v>45952</v>
      </c>
      <c r="E663" s="1">
        <v>45956</v>
      </c>
      <c r="F663" s="1">
        <v>45957</v>
      </c>
      <c r="G663" s="1">
        <v>45961</v>
      </c>
      <c r="H663" t="s">
        <v>18</v>
      </c>
      <c r="I663" t="s">
        <v>19</v>
      </c>
      <c r="J663" s="1">
        <v>45984</v>
      </c>
      <c r="K663">
        <v>4</v>
      </c>
      <c r="L663">
        <v>1</v>
      </c>
      <c r="M663">
        <v>4</v>
      </c>
      <c r="N663">
        <v>9</v>
      </c>
      <c r="O663">
        <v>9</v>
      </c>
      <c r="P663">
        <f>IF(EPe_BA_intern_assesment_Raw_data___Sheet13[[#This Row],[Customer Rating]]&gt;8,EPe_BA_intern_assesment_Raw_data___Sheet13[[#This Row],[Customer Rating]])</f>
        <v>9</v>
      </c>
      <c r="Q663" t="str">
        <f>IF(AND(EPe_BA_intern_assesment_Raw_data___Sheet13[[#This Row],[Customer Rating]]&gt;6,EPe_BA_intern_assesment_Raw_data___Sheet13[[#This Row],[Customer Rating]]&lt;9), EPe_BA_intern_assesment_Raw_data___Sheet13[[#This Row],[Customer Rating]], "")</f>
        <v/>
      </c>
      <c r="R663" t="b">
        <f>IF(EPe_BA_intern_assesment_Raw_data___Sheet13[[#This Row],[Customer Rating]]&lt;7,EPe_BA_intern_assesment_Raw_data___Sheet13[[#This Row],[Customer Rating]])</f>
        <v>0</v>
      </c>
    </row>
    <row r="664" spans="1:18" x14ac:dyDescent="0.3">
      <c r="A664" t="s">
        <v>692</v>
      </c>
      <c r="B664" t="s">
        <v>16</v>
      </c>
      <c r="C664" t="s">
        <v>17</v>
      </c>
      <c r="D664" s="1">
        <v>45955</v>
      </c>
      <c r="E664" s="1">
        <v>45956</v>
      </c>
      <c r="F664" s="1">
        <v>45957</v>
      </c>
      <c r="G664" s="1">
        <v>45959</v>
      </c>
      <c r="H664" t="s">
        <v>18</v>
      </c>
      <c r="I664" t="s">
        <v>19</v>
      </c>
      <c r="J664" s="1">
        <v>45979</v>
      </c>
      <c r="K664">
        <v>1</v>
      </c>
      <c r="L664">
        <v>1</v>
      </c>
      <c r="M664">
        <v>2</v>
      </c>
      <c r="N664">
        <v>5</v>
      </c>
      <c r="O664">
        <v>4</v>
      </c>
      <c r="P664" t="b">
        <f>IF(EPe_BA_intern_assesment_Raw_data___Sheet13[[#This Row],[Customer Rating]]&gt;8,EPe_BA_intern_assesment_Raw_data___Sheet13[[#This Row],[Customer Rating]])</f>
        <v>0</v>
      </c>
      <c r="Q664" t="str">
        <f>IF(AND(EPe_BA_intern_assesment_Raw_data___Sheet13[[#This Row],[Customer Rating]]&gt;6,EPe_BA_intern_assesment_Raw_data___Sheet13[[#This Row],[Customer Rating]]&lt;9), EPe_BA_intern_assesment_Raw_data___Sheet13[[#This Row],[Customer Rating]], "")</f>
        <v/>
      </c>
      <c r="R664">
        <f>IF(EPe_BA_intern_assesment_Raw_data___Sheet13[[#This Row],[Customer Rating]]&lt;7,EPe_BA_intern_assesment_Raw_data___Sheet13[[#This Row],[Customer Rating]])</f>
        <v>5</v>
      </c>
    </row>
    <row r="665" spans="1:18" x14ac:dyDescent="0.3">
      <c r="A665" t="s">
        <v>693</v>
      </c>
      <c r="B665" t="s">
        <v>16</v>
      </c>
      <c r="C665" t="s">
        <v>17</v>
      </c>
      <c r="D665" s="1">
        <v>45954</v>
      </c>
      <c r="E665" s="1">
        <v>45956</v>
      </c>
      <c r="F665" s="1">
        <v>45958</v>
      </c>
      <c r="G665" s="1">
        <v>45964</v>
      </c>
      <c r="H665" t="s">
        <v>18</v>
      </c>
      <c r="I665" t="s">
        <v>19</v>
      </c>
      <c r="J665" s="1">
        <v>45985</v>
      </c>
      <c r="K665">
        <v>2</v>
      </c>
      <c r="L665">
        <v>2</v>
      </c>
      <c r="M665">
        <v>6</v>
      </c>
      <c r="N665">
        <v>4</v>
      </c>
      <c r="O665">
        <v>10</v>
      </c>
      <c r="P665" t="b">
        <f>IF(EPe_BA_intern_assesment_Raw_data___Sheet13[[#This Row],[Customer Rating]]&gt;8,EPe_BA_intern_assesment_Raw_data___Sheet13[[#This Row],[Customer Rating]])</f>
        <v>0</v>
      </c>
      <c r="Q665" t="str">
        <f>IF(AND(EPe_BA_intern_assesment_Raw_data___Sheet13[[#This Row],[Customer Rating]]&gt;6,EPe_BA_intern_assesment_Raw_data___Sheet13[[#This Row],[Customer Rating]]&lt;9), EPe_BA_intern_assesment_Raw_data___Sheet13[[#This Row],[Customer Rating]], "")</f>
        <v/>
      </c>
      <c r="R665">
        <f>IF(EPe_BA_intern_assesment_Raw_data___Sheet13[[#This Row],[Customer Rating]]&lt;7,EPe_BA_intern_assesment_Raw_data___Sheet13[[#This Row],[Customer Rating]])</f>
        <v>4</v>
      </c>
    </row>
    <row r="666" spans="1:18" x14ac:dyDescent="0.3">
      <c r="A666" t="s">
        <v>694</v>
      </c>
      <c r="B666" t="s">
        <v>16</v>
      </c>
      <c r="C666" t="s">
        <v>17</v>
      </c>
      <c r="D666" s="1">
        <v>45932</v>
      </c>
      <c r="E666" s="1">
        <v>45933</v>
      </c>
      <c r="F666" s="1">
        <v>45934</v>
      </c>
      <c r="G666" s="1">
        <v>45941</v>
      </c>
      <c r="H666" t="s">
        <v>18</v>
      </c>
      <c r="I666" t="s">
        <v>19</v>
      </c>
      <c r="J666" s="1">
        <v>45959</v>
      </c>
      <c r="K666">
        <v>1</v>
      </c>
      <c r="L666">
        <v>1</v>
      </c>
      <c r="M666">
        <v>7</v>
      </c>
      <c r="N666">
        <v>9</v>
      </c>
      <c r="O666">
        <v>9</v>
      </c>
      <c r="P666">
        <f>IF(EPe_BA_intern_assesment_Raw_data___Sheet13[[#This Row],[Customer Rating]]&gt;8,EPe_BA_intern_assesment_Raw_data___Sheet13[[#This Row],[Customer Rating]])</f>
        <v>9</v>
      </c>
      <c r="Q666" t="str">
        <f>IF(AND(EPe_BA_intern_assesment_Raw_data___Sheet13[[#This Row],[Customer Rating]]&gt;6,EPe_BA_intern_assesment_Raw_data___Sheet13[[#This Row],[Customer Rating]]&lt;9), EPe_BA_intern_assesment_Raw_data___Sheet13[[#This Row],[Customer Rating]], "")</f>
        <v/>
      </c>
      <c r="R666" t="b">
        <f>IF(EPe_BA_intern_assesment_Raw_data___Sheet13[[#This Row],[Customer Rating]]&lt;7,EPe_BA_intern_assesment_Raw_data___Sheet13[[#This Row],[Customer Rating]])</f>
        <v>0</v>
      </c>
    </row>
    <row r="667" spans="1:18" x14ac:dyDescent="0.3">
      <c r="A667" t="s">
        <v>695</v>
      </c>
      <c r="B667" t="s">
        <v>23</v>
      </c>
      <c r="C667" t="s">
        <v>17</v>
      </c>
      <c r="D667" s="1">
        <v>45960</v>
      </c>
      <c r="E667" s="1">
        <v>45962</v>
      </c>
      <c r="F667" s="1">
        <v>45966</v>
      </c>
      <c r="G667" s="1">
        <v>45968</v>
      </c>
      <c r="H667" t="s">
        <v>18</v>
      </c>
      <c r="I667" t="s">
        <v>19</v>
      </c>
      <c r="J667" s="1">
        <v>45996</v>
      </c>
      <c r="K667">
        <v>2</v>
      </c>
      <c r="L667">
        <v>4</v>
      </c>
      <c r="M667">
        <v>2</v>
      </c>
      <c r="N667">
        <v>2</v>
      </c>
      <c r="O667">
        <v>8</v>
      </c>
      <c r="P667" t="b">
        <f>IF(EPe_BA_intern_assesment_Raw_data___Sheet13[[#This Row],[Customer Rating]]&gt;8,EPe_BA_intern_assesment_Raw_data___Sheet13[[#This Row],[Customer Rating]])</f>
        <v>0</v>
      </c>
      <c r="Q667" t="str">
        <f>IF(AND(EPe_BA_intern_assesment_Raw_data___Sheet13[[#This Row],[Customer Rating]]&gt;6,EPe_BA_intern_assesment_Raw_data___Sheet13[[#This Row],[Customer Rating]]&lt;9), EPe_BA_intern_assesment_Raw_data___Sheet13[[#This Row],[Customer Rating]], "")</f>
        <v/>
      </c>
      <c r="R667">
        <f>IF(EPe_BA_intern_assesment_Raw_data___Sheet13[[#This Row],[Customer Rating]]&lt;7,EPe_BA_intern_assesment_Raw_data___Sheet13[[#This Row],[Customer Rating]])</f>
        <v>2</v>
      </c>
    </row>
    <row r="668" spans="1:18" x14ac:dyDescent="0.3">
      <c r="A668" t="s">
        <v>696</v>
      </c>
      <c r="B668" t="s">
        <v>23</v>
      </c>
      <c r="C668" t="s">
        <v>17</v>
      </c>
      <c r="D668" s="1">
        <v>45950</v>
      </c>
      <c r="E668" s="1">
        <v>45953</v>
      </c>
      <c r="F668" s="1">
        <v>45957</v>
      </c>
      <c r="G668" s="1">
        <v>45960</v>
      </c>
      <c r="H668" t="s">
        <v>18</v>
      </c>
      <c r="I668" t="s">
        <v>19</v>
      </c>
      <c r="J668" s="1">
        <v>45979</v>
      </c>
      <c r="K668">
        <v>3</v>
      </c>
      <c r="L668">
        <v>4</v>
      </c>
      <c r="M668">
        <v>3</v>
      </c>
      <c r="N668">
        <v>7</v>
      </c>
      <c r="O668">
        <v>10</v>
      </c>
      <c r="P668" t="b">
        <f>IF(EPe_BA_intern_assesment_Raw_data___Sheet13[[#This Row],[Customer Rating]]&gt;8,EPe_BA_intern_assesment_Raw_data___Sheet13[[#This Row],[Customer Rating]])</f>
        <v>0</v>
      </c>
      <c r="Q668">
        <f>IF(AND(EPe_BA_intern_assesment_Raw_data___Sheet13[[#This Row],[Customer Rating]]&gt;6,EPe_BA_intern_assesment_Raw_data___Sheet13[[#This Row],[Customer Rating]]&lt;9), EPe_BA_intern_assesment_Raw_data___Sheet13[[#This Row],[Customer Rating]], "")</f>
        <v>7</v>
      </c>
      <c r="R668" t="b">
        <f>IF(EPe_BA_intern_assesment_Raw_data___Sheet13[[#This Row],[Customer Rating]]&lt;7,EPe_BA_intern_assesment_Raw_data___Sheet13[[#This Row],[Customer Rating]])</f>
        <v>0</v>
      </c>
    </row>
    <row r="669" spans="1:18" x14ac:dyDescent="0.3">
      <c r="A669" t="s">
        <v>697</v>
      </c>
      <c r="B669" t="s">
        <v>21</v>
      </c>
      <c r="C669" t="s">
        <v>17</v>
      </c>
      <c r="D669" s="1">
        <v>45954</v>
      </c>
      <c r="E669" s="1">
        <v>45957</v>
      </c>
      <c r="F669" s="1">
        <v>45960</v>
      </c>
      <c r="G669" s="1">
        <v>45963</v>
      </c>
      <c r="H669" t="s">
        <v>18</v>
      </c>
      <c r="I669" t="s">
        <v>19</v>
      </c>
      <c r="J669" s="1">
        <v>45987</v>
      </c>
      <c r="K669">
        <v>3</v>
      </c>
      <c r="L669">
        <v>3</v>
      </c>
      <c r="M669">
        <v>3</v>
      </c>
      <c r="N669">
        <v>0</v>
      </c>
      <c r="O669">
        <v>9</v>
      </c>
      <c r="P669" t="b">
        <f>IF(EPe_BA_intern_assesment_Raw_data___Sheet13[[#This Row],[Customer Rating]]&gt;8,EPe_BA_intern_assesment_Raw_data___Sheet13[[#This Row],[Customer Rating]])</f>
        <v>0</v>
      </c>
      <c r="Q669" t="str">
        <f>IF(AND(EPe_BA_intern_assesment_Raw_data___Sheet13[[#This Row],[Customer Rating]]&gt;6,EPe_BA_intern_assesment_Raw_data___Sheet13[[#This Row],[Customer Rating]]&lt;9), EPe_BA_intern_assesment_Raw_data___Sheet13[[#This Row],[Customer Rating]], "")</f>
        <v/>
      </c>
      <c r="R669">
        <f>IF(EPe_BA_intern_assesment_Raw_data___Sheet13[[#This Row],[Customer Rating]]&lt;7,EPe_BA_intern_assesment_Raw_data___Sheet13[[#This Row],[Customer Rating]])</f>
        <v>0</v>
      </c>
    </row>
    <row r="670" spans="1:18" x14ac:dyDescent="0.3">
      <c r="A670" t="s">
        <v>698</v>
      </c>
      <c r="B670" t="s">
        <v>21</v>
      </c>
      <c r="C670" t="s">
        <v>32</v>
      </c>
      <c r="D670" s="1">
        <v>45946</v>
      </c>
      <c r="E670" s="1">
        <v>45950</v>
      </c>
      <c r="F670" s="1">
        <v>45955</v>
      </c>
      <c r="G670" s="1">
        <v>45961</v>
      </c>
      <c r="H670" t="s">
        <v>18</v>
      </c>
      <c r="I670" t="s">
        <v>19</v>
      </c>
      <c r="J670" s="1">
        <v>45974</v>
      </c>
      <c r="K670">
        <v>4</v>
      </c>
      <c r="L670">
        <v>5</v>
      </c>
      <c r="M670">
        <v>6</v>
      </c>
      <c r="N670">
        <v>2</v>
      </c>
      <c r="O670">
        <v>15</v>
      </c>
      <c r="P670" t="b">
        <f>IF(EPe_BA_intern_assesment_Raw_data___Sheet13[[#This Row],[Customer Rating]]&gt;8,EPe_BA_intern_assesment_Raw_data___Sheet13[[#This Row],[Customer Rating]])</f>
        <v>0</v>
      </c>
      <c r="Q670" t="str">
        <f>IF(AND(EPe_BA_intern_assesment_Raw_data___Sheet13[[#This Row],[Customer Rating]]&gt;6,EPe_BA_intern_assesment_Raw_data___Sheet13[[#This Row],[Customer Rating]]&lt;9), EPe_BA_intern_assesment_Raw_data___Sheet13[[#This Row],[Customer Rating]], "")</f>
        <v/>
      </c>
      <c r="R670">
        <f>IF(EPe_BA_intern_assesment_Raw_data___Sheet13[[#This Row],[Customer Rating]]&lt;7,EPe_BA_intern_assesment_Raw_data___Sheet13[[#This Row],[Customer Rating]])</f>
        <v>2</v>
      </c>
    </row>
    <row r="671" spans="1:18" x14ac:dyDescent="0.3">
      <c r="A671" t="s">
        <v>699</v>
      </c>
      <c r="B671" t="s">
        <v>34</v>
      </c>
      <c r="C671" t="s">
        <v>32</v>
      </c>
      <c r="D671" s="1">
        <v>45957</v>
      </c>
      <c r="E671" s="1">
        <v>45962</v>
      </c>
      <c r="F671" s="1">
        <v>45963</v>
      </c>
      <c r="G671" s="1">
        <v>45965</v>
      </c>
      <c r="H671" t="s">
        <v>25</v>
      </c>
      <c r="I671" t="s">
        <v>26</v>
      </c>
      <c r="J671" s="1"/>
      <c r="K671">
        <v>5</v>
      </c>
      <c r="L671">
        <v>1</v>
      </c>
      <c r="M671">
        <v>2</v>
      </c>
      <c r="O671">
        <v>8</v>
      </c>
      <c r="P671" t="b">
        <f>IF(EPe_BA_intern_assesment_Raw_data___Sheet13[[#This Row],[Customer Rating]]&gt;8,EPe_BA_intern_assesment_Raw_data___Sheet13[[#This Row],[Customer Rating]])</f>
        <v>0</v>
      </c>
      <c r="Q671" t="str">
        <f>IF(AND(EPe_BA_intern_assesment_Raw_data___Sheet13[[#This Row],[Customer Rating]]&gt;6,EPe_BA_intern_assesment_Raw_data___Sheet13[[#This Row],[Customer Rating]]&lt;9), EPe_BA_intern_assesment_Raw_data___Sheet13[[#This Row],[Customer Rating]], "")</f>
        <v/>
      </c>
      <c r="R671">
        <f>IF(EPe_BA_intern_assesment_Raw_data___Sheet13[[#This Row],[Customer Rating]]&lt;7,EPe_BA_intern_assesment_Raw_data___Sheet13[[#This Row],[Customer Rating]])</f>
        <v>0</v>
      </c>
    </row>
    <row r="672" spans="1:18" x14ac:dyDescent="0.3">
      <c r="A672" t="s">
        <v>700</v>
      </c>
      <c r="B672" t="s">
        <v>21</v>
      </c>
      <c r="C672" t="s">
        <v>24</v>
      </c>
      <c r="D672" s="1">
        <v>45959</v>
      </c>
      <c r="E672" s="1"/>
      <c r="F672" s="1"/>
      <c r="G672" s="1"/>
      <c r="H672" t="s">
        <v>25</v>
      </c>
      <c r="I672" t="s">
        <v>35</v>
      </c>
      <c r="J672" s="1"/>
      <c r="P672" t="b">
        <f>IF(EPe_BA_intern_assesment_Raw_data___Sheet13[[#This Row],[Customer Rating]]&gt;8,EPe_BA_intern_assesment_Raw_data___Sheet13[[#This Row],[Customer Rating]])</f>
        <v>0</v>
      </c>
      <c r="Q672" t="str">
        <f>IF(AND(EPe_BA_intern_assesment_Raw_data___Sheet13[[#This Row],[Customer Rating]]&gt;6,EPe_BA_intern_assesment_Raw_data___Sheet13[[#This Row],[Customer Rating]]&lt;9), EPe_BA_intern_assesment_Raw_data___Sheet13[[#This Row],[Customer Rating]], "")</f>
        <v/>
      </c>
      <c r="R672">
        <f>IF(EPe_BA_intern_assesment_Raw_data___Sheet13[[#This Row],[Customer Rating]]&lt;7,EPe_BA_intern_assesment_Raw_data___Sheet13[[#This Row],[Customer Rating]])</f>
        <v>0</v>
      </c>
    </row>
    <row r="673" spans="1:18" x14ac:dyDescent="0.3">
      <c r="A673" t="s">
        <v>701</v>
      </c>
      <c r="B673" t="s">
        <v>16</v>
      </c>
      <c r="C673" t="s">
        <v>17</v>
      </c>
      <c r="D673" s="1">
        <v>45959</v>
      </c>
      <c r="E673" s="1">
        <v>45960</v>
      </c>
      <c r="F673" s="1">
        <v>45965</v>
      </c>
      <c r="G673" s="1">
        <v>45970</v>
      </c>
      <c r="H673" t="s">
        <v>18</v>
      </c>
      <c r="I673" t="s">
        <v>19</v>
      </c>
      <c r="J673" s="1">
        <v>45995</v>
      </c>
      <c r="K673">
        <v>1</v>
      </c>
      <c r="L673">
        <v>5</v>
      </c>
      <c r="M673">
        <v>5</v>
      </c>
      <c r="N673">
        <v>0</v>
      </c>
      <c r="O673">
        <v>11</v>
      </c>
      <c r="P673" t="b">
        <f>IF(EPe_BA_intern_assesment_Raw_data___Sheet13[[#This Row],[Customer Rating]]&gt;8,EPe_BA_intern_assesment_Raw_data___Sheet13[[#This Row],[Customer Rating]])</f>
        <v>0</v>
      </c>
      <c r="Q673" t="str">
        <f>IF(AND(EPe_BA_intern_assesment_Raw_data___Sheet13[[#This Row],[Customer Rating]]&gt;6,EPe_BA_intern_assesment_Raw_data___Sheet13[[#This Row],[Customer Rating]]&lt;9), EPe_BA_intern_assesment_Raw_data___Sheet13[[#This Row],[Customer Rating]], "")</f>
        <v/>
      </c>
      <c r="R673">
        <f>IF(EPe_BA_intern_assesment_Raw_data___Sheet13[[#This Row],[Customer Rating]]&lt;7,EPe_BA_intern_assesment_Raw_data___Sheet13[[#This Row],[Customer Rating]])</f>
        <v>0</v>
      </c>
    </row>
    <row r="674" spans="1:18" x14ac:dyDescent="0.3">
      <c r="A674" t="s">
        <v>702</v>
      </c>
      <c r="B674" t="s">
        <v>16</v>
      </c>
      <c r="C674" t="s">
        <v>32</v>
      </c>
      <c r="D674" s="1">
        <v>45940</v>
      </c>
      <c r="E674" s="1">
        <v>45945</v>
      </c>
      <c r="F674" s="1">
        <v>45946</v>
      </c>
      <c r="G674" s="1">
        <v>45948</v>
      </c>
      <c r="H674" t="s">
        <v>18</v>
      </c>
      <c r="I674" t="s">
        <v>19</v>
      </c>
      <c r="J674" s="1">
        <v>45959</v>
      </c>
      <c r="K674">
        <v>5</v>
      </c>
      <c r="L674">
        <v>1</v>
      </c>
      <c r="M674">
        <v>2</v>
      </c>
      <c r="N674">
        <v>6</v>
      </c>
      <c r="O674">
        <v>8</v>
      </c>
      <c r="P674" t="b">
        <f>IF(EPe_BA_intern_assesment_Raw_data___Sheet13[[#This Row],[Customer Rating]]&gt;8,EPe_BA_intern_assesment_Raw_data___Sheet13[[#This Row],[Customer Rating]])</f>
        <v>0</v>
      </c>
      <c r="Q674" t="str">
        <f>IF(AND(EPe_BA_intern_assesment_Raw_data___Sheet13[[#This Row],[Customer Rating]]&gt;6,EPe_BA_intern_assesment_Raw_data___Sheet13[[#This Row],[Customer Rating]]&lt;9), EPe_BA_intern_assesment_Raw_data___Sheet13[[#This Row],[Customer Rating]], "")</f>
        <v/>
      </c>
      <c r="R674">
        <f>IF(EPe_BA_intern_assesment_Raw_data___Sheet13[[#This Row],[Customer Rating]]&lt;7,EPe_BA_intern_assesment_Raw_data___Sheet13[[#This Row],[Customer Rating]])</f>
        <v>6</v>
      </c>
    </row>
    <row r="675" spans="1:18" x14ac:dyDescent="0.3">
      <c r="A675" t="s">
        <v>703</v>
      </c>
      <c r="B675" t="s">
        <v>23</v>
      </c>
      <c r="C675" t="s">
        <v>32</v>
      </c>
      <c r="D675" s="1">
        <v>45955</v>
      </c>
      <c r="E675" s="1">
        <v>45957</v>
      </c>
      <c r="F675" s="1">
        <v>45959</v>
      </c>
      <c r="G675" s="1">
        <v>45964</v>
      </c>
      <c r="H675" t="s">
        <v>18</v>
      </c>
      <c r="I675" t="s">
        <v>19</v>
      </c>
      <c r="J675" s="1">
        <v>45994</v>
      </c>
      <c r="K675">
        <v>2</v>
      </c>
      <c r="L675">
        <v>2</v>
      </c>
      <c r="M675">
        <v>5</v>
      </c>
      <c r="N675">
        <v>10</v>
      </c>
      <c r="O675">
        <v>9</v>
      </c>
      <c r="P675">
        <f>IF(EPe_BA_intern_assesment_Raw_data___Sheet13[[#This Row],[Customer Rating]]&gt;8,EPe_BA_intern_assesment_Raw_data___Sheet13[[#This Row],[Customer Rating]])</f>
        <v>10</v>
      </c>
      <c r="Q675" t="str">
        <f>IF(AND(EPe_BA_intern_assesment_Raw_data___Sheet13[[#This Row],[Customer Rating]]&gt;6,EPe_BA_intern_assesment_Raw_data___Sheet13[[#This Row],[Customer Rating]]&lt;9), EPe_BA_intern_assesment_Raw_data___Sheet13[[#This Row],[Customer Rating]], "")</f>
        <v/>
      </c>
      <c r="R675" t="b">
        <f>IF(EPe_BA_intern_assesment_Raw_data___Sheet13[[#This Row],[Customer Rating]]&lt;7,EPe_BA_intern_assesment_Raw_data___Sheet13[[#This Row],[Customer Rating]])</f>
        <v>0</v>
      </c>
    </row>
    <row r="676" spans="1:18" x14ac:dyDescent="0.3">
      <c r="A676" t="s">
        <v>704</v>
      </c>
      <c r="B676" t="s">
        <v>16</v>
      </c>
      <c r="C676" t="s">
        <v>32</v>
      </c>
      <c r="D676" s="1">
        <v>45956</v>
      </c>
      <c r="E676" s="1">
        <v>45960</v>
      </c>
      <c r="F676" s="1">
        <v>45962</v>
      </c>
      <c r="G676" s="1">
        <v>45966</v>
      </c>
      <c r="H676" t="s">
        <v>18</v>
      </c>
      <c r="I676" t="s">
        <v>19</v>
      </c>
      <c r="J676" s="1">
        <v>45994</v>
      </c>
      <c r="K676">
        <v>4</v>
      </c>
      <c r="L676">
        <v>2</v>
      </c>
      <c r="M676">
        <v>4</v>
      </c>
      <c r="N676">
        <v>8</v>
      </c>
      <c r="O676">
        <v>10</v>
      </c>
      <c r="P676" t="b">
        <f>IF(EPe_BA_intern_assesment_Raw_data___Sheet13[[#This Row],[Customer Rating]]&gt;8,EPe_BA_intern_assesment_Raw_data___Sheet13[[#This Row],[Customer Rating]])</f>
        <v>0</v>
      </c>
      <c r="Q676">
        <f>IF(AND(EPe_BA_intern_assesment_Raw_data___Sheet13[[#This Row],[Customer Rating]]&gt;6,EPe_BA_intern_assesment_Raw_data___Sheet13[[#This Row],[Customer Rating]]&lt;9), EPe_BA_intern_assesment_Raw_data___Sheet13[[#This Row],[Customer Rating]], "")</f>
        <v>8</v>
      </c>
      <c r="R676" t="b">
        <f>IF(EPe_BA_intern_assesment_Raw_data___Sheet13[[#This Row],[Customer Rating]]&lt;7,EPe_BA_intern_assesment_Raw_data___Sheet13[[#This Row],[Customer Rating]])</f>
        <v>0</v>
      </c>
    </row>
    <row r="677" spans="1:18" x14ac:dyDescent="0.3">
      <c r="A677" t="s">
        <v>705</v>
      </c>
      <c r="B677" t="s">
        <v>34</v>
      </c>
      <c r="C677" t="s">
        <v>24</v>
      </c>
      <c r="D677" s="1">
        <v>45938</v>
      </c>
      <c r="E677" s="1"/>
      <c r="F677" s="1"/>
      <c r="G677" s="1"/>
      <c r="H677" t="s">
        <v>25</v>
      </c>
      <c r="I677" t="s">
        <v>35</v>
      </c>
      <c r="J677" s="1"/>
      <c r="P677" t="b">
        <f>IF(EPe_BA_intern_assesment_Raw_data___Sheet13[[#This Row],[Customer Rating]]&gt;8,EPe_BA_intern_assesment_Raw_data___Sheet13[[#This Row],[Customer Rating]])</f>
        <v>0</v>
      </c>
      <c r="Q677" t="str">
        <f>IF(AND(EPe_BA_intern_assesment_Raw_data___Sheet13[[#This Row],[Customer Rating]]&gt;6,EPe_BA_intern_assesment_Raw_data___Sheet13[[#This Row],[Customer Rating]]&lt;9), EPe_BA_intern_assesment_Raw_data___Sheet13[[#This Row],[Customer Rating]], "")</f>
        <v/>
      </c>
      <c r="R677">
        <f>IF(EPe_BA_intern_assesment_Raw_data___Sheet13[[#This Row],[Customer Rating]]&lt;7,EPe_BA_intern_assesment_Raw_data___Sheet13[[#This Row],[Customer Rating]])</f>
        <v>0</v>
      </c>
    </row>
    <row r="678" spans="1:18" x14ac:dyDescent="0.3">
      <c r="A678" t="s">
        <v>706</v>
      </c>
      <c r="B678" t="s">
        <v>16</v>
      </c>
      <c r="C678" t="s">
        <v>17</v>
      </c>
      <c r="D678" s="1">
        <v>45950</v>
      </c>
      <c r="E678" s="1">
        <v>45953</v>
      </c>
      <c r="F678" s="1">
        <v>45958</v>
      </c>
      <c r="G678" s="1">
        <v>45962</v>
      </c>
      <c r="H678" t="s">
        <v>18</v>
      </c>
      <c r="I678" t="s">
        <v>19</v>
      </c>
      <c r="J678" s="1">
        <v>45990</v>
      </c>
      <c r="K678">
        <v>3</v>
      </c>
      <c r="L678">
        <v>5</v>
      </c>
      <c r="M678">
        <v>4</v>
      </c>
      <c r="N678">
        <v>10</v>
      </c>
      <c r="O678">
        <v>12</v>
      </c>
      <c r="P678">
        <f>IF(EPe_BA_intern_assesment_Raw_data___Sheet13[[#This Row],[Customer Rating]]&gt;8,EPe_BA_intern_assesment_Raw_data___Sheet13[[#This Row],[Customer Rating]])</f>
        <v>10</v>
      </c>
      <c r="Q678" t="str">
        <f>IF(AND(EPe_BA_intern_assesment_Raw_data___Sheet13[[#This Row],[Customer Rating]]&gt;6,EPe_BA_intern_assesment_Raw_data___Sheet13[[#This Row],[Customer Rating]]&lt;9), EPe_BA_intern_assesment_Raw_data___Sheet13[[#This Row],[Customer Rating]], "")</f>
        <v/>
      </c>
      <c r="R678" t="b">
        <f>IF(EPe_BA_intern_assesment_Raw_data___Sheet13[[#This Row],[Customer Rating]]&lt;7,EPe_BA_intern_assesment_Raw_data___Sheet13[[#This Row],[Customer Rating]])</f>
        <v>0</v>
      </c>
    </row>
    <row r="679" spans="1:18" x14ac:dyDescent="0.3">
      <c r="A679" t="s">
        <v>707</v>
      </c>
      <c r="B679" t="s">
        <v>16</v>
      </c>
      <c r="C679" t="s">
        <v>24</v>
      </c>
      <c r="D679" s="1">
        <v>45956</v>
      </c>
      <c r="E679" s="1"/>
      <c r="F679" s="1"/>
      <c r="G679" s="1"/>
      <c r="H679" t="s">
        <v>25</v>
      </c>
      <c r="I679" t="s">
        <v>26</v>
      </c>
      <c r="J679" s="1"/>
      <c r="P679" t="b">
        <f>IF(EPe_BA_intern_assesment_Raw_data___Sheet13[[#This Row],[Customer Rating]]&gt;8,EPe_BA_intern_assesment_Raw_data___Sheet13[[#This Row],[Customer Rating]])</f>
        <v>0</v>
      </c>
      <c r="Q679" t="str">
        <f>IF(AND(EPe_BA_intern_assesment_Raw_data___Sheet13[[#This Row],[Customer Rating]]&gt;6,EPe_BA_intern_assesment_Raw_data___Sheet13[[#This Row],[Customer Rating]]&lt;9), EPe_BA_intern_assesment_Raw_data___Sheet13[[#This Row],[Customer Rating]], "")</f>
        <v/>
      </c>
      <c r="R679">
        <f>IF(EPe_BA_intern_assesment_Raw_data___Sheet13[[#This Row],[Customer Rating]]&lt;7,EPe_BA_intern_assesment_Raw_data___Sheet13[[#This Row],[Customer Rating]])</f>
        <v>0</v>
      </c>
    </row>
    <row r="680" spans="1:18" x14ac:dyDescent="0.3">
      <c r="A680" t="s">
        <v>708</v>
      </c>
      <c r="B680" t="s">
        <v>34</v>
      </c>
      <c r="C680" t="s">
        <v>17</v>
      </c>
      <c r="D680" s="1">
        <v>45942</v>
      </c>
      <c r="E680" s="1">
        <v>45945</v>
      </c>
      <c r="F680" s="1">
        <v>45949</v>
      </c>
      <c r="G680" s="1">
        <v>45953</v>
      </c>
      <c r="H680" t="s">
        <v>25</v>
      </c>
      <c r="I680" t="s">
        <v>65</v>
      </c>
      <c r="J680" s="1"/>
      <c r="K680">
        <v>3</v>
      </c>
      <c r="L680">
        <v>4</v>
      </c>
      <c r="M680">
        <v>4</v>
      </c>
      <c r="O680">
        <v>11</v>
      </c>
      <c r="P680" t="b">
        <f>IF(EPe_BA_intern_assesment_Raw_data___Sheet13[[#This Row],[Customer Rating]]&gt;8,EPe_BA_intern_assesment_Raw_data___Sheet13[[#This Row],[Customer Rating]])</f>
        <v>0</v>
      </c>
      <c r="Q680" t="str">
        <f>IF(AND(EPe_BA_intern_assesment_Raw_data___Sheet13[[#This Row],[Customer Rating]]&gt;6,EPe_BA_intern_assesment_Raw_data___Sheet13[[#This Row],[Customer Rating]]&lt;9), EPe_BA_intern_assesment_Raw_data___Sheet13[[#This Row],[Customer Rating]], "")</f>
        <v/>
      </c>
      <c r="R680">
        <f>IF(EPe_BA_intern_assesment_Raw_data___Sheet13[[#This Row],[Customer Rating]]&lt;7,EPe_BA_intern_assesment_Raw_data___Sheet13[[#This Row],[Customer Rating]])</f>
        <v>0</v>
      </c>
    </row>
    <row r="681" spans="1:18" x14ac:dyDescent="0.3">
      <c r="A681" t="s">
        <v>709</v>
      </c>
      <c r="B681" t="s">
        <v>21</v>
      </c>
      <c r="C681" t="s">
        <v>17</v>
      </c>
      <c r="D681" s="1">
        <v>45938</v>
      </c>
      <c r="E681" s="1">
        <v>45942</v>
      </c>
      <c r="F681" s="1">
        <v>45945</v>
      </c>
      <c r="G681" s="1">
        <v>45947</v>
      </c>
      <c r="H681" t="s">
        <v>18</v>
      </c>
      <c r="I681" t="s">
        <v>19</v>
      </c>
      <c r="J681" s="1">
        <v>45976</v>
      </c>
      <c r="K681">
        <v>4</v>
      </c>
      <c r="L681">
        <v>3</v>
      </c>
      <c r="M681">
        <v>2</v>
      </c>
      <c r="N681">
        <v>10</v>
      </c>
      <c r="O681">
        <v>9</v>
      </c>
      <c r="P681">
        <f>IF(EPe_BA_intern_assesment_Raw_data___Sheet13[[#This Row],[Customer Rating]]&gt;8,EPe_BA_intern_assesment_Raw_data___Sheet13[[#This Row],[Customer Rating]])</f>
        <v>10</v>
      </c>
      <c r="Q681" t="str">
        <f>IF(AND(EPe_BA_intern_assesment_Raw_data___Sheet13[[#This Row],[Customer Rating]]&gt;6,EPe_BA_intern_assesment_Raw_data___Sheet13[[#This Row],[Customer Rating]]&lt;9), EPe_BA_intern_assesment_Raw_data___Sheet13[[#This Row],[Customer Rating]], "")</f>
        <v/>
      </c>
      <c r="R681" t="b">
        <f>IF(EPe_BA_intern_assesment_Raw_data___Sheet13[[#This Row],[Customer Rating]]&lt;7,EPe_BA_intern_assesment_Raw_data___Sheet13[[#This Row],[Customer Rating]])</f>
        <v>0</v>
      </c>
    </row>
    <row r="682" spans="1:18" x14ac:dyDescent="0.3">
      <c r="A682" t="s">
        <v>710</v>
      </c>
      <c r="B682" t="s">
        <v>21</v>
      </c>
      <c r="C682" t="s">
        <v>17</v>
      </c>
      <c r="D682" s="1">
        <v>45951</v>
      </c>
      <c r="E682" s="1">
        <v>45952</v>
      </c>
      <c r="F682" s="1">
        <v>45953</v>
      </c>
      <c r="G682" s="1">
        <v>45959</v>
      </c>
      <c r="H682" t="s">
        <v>18</v>
      </c>
      <c r="I682" t="s">
        <v>19</v>
      </c>
      <c r="J682" s="1">
        <v>45971</v>
      </c>
      <c r="K682">
        <v>1</v>
      </c>
      <c r="L682">
        <v>1</v>
      </c>
      <c r="M682">
        <v>6</v>
      </c>
      <c r="N682">
        <v>2</v>
      </c>
      <c r="O682">
        <v>8</v>
      </c>
      <c r="P682" t="b">
        <f>IF(EPe_BA_intern_assesment_Raw_data___Sheet13[[#This Row],[Customer Rating]]&gt;8,EPe_BA_intern_assesment_Raw_data___Sheet13[[#This Row],[Customer Rating]])</f>
        <v>0</v>
      </c>
      <c r="Q682" t="str">
        <f>IF(AND(EPe_BA_intern_assesment_Raw_data___Sheet13[[#This Row],[Customer Rating]]&gt;6,EPe_BA_intern_assesment_Raw_data___Sheet13[[#This Row],[Customer Rating]]&lt;9), EPe_BA_intern_assesment_Raw_data___Sheet13[[#This Row],[Customer Rating]], "")</f>
        <v/>
      </c>
      <c r="R682">
        <f>IF(EPe_BA_intern_assesment_Raw_data___Sheet13[[#This Row],[Customer Rating]]&lt;7,EPe_BA_intern_assesment_Raw_data___Sheet13[[#This Row],[Customer Rating]])</f>
        <v>2</v>
      </c>
    </row>
    <row r="683" spans="1:18" x14ac:dyDescent="0.3">
      <c r="A683" t="s">
        <v>711</v>
      </c>
      <c r="B683" t="s">
        <v>34</v>
      </c>
      <c r="C683" t="s">
        <v>17</v>
      </c>
      <c r="D683" s="1">
        <v>45937</v>
      </c>
      <c r="E683" s="1">
        <v>45942</v>
      </c>
      <c r="F683" s="1">
        <v>45943</v>
      </c>
      <c r="G683" s="1">
        <v>45948</v>
      </c>
      <c r="H683" t="s">
        <v>18</v>
      </c>
      <c r="I683" t="s">
        <v>19</v>
      </c>
      <c r="J683" s="1">
        <v>45973</v>
      </c>
      <c r="K683">
        <v>5</v>
      </c>
      <c r="L683">
        <v>1</v>
      </c>
      <c r="M683">
        <v>5</v>
      </c>
      <c r="N683">
        <v>9</v>
      </c>
      <c r="O683">
        <v>11</v>
      </c>
      <c r="P683">
        <f>IF(EPe_BA_intern_assesment_Raw_data___Sheet13[[#This Row],[Customer Rating]]&gt;8,EPe_BA_intern_assesment_Raw_data___Sheet13[[#This Row],[Customer Rating]])</f>
        <v>9</v>
      </c>
      <c r="Q683" t="str">
        <f>IF(AND(EPe_BA_intern_assesment_Raw_data___Sheet13[[#This Row],[Customer Rating]]&gt;6,EPe_BA_intern_assesment_Raw_data___Sheet13[[#This Row],[Customer Rating]]&lt;9), EPe_BA_intern_assesment_Raw_data___Sheet13[[#This Row],[Customer Rating]], "")</f>
        <v/>
      </c>
      <c r="R683" t="b">
        <f>IF(EPe_BA_intern_assesment_Raw_data___Sheet13[[#This Row],[Customer Rating]]&lt;7,EPe_BA_intern_assesment_Raw_data___Sheet13[[#This Row],[Customer Rating]])</f>
        <v>0</v>
      </c>
    </row>
    <row r="684" spans="1:18" x14ac:dyDescent="0.3">
      <c r="A684" t="s">
        <v>712</v>
      </c>
      <c r="B684" t="s">
        <v>23</v>
      </c>
      <c r="C684" t="s">
        <v>32</v>
      </c>
      <c r="D684" s="1">
        <v>45950</v>
      </c>
      <c r="E684" s="1">
        <v>45952</v>
      </c>
      <c r="F684" s="1">
        <v>45955</v>
      </c>
      <c r="G684" s="1">
        <v>45957</v>
      </c>
      <c r="H684" t="s">
        <v>18</v>
      </c>
      <c r="I684" t="s">
        <v>19</v>
      </c>
      <c r="J684" s="1">
        <v>45973</v>
      </c>
      <c r="K684">
        <v>2</v>
      </c>
      <c r="L684">
        <v>3</v>
      </c>
      <c r="M684">
        <v>2</v>
      </c>
      <c r="N684">
        <v>8</v>
      </c>
      <c r="O684">
        <v>7</v>
      </c>
      <c r="P684" t="b">
        <f>IF(EPe_BA_intern_assesment_Raw_data___Sheet13[[#This Row],[Customer Rating]]&gt;8,EPe_BA_intern_assesment_Raw_data___Sheet13[[#This Row],[Customer Rating]])</f>
        <v>0</v>
      </c>
      <c r="Q684">
        <f>IF(AND(EPe_BA_intern_assesment_Raw_data___Sheet13[[#This Row],[Customer Rating]]&gt;6,EPe_BA_intern_assesment_Raw_data___Sheet13[[#This Row],[Customer Rating]]&lt;9), EPe_BA_intern_assesment_Raw_data___Sheet13[[#This Row],[Customer Rating]], "")</f>
        <v>8</v>
      </c>
      <c r="R684" t="b">
        <f>IF(EPe_BA_intern_assesment_Raw_data___Sheet13[[#This Row],[Customer Rating]]&lt;7,EPe_BA_intern_assesment_Raw_data___Sheet13[[#This Row],[Customer Rating]])</f>
        <v>0</v>
      </c>
    </row>
    <row r="685" spans="1:18" x14ac:dyDescent="0.3">
      <c r="A685" t="s">
        <v>713</v>
      </c>
      <c r="B685" t="s">
        <v>16</v>
      </c>
      <c r="C685" t="s">
        <v>24</v>
      </c>
      <c r="D685" s="1">
        <v>45939</v>
      </c>
      <c r="E685" s="1"/>
      <c r="F685" s="1"/>
      <c r="G685" s="1"/>
      <c r="H685" t="s">
        <v>25</v>
      </c>
      <c r="I685" t="s">
        <v>103</v>
      </c>
      <c r="J685" s="1"/>
      <c r="P685" t="b">
        <f>IF(EPe_BA_intern_assesment_Raw_data___Sheet13[[#This Row],[Customer Rating]]&gt;8,EPe_BA_intern_assesment_Raw_data___Sheet13[[#This Row],[Customer Rating]])</f>
        <v>0</v>
      </c>
      <c r="Q685" t="str">
        <f>IF(AND(EPe_BA_intern_assesment_Raw_data___Sheet13[[#This Row],[Customer Rating]]&gt;6,EPe_BA_intern_assesment_Raw_data___Sheet13[[#This Row],[Customer Rating]]&lt;9), EPe_BA_intern_assesment_Raw_data___Sheet13[[#This Row],[Customer Rating]], "")</f>
        <v/>
      </c>
      <c r="R685">
        <f>IF(EPe_BA_intern_assesment_Raw_data___Sheet13[[#This Row],[Customer Rating]]&lt;7,EPe_BA_intern_assesment_Raw_data___Sheet13[[#This Row],[Customer Rating]])</f>
        <v>0</v>
      </c>
    </row>
    <row r="686" spans="1:18" x14ac:dyDescent="0.3">
      <c r="A686" t="s">
        <v>714</v>
      </c>
      <c r="B686" t="s">
        <v>34</v>
      </c>
      <c r="C686" t="s">
        <v>24</v>
      </c>
      <c r="D686" s="1">
        <v>45952</v>
      </c>
      <c r="E686" s="1"/>
      <c r="F686" s="1"/>
      <c r="G686" s="1"/>
      <c r="H686" t="s">
        <v>25</v>
      </c>
      <c r="I686" t="s">
        <v>103</v>
      </c>
      <c r="J686" s="1"/>
      <c r="P686" t="b">
        <f>IF(EPe_BA_intern_assesment_Raw_data___Sheet13[[#This Row],[Customer Rating]]&gt;8,EPe_BA_intern_assesment_Raw_data___Sheet13[[#This Row],[Customer Rating]])</f>
        <v>0</v>
      </c>
      <c r="Q686" t="str">
        <f>IF(AND(EPe_BA_intern_assesment_Raw_data___Sheet13[[#This Row],[Customer Rating]]&gt;6,EPe_BA_intern_assesment_Raw_data___Sheet13[[#This Row],[Customer Rating]]&lt;9), EPe_BA_intern_assesment_Raw_data___Sheet13[[#This Row],[Customer Rating]], "")</f>
        <v/>
      </c>
      <c r="R686">
        <f>IF(EPe_BA_intern_assesment_Raw_data___Sheet13[[#This Row],[Customer Rating]]&lt;7,EPe_BA_intern_assesment_Raw_data___Sheet13[[#This Row],[Customer Rating]])</f>
        <v>0</v>
      </c>
    </row>
    <row r="687" spans="1:18" x14ac:dyDescent="0.3">
      <c r="A687" t="s">
        <v>715</v>
      </c>
      <c r="B687" t="s">
        <v>16</v>
      </c>
      <c r="C687" t="s">
        <v>17</v>
      </c>
      <c r="D687" s="1">
        <v>45955</v>
      </c>
      <c r="E687" s="1">
        <v>45960</v>
      </c>
      <c r="F687" s="1">
        <v>45965</v>
      </c>
      <c r="G687" s="1">
        <v>45969</v>
      </c>
      <c r="H687" t="s">
        <v>18</v>
      </c>
      <c r="I687" t="s">
        <v>19</v>
      </c>
      <c r="J687" s="1">
        <v>45995</v>
      </c>
      <c r="K687">
        <v>5</v>
      </c>
      <c r="L687">
        <v>5</v>
      </c>
      <c r="M687">
        <v>4</v>
      </c>
      <c r="N687">
        <v>5</v>
      </c>
      <c r="O687">
        <v>14</v>
      </c>
      <c r="P687" t="b">
        <f>IF(EPe_BA_intern_assesment_Raw_data___Sheet13[[#This Row],[Customer Rating]]&gt;8,EPe_BA_intern_assesment_Raw_data___Sheet13[[#This Row],[Customer Rating]])</f>
        <v>0</v>
      </c>
      <c r="Q687" t="str">
        <f>IF(AND(EPe_BA_intern_assesment_Raw_data___Sheet13[[#This Row],[Customer Rating]]&gt;6,EPe_BA_intern_assesment_Raw_data___Sheet13[[#This Row],[Customer Rating]]&lt;9), EPe_BA_intern_assesment_Raw_data___Sheet13[[#This Row],[Customer Rating]], "")</f>
        <v/>
      </c>
      <c r="R687">
        <f>IF(EPe_BA_intern_assesment_Raw_data___Sheet13[[#This Row],[Customer Rating]]&lt;7,EPe_BA_intern_assesment_Raw_data___Sheet13[[#This Row],[Customer Rating]])</f>
        <v>5</v>
      </c>
    </row>
    <row r="688" spans="1:18" x14ac:dyDescent="0.3">
      <c r="A688" t="s">
        <v>716</v>
      </c>
      <c r="B688" t="s">
        <v>23</v>
      </c>
      <c r="C688" t="s">
        <v>24</v>
      </c>
      <c r="D688" s="1">
        <v>45954</v>
      </c>
      <c r="E688" s="1"/>
      <c r="F688" s="1"/>
      <c r="G688" s="1"/>
      <c r="H688" t="s">
        <v>25</v>
      </c>
      <c r="I688" t="s">
        <v>35</v>
      </c>
      <c r="J688" s="1"/>
      <c r="P688" t="b">
        <f>IF(EPe_BA_intern_assesment_Raw_data___Sheet13[[#This Row],[Customer Rating]]&gt;8,EPe_BA_intern_assesment_Raw_data___Sheet13[[#This Row],[Customer Rating]])</f>
        <v>0</v>
      </c>
      <c r="Q688" t="str">
        <f>IF(AND(EPe_BA_intern_assesment_Raw_data___Sheet13[[#This Row],[Customer Rating]]&gt;6,EPe_BA_intern_assesment_Raw_data___Sheet13[[#This Row],[Customer Rating]]&lt;9), EPe_BA_intern_assesment_Raw_data___Sheet13[[#This Row],[Customer Rating]], "")</f>
        <v/>
      </c>
      <c r="R688">
        <f>IF(EPe_BA_intern_assesment_Raw_data___Sheet13[[#This Row],[Customer Rating]]&lt;7,EPe_BA_intern_assesment_Raw_data___Sheet13[[#This Row],[Customer Rating]])</f>
        <v>0</v>
      </c>
    </row>
    <row r="689" spans="1:18" x14ac:dyDescent="0.3">
      <c r="A689" t="s">
        <v>717</v>
      </c>
      <c r="B689" t="s">
        <v>16</v>
      </c>
      <c r="C689" t="s">
        <v>24</v>
      </c>
      <c r="D689" s="1">
        <v>45955</v>
      </c>
      <c r="E689" s="1"/>
      <c r="F689" s="1"/>
      <c r="G689" s="1"/>
      <c r="H689" t="s">
        <v>25</v>
      </c>
      <c r="I689" t="s">
        <v>26</v>
      </c>
      <c r="J689" s="1"/>
      <c r="P689" t="b">
        <f>IF(EPe_BA_intern_assesment_Raw_data___Sheet13[[#This Row],[Customer Rating]]&gt;8,EPe_BA_intern_assesment_Raw_data___Sheet13[[#This Row],[Customer Rating]])</f>
        <v>0</v>
      </c>
      <c r="Q689" t="str">
        <f>IF(AND(EPe_BA_intern_assesment_Raw_data___Sheet13[[#This Row],[Customer Rating]]&gt;6,EPe_BA_intern_assesment_Raw_data___Sheet13[[#This Row],[Customer Rating]]&lt;9), EPe_BA_intern_assesment_Raw_data___Sheet13[[#This Row],[Customer Rating]], "")</f>
        <v/>
      </c>
      <c r="R689">
        <f>IF(EPe_BA_intern_assesment_Raw_data___Sheet13[[#This Row],[Customer Rating]]&lt;7,EPe_BA_intern_assesment_Raw_data___Sheet13[[#This Row],[Customer Rating]])</f>
        <v>0</v>
      </c>
    </row>
    <row r="690" spans="1:18" x14ac:dyDescent="0.3">
      <c r="A690" t="s">
        <v>718</v>
      </c>
      <c r="B690" t="s">
        <v>34</v>
      </c>
      <c r="C690" t="s">
        <v>17</v>
      </c>
      <c r="D690" s="1">
        <v>45952</v>
      </c>
      <c r="E690" s="1">
        <v>45955</v>
      </c>
      <c r="F690" s="1">
        <v>45960</v>
      </c>
      <c r="G690" s="1">
        <v>45963</v>
      </c>
      <c r="H690" t="s">
        <v>18</v>
      </c>
      <c r="I690" t="s">
        <v>19</v>
      </c>
      <c r="J690" s="1">
        <v>45976</v>
      </c>
      <c r="K690">
        <v>3</v>
      </c>
      <c r="L690">
        <v>5</v>
      </c>
      <c r="M690">
        <v>3</v>
      </c>
      <c r="N690">
        <v>5</v>
      </c>
      <c r="O690">
        <v>11</v>
      </c>
      <c r="P690" t="b">
        <f>IF(EPe_BA_intern_assesment_Raw_data___Sheet13[[#This Row],[Customer Rating]]&gt;8,EPe_BA_intern_assesment_Raw_data___Sheet13[[#This Row],[Customer Rating]])</f>
        <v>0</v>
      </c>
      <c r="Q690" t="str">
        <f>IF(AND(EPe_BA_intern_assesment_Raw_data___Sheet13[[#This Row],[Customer Rating]]&gt;6,EPe_BA_intern_assesment_Raw_data___Sheet13[[#This Row],[Customer Rating]]&lt;9), EPe_BA_intern_assesment_Raw_data___Sheet13[[#This Row],[Customer Rating]], "")</f>
        <v/>
      </c>
      <c r="R690">
        <f>IF(EPe_BA_intern_assesment_Raw_data___Sheet13[[#This Row],[Customer Rating]]&lt;7,EPe_BA_intern_assesment_Raw_data___Sheet13[[#This Row],[Customer Rating]])</f>
        <v>5</v>
      </c>
    </row>
    <row r="691" spans="1:18" x14ac:dyDescent="0.3">
      <c r="A691" t="s">
        <v>719</v>
      </c>
      <c r="B691" t="s">
        <v>16</v>
      </c>
      <c r="C691" t="s">
        <v>32</v>
      </c>
      <c r="D691" s="1">
        <v>45952</v>
      </c>
      <c r="E691" s="1">
        <v>45956</v>
      </c>
      <c r="F691" s="1">
        <v>45957</v>
      </c>
      <c r="G691" s="1">
        <v>45961</v>
      </c>
      <c r="H691" t="s">
        <v>18</v>
      </c>
      <c r="I691" t="s">
        <v>19</v>
      </c>
      <c r="J691" s="1">
        <v>45983</v>
      </c>
      <c r="K691">
        <v>4</v>
      </c>
      <c r="L691">
        <v>1</v>
      </c>
      <c r="M691">
        <v>4</v>
      </c>
      <c r="N691">
        <v>2</v>
      </c>
      <c r="O691">
        <v>9</v>
      </c>
      <c r="P691" t="b">
        <f>IF(EPe_BA_intern_assesment_Raw_data___Sheet13[[#This Row],[Customer Rating]]&gt;8,EPe_BA_intern_assesment_Raw_data___Sheet13[[#This Row],[Customer Rating]])</f>
        <v>0</v>
      </c>
      <c r="Q691" t="str">
        <f>IF(AND(EPe_BA_intern_assesment_Raw_data___Sheet13[[#This Row],[Customer Rating]]&gt;6,EPe_BA_intern_assesment_Raw_data___Sheet13[[#This Row],[Customer Rating]]&lt;9), EPe_BA_intern_assesment_Raw_data___Sheet13[[#This Row],[Customer Rating]], "")</f>
        <v/>
      </c>
      <c r="R691">
        <f>IF(EPe_BA_intern_assesment_Raw_data___Sheet13[[#This Row],[Customer Rating]]&lt;7,EPe_BA_intern_assesment_Raw_data___Sheet13[[#This Row],[Customer Rating]])</f>
        <v>2</v>
      </c>
    </row>
    <row r="692" spans="1:18" x14ac:dyDescent="0.3">
      <c r="A692" t="s">
        <v>720</v>
      </c>
      <c r="B692" t="s">
        <v>21</v>
      </c>
      <c r="C692" t="s">
        <v>17</v>
      </c>
      <c r="D692" s="1">
        <v>45957</v>
      </c>
      <c r="E692" s="1">
        <v>45960</v>
      </c>
      <c r="F692" s="1">
        <v>45962</v>
      </c>
      <c r="G692" s="1">
        <v>45968</v>
      </c>
      <c r="H692" t="s">
        <v>18</v>
      </c>
      <c r="I692" t="s">
        <v>19</v>
      </c>
      <c r="J692" s="1">
        <v>45994</v>
      </c>
      <c r="K692">
        <v>3</v>
      </c>
      <c r="L692">
        <v>2</v>
      </c>
      <c r="M692">
        <v>6</v>
      </c>
      <c r="N692">
        <v>7</v>
      </c>
      <c r="O692">
        <v>11</v>
      </c>
      <c r="P692" t="b">
        <f>IF(EPe_BA_intern_assesment_Raw_data___Sheet13[[#This Row],[Customer Rating]]&gt;8,EPe_BA_intern_assesment_Raw_data___Sheet13[[#This Row],[Customer Rating]])</f>
        <v>0</v>
      </c>
      <c r="Q692">
        <f>IF(AND(EPe_BA_intern_assesment_Raw_data___Sheet13[[#This Row],[Customer Rating]]&gt;6,EPe_BA_intern_assesment_Raw_data___Sheet13[[#This Row],[Customer Rating]]&lt;9), EPe_BA_intern_assesment_Raw_data___Sheet13[[#This Row],[Customer Rating]], "")</f>
        <v>7</v>
      </c>
      <c r="R692" t="b">
        <f>IF(EPe_BA_intern_assesment_Raw_data___Sheet13[[#This Row],[Customer Rating]]&lt;7,EPe_BA_intern_assesment_Raw_data___Sheet13[[#This Row],[Customer Rating]])</f>
        <v>0</v>
      </c>
    </row>
    <row r="693" spans="1:18" x14ac:dyDescent="0.3">
      <c r="A693" t="s">
        <v>721</v>
      </c>
      <c r="B693" t="s">
        <v>23</v>
      </c>
      <c r="C693" t="s">
        <v>17</v>
      </c>
      <c r="D693" s="1">
        <v>45935</v>
      </c>
      <c r="E693" s="1">
        <v>45938</v>
      </c>
      <c r="F693" s="1">
        <v>45941</v>
      </c>
      <c r="G693" s="1">
        <v>45945</v>
      </c>
      <c r="H693" t="s">
        <v>18</v>
      </c>
      <c r="I693" t="s">
        <v>19</v>
      </c>
      <c r="J693" s="1">
        <v>45964</v>
      </c>
      <c r="K693">
        <v>3</v>
      </c>
      <c r="L693">
        <v>3</v>
      </c>
      <c r="M693">
        <v>4</v>
      </c>
      <c r="N693">
        <v>3</v>
      </c>
      <c r="O693">
        <v>10</v>
      </c>
      <c r="P693" t="b">
        <f>IF(EPe_BA_intern_assesment_Raw_data___Sheet13[[#This Row],[Customer Rating]]&gt;8,EPe_BA_intern_assesment_Raw_data___Sheet13[[#This Row],[Customer Rating]])</f>
        <v>0</v>
      </c>
      <c r="Q693" t="str">
        <f>IF(AND(EPe_BA_intern_assesment_Raw_data___Sheet13[[#This Row],[Customer Rating]]&gt;6,EPe_BA_intern_assesment_Raw_data___Sheet13[[#This Row],[Customer Rating]]&lt;9), EPe_BA_intern_assesment_Raw_data___Sheet13[[#This Row],[Customer Rating]], "")</f>
        <v/>
      </c>
      <c r="R693">
        <f>IF(EPe_BA_intern_assesment_Raw_data___Sheet13[[#This Row],[Customer Rating]]&lt;7,EPe_BA_intern_assesment_Raw_data___Sheet13[[#This Row],[Customer Rating]])</f>
        <v>3</v>
      </c>
    </row>
    <row r="694" spans="1:18" x14ac:dyDescent="0.3">
      <c r="A694" t="s">
        <v>722</v>
      </c>
      <c r="B694" t="s">
        <v>23</v>
      </c>
      <c r="C694" t="s">
        <v>32</v>
      </c>
      <c r="D694" s="1">
        <v>45951</v>
      </c>
      <c r="E694" s="1">
        <v>45953</v>
      </c>
      <c r="F694" s="1">
        <v>45954</v>
      </c>
      <c r="G694" s="1">
        <v>45961</v>
      </c>
      <c r="H694" t="s">
        <v>18</v>
      </c>
      <c r="I694" t="s">
        <v>19</v>
      </c>
      <c r="J694" s="1">
        <v>45984</v>
      </c>
      <c r="K694">
        <v>2</v>
      </c>
      <c r="L694">
        <v>1</v>
      </c>
      <c r="M694">
        <v>7</v>
      </c>
      <c r="N694">
        <v>8</v>
      </c>
      <c r="O694">
        <v>10</v>
      </c>
      <c r="P694" t="b">
        <f>IF(EPe_BA_intern_assesment_Raw_data___Sheet13[[#This Row],[Customer Rating]]&gt;8,EPe_BA_intern_assesment_Raw_data___Sheet13[[#This Row],[Customer Rating]])</f>
        <v>0</v>
      </c>
      <c r="Q694">
        <f>IF(AND(EPe_BA_intern_assesment_Raw_data___Sheet13[[#This Row],[Customer Rating]]&gt;6,EPe_BA_intern_assesment_Raw_data___Sheet13[[#This Row],[Customer Rating]]&lt;9), EPe_BA_intern_assesment_Raw_data___Sheet13[[#This Row],[Customer Rating]], "")</f>
        <v>8</v>
      </c>
      <c r="R694" t="b">
        <f>IF(EPe_BA_intern_assesment_Raw_data___Sheet13[[#This Row],[Customer Rating]]&lt;7,EPe_BA_intern_assesment_Raw_data___Sheet13[[#This Row],[Customer Rating]])</f>
        <v>0</v>
      </c>
    </row>
    <row r="695" spans="1:18" x14ac:dyDescent="0.3">
      <c r="A695" t="s">
        <v>723</v>
      </c>
      <c r="B695" t="s">
        <v>23</v>
      </c>
      <c r="C695" t="s">
        <v>32</v>
      </c>
      <c r="D695" s="1">
        <v>45934</v>
      </c>
      <c r="E695" s="1">
        <v>45935</v>
      </c>
      <c r="F695" s="1">
        <v>45937</v>
      </c>
      <c r="G695" s="1">
        <v>45943</v>
      </c>
      <c r="H695" t="s">
        <v>18</v>
      </c>
      <c r="I695" t="s">
        <v>19</v>
      </c>
      <c r="J695" s="1">
        <v>45954</v>
      </c>
      <c r="K695">
        <v>1</v>
      </c>
      <c r="L695">
        <v>2</v>
      </c>
      <c r="M695">
        <v>6</v>
      </c>
      <c r="N695">
        <v>7</v>
      </c>
      <c r="O695">
        <v>9</v>
      </c>
      <c r="P695" t="b">
        <f>IF(EPe_BA_intern_assesment_Raw_data___Sheet13[[#This Row],[Customer Rating]]&gt;8,EPe_BA_intern_assesment_Raw_data___Sheet13[[#This Row],[Customer Rating]])</f>
        <v>0</v>
      </c>
      <c r="Q695">
        <f>IF(AND(EPe_BA_intern_assesment_Raw_data___Sheet13[[#This Row],[Customer Rating]]&gt;6,EPe_BA_intern_assesment_Raw_data___Sheet13[[#This Row],[Customer Rating]]&lt;9), EPe_BA_intern_assesment_Raw_data___Sheet13[[#This Row],[Customer Rating]], "")</f>
        <v>7</v>
      </c>
      <c r="R695" t="b">
        <f>IF(EPe_BA_intern_assesment_Raw_data___Sheet13[[#This Row],[Customer Rating]]&lt;7,EPe_BA_intern_assesment_Raw_data___Sheet13[[#This Row],[Customer Rating]])</f>
        <v>0</v>
      </c>
    </row>
    <row r="696" spans="1:18" x14ac:dyDescent="0.3">
      <c r="A696" t="s">
        <v>724</v>
      </c>
      <c r="B696" t="s">
        <v>34</v>
      </c>
      <c r="C696" t="s">
        <v>17</v>
      </c>
      <c r="D696" s="1">
        <v>45959</v>
      </c>
      <c r="E696" s="1">
        <v>45960</v>
      </c>
      <c r="F696" s="1">
        <v>45965</v>
      </c>
      <c r="G696" s="1">
        <v>45968</v>
      </c>
      <c r="H696" t="s">
        <v>18</v>
      </c>
      <c r="I696" t="s">
        <v>19</v>
      </c>
      <c r="J696" s="1">
        <v>45982</v>
      </c>
      <c r="K696">
        <v>1</v>
      </c>
      <c r="L696">
        <v>5</v>
      </c>
      <c r="M696">
        <v>3</v>
      </c>
      <c r="N696">
        <v>2</v>
      </c>
      <c r="O696">
        <v>9</v>
      </c>
      <c r="P696" t="b">
        <f>IF(EPe_BA_intern_assesment_Raw_data___Sheet13[[#This Row],[Customer Rating]]&gt;8,EPe_BA_intern_assesment_Raw_data___Sheet13[[#This Row],[Customer Rating]])</f>
        <v>0</v>
      </c>
      <c r="Q696" t="str">
        <f>IF(AND(EPe_BA_intern_assesment_Raw_data___Sheet13[[#This Row],[Customer Rating]]&gt;6,EPe_BA_intern_assesment_Raw_data___Sheet13[[#This Row],[Customer Rating]]&lt;9), EPe_BA_intern_assesment_Raw_data___Sheet13[[#This Row],[Customer Rating]], "")</f>
        <v/>
      </c>
      <c r="R696">
        <f>IF(EPe_BA_intern_assesment_Raw_data___Sheet13[[#This Row],[Customer Rating]]&lt;7,EPe_BA_intern_assesment_Raw_data___Sheet13[[#This Row],[Customer Rating]])</f>
        <v>2</v>
      </c>
    </row>
    <row r="697" spans="1:18" x14ac:dyDescent="0.3">
      <c r="A697" t="s">
        <v>725</v>
      </c>
      <c r="B697" t="s">
        <v>23</v>
      </c>
      <c r="C697" t="s">
        <v>32</v>
      </c>
      <c r="D697" s="1">
        <v>45951</v>
      </c>
      <c r="E697" s="1">
        <v>45953</v>
      </c>
      <c r="F697" s="1">
        <v>45955</v>
      </c>
      <c r="G697" s="1">
        <v>45960</v>
      </c>
      <c r="H697" t="s">
        <v>18</v>
      </c>
      <c r="I697" t="s">
        <v>19</v>
      </c>
      <c r="J697" s="1">
        <v>45974</v>
      </c>
      <c r="K697">
        <v>2</v>
      </c>
      <c r="L697">
        <v>2</v>
      </c>
      <c r="M697">
        <v>5</v>
      </c>
      <c r="N697">
        <v>2</v>
      </c>
      <c r="O697">
        <v>9</v>
      </c>
      <c r="P697" t="b">
        <f>IF(EPe_BA_intern_assesment_Raw_data___Sheet13[[#This Row],[Customer Rating]]&gt;8,EPe_BA_intern_assesment_Raw_data___Sheet13[[#This Row],[Customer Rating]])</f>
        <v>0</v>
      </c>
      <c r="Q697" t="str">
        <f>IF(AND(EPe_BA_intern_assesment_Raw_data___Sheet13[[#This Row],[Customer Rating]]&gt;6,EPe_BA_intern_assesment_Raw_data___Sheet13[[#This Row],[Customer Rating]]&lt;9), EPe_BA_intern_assesment_Raw_data___Sheet13[[#This Row],[Customer Rating]], "")</f>
        <v/>
      </c>
      <c r="R697">
        <f>IF(EPe_BA_intern_assesment_Raw_data___Sheet13[[#This Row],[Customer Rating]]&lt;7,EPe_BA_intern_assesment_Raw_data___Sheet13[[#This Row],[Customer Rating]])</f>
        <v>2</v>
      </c>
    </row>
    <row r="698" spans="1:18" x14ac:dyDescent="0.3">
      <c r="A698" t="s">
        <v>726</v>
      </c>
      <c r="B698" t="s">
        <v>21</v>
      </c>
      <c r="C698" t="s">
        <v>17</v>
      </c>
      <c r="D698" s="1">
        <v>45951</v>
      </c>
      <c r="E698" s="1">
        <v>45955</v>
      </c>
      <c r="F698" s="1">
        <v>45959</v>
      </c>
      <c r="G698" s="1">
        <v>45963</v>
      </c>
      <c r="H698" t="s">
        <v>18</v>
      </c>
      <c r="I698" t="s">
        <v>19</v>
      </c>
      <c r="J698" s="1">
        <v>45979</v>
      </c>
      <c r="K698">
        <v>4</v>
      </c>
      <c r="L698">
        <v>4</v>
      </c>
      <c r="M698">
        <v>4</v>
      </c>
      <c r="N698">
        <v>9</v>
      </c>
      <c r="O698">
        <v>12</v>
      </c>
      <c r="P698">
        <f>IF(EPe_BA_intern_assesment_Raw_data___Sheet13[[#This Row],[Customer Rating]]&gt;8,EPe_BA_intern_assesment_Raw_data___Sheet13[[#This Row],[Customer Rating]])</f>
        <v>9</v>
      </c>
      <c r="Q698" t="str">
        <f>IF(AND(EPe_BA_intern_assesment_Raw_data___Sheet13[[#This Row],[Customer Rating]]&gt;6,EPe_BA_intern_assesment_Raw_data___Sheet13[[#This Row],[Customer Rating]]&lt;9), EPe_BA_intern_assesment_Raw_data___Sheet13[[#This Row],[Customer Rating]], "")</f>
        <v/>
      </c>
      <c r="R698" t="b">
        <f>IF(EPe_BA_intern_assesment_Raw_data___Sheet13[[#This Row],[Customer Rating]]&lt;7,EPe_BA_intern_assesment_Raw_data___Sheet13[[#This Row],[Customer Rating]])</f>
        <v>0</v>
      </c>
    </row>
    <row r="699" spans="1:18" x14ac:dyDescent="0.3">
      <c r="A699" t="s">
        <v>727</v>
      </c>
      <c r="B699" t="s">
        <v>34</v>
      </c>
      <c r="C699" t="s">
        <v>24</v>
      </c>
      <c r="D699" s="1">
        <v>45932</v>
      </c>
      <c r="E699" s="1"/>
      <c r="F699" s="1"/>
      <c r="G699" s="1"/>
      <c r="H699" t="s">
        <v>25</v>
      </c>
      <c r="I699" t="s">
        <v>103</v>
      </c>
      <c r="J699" s="1"/>
      <c r="P699" t="b">
        <f>IF(EPe_BA_intern_assesment_Raw_data___Sheet13[[#This Row],[Customer Rating]]&gt;8,EPe_BA_intern_assesment_Raw_data___Sheet13[[#This Row],[Customer Rating]])</f>
        <v>0</v>
      </c>
      <c r="Q699" t="str">
        <f>IF(AND(EPe_BA_intern_assesment_Raw_data___Sheet13[[#This Row],[Customer Rating]]&gt;6,EPe_BA_intern_assesment_Raw_data___Sheet13[[#This Row],[Customer Rating]]&lt;9), EPe_BA_intern_assesment_Raw_data___Sheet13[[#This Row],[Customer Rating]], "")</f>
        <v/>
      </c>
      <c r="R699">
        <f>IF(EPe_BA_intern_assesment_Raw_data___Sheet13[[#This Row],[Customer Rating]]&lt;7,EPe_BA_intern_assesment_Raw_data___Sheet13[[#This Row],[Customer Rating]])</f>
        <v>0</v>
      </c>
    </row>
    <row r="700" spans="1:18" x14ac:dyDescent="0.3">
      <c r="A700" t="s">
        <v>728</v>
      </c>
      <c r="B700" t="s">
        <v>21</v>
      </c>
      <c r="C700" t="s">
        <v>24</v>
      </c>
      <c r="D700" s="1">
        <v>45940</v>
      </c>
      <c r="E700" s="1"/>
      <c r="F700" s="1"/>
      <c r="G700" s="1"/>
      <c r="H700" t="s">
        <v>25</v>
      </c>
      <c r="I700" t="s">
        <v>103</v>
      </c>
      <c r="J700" s="1"/>
      <c r="P700" t="b">
        <f>IF(EPe_BA_intern_assesment_Raw_data___Sheet13[[#This Row],[Customer Rating]]&gt;8,EPe_BA_intern_assesment_Raw_data___Sheet13[[#This Row],[Customer Rating]])</f>
        <v>0</v>
      </c>
      <c r="Q700" t="str">
        <f>IF(AND(EPe_BA_intern_assesment_Raw_data___Sheet13[[#This Row],[Customer Rating]]&gt;6,EPe_BA_intern_assesment_Raw_data___Sheet13[[#This Row],[Customer Rating]]&lt;9), EPe_BA_intern_assesment_Raw_data___Sheet13[[#This Row],[Customer Rating]], "")</f>
        <v/>
      </c>
      <c r="R700">
        <f>IF(EPe_BA_intern_assesment_Raw_data___Sheet13[[#This Row],[Customer Rating]]&lt;7,EPe_BA_intern_assesment_Raw_data___Sheet13[[#This Row],[Customer Rating]])</f>
        <v>0</v>
      </c>
    </row>
    <row r="701" spans="1:18" x14ac:dyDescent="0.3">
      <c r="A701" t="s">
        <v>729</v>
      </c>
      <c r="B701" t="s">
        <v>16</v>
      </c>
      <c r="C701" t="s">
        <v>32</v>
      </c>
      <c r="D701" s="1">
        <v>45956</v>
      </c>
      <c r="E701" s="1">
        <v>45961</v>
      </c>
      <c r="F701" s="1">
        <v>45962</v>
      </c>
      <c r="G701" s="1">
        <v>45968</v>
      </c>
      <c r="H701" t="s">
        <v>18</v>
      </c>
      <c r="I701" t="s">
        <v>19</v>
      </c>
      <c r="J701" s="1">
        <v>45988</v>
      </c>
      <c r="K701">
        <v>5</v>
      </c>
      <c r="L701">
        <v>1</v>
      </c>
      <c r="M701">
        <v>6</v>
      </c>
      <c r="N701">
        <v>7</v>
      </c>
      <c r="O701">
        <v>12</v>
      </c>
      <c r="P701" t="b">
        <f>IF(EPe_BA_intern_assesment_Raw_data___Sheet13[[#This Row],[Customer Rating]]&gt;8,EPe_BA_intern_assesment_Raw_data___Sheet13[[#This Row],[Customer Rating]])</f>
        <v>0</v>
      </c>
      <c r="Q701">
        <f>IF(AND(EPe_BA_intern_assesment_Raw_data___Sheet13[[#This Row],[Customer Rating]]&gt;6,EPe_BA_intern_assesment_Raw_data___Sheet13[[#This Row],[Customer Rating]]&lt;9), EPe_BA_intern_assesment_Raw_data___Sheet13[[#This Row],[Customer Rating]], "")</f>
        <v>7</v>
      </c>
      <c r="R701" t="b">
        <f>IF(EPe_BA_intern_assesment_Raw_data___Sheet13[[#This Row],[Customer Rating]]&lt;7,EPe_BA_intern_assesment_Raw_data___Sheet13[[#This Row],[Customer Rating]])</f>
        <v>0</v>
      </c>
    </row>
    <row r="702" spans="1:18" x14ac:dyDescent="0.3">
      <c r="A702" t="s">
        <v>730</v>
      </c>
      <c r="B702" t="s">
        <v>16</v>
      </c>
      <c r="C702" t="s">
        <v>24</v>
      </c>
      <c r="D702" s="1">
        <v>45945</v>
      </c>
      <c r="E702" s="1"/>
      <c r="F702" s="1"/>
      <c r="G702" s="1"/>
      <c r="H702" t="s">
        <v>25</v>
      </c>
      <c r="I702" t="s">
        <v>65</v>
      </c>
      <c r="J702" s="1"/>
      <c r="P702" t="b">
        <f>IF(EPe_BA_intern_assesment_Raw_data___Sheet13[[#This Row],[Customer Rating]]&gt;8,EPe_BA_intern_assesment_Raw_data___Sheet13[[#This Row],[Customer Rating]])</f>
        <v>0</v>
      </c>
      <c r="Q702" t="str">
        <f>IF(AND(EPe_BA_intern_assesment_Raw_data___Sheet13[[#This Row],[Customer Rating]]&gt;6,EPe_BA_intern_assesment_Raw_data___Sheet13[[#This Row],[Customer Rating]]&lt;9), EPe_BA_intern_assesment_Raw_data___Sheet13[[#This Row],[Customer Rating]], "")</f>
        <v/>
      </c>
      <c r="R702">
        <f>IF(EPe_BA_intern_assesment_Raw_data___Sheet13[[#This Row],[Customer Rating]]&lt;7,EPe_BA_intern_assesment_Raw_data___Sheet13[[#This Row],[Customer Rating]])</f>
        <v>0</v>
      </c>
    </row>
    <row r="703" spans="1:18" x14ac:dyDescent="0.3">
      <c r="A703" t="s">
        <v>731</v>
      </c>
      <c r="B703" t="s">
        <v>16</v>
      </c>
      <c r="C703" t="s">
        <v>32</v>
      </c>
      <c r="D703" s="1">
        <v>45932</v>
      </c>
      <c r="E703" s="1">
        <v>45936</v>
      </c>
      <c r="F703" s="1">
        <v>45939</v>
      </c>
      <c r="G703" s="1">
        <v>45944</v>
      </c>
      <c r="H703" t="s">
        <v>18</v>
      </c>
      <c r="I703" t="s">
        <v>19</v>
      </c>
      <c r="J703" s="1">
        <v>45967</v>
      </c>
      <c r="K703">
        <v>4</v>
      </c>
      <c r="L703">
        <v>3</v>
      </c>
      <c r="M703">
        <v>5</v>
      </c>
      <c r="N703">
        <v>9</v>
      </c>
      <c r="O703">
        <v>12</v>
      </c>
      <c r="P703">
        <f>IF(EPe_BA_intern_assesment_Raw_data___Sheet13[[#This Row],[Customer Rating]]&gt;8,EPe_BA_intern_assesment_Raw_data___Sheet13[[#This Row],[Customer Rating]])</f>
        <v>9</v>
      </c>
      <c r="Q703" t="str">
        <f>IF(AND(EPe_BA_intern_assesment_Raw_data___Sheet13[[#This Row],[Customer Rating]]&gt;6,EPe_BA_intern_assesment_Raw_data___Sheet13[[#This Row],[Customer Rating]]&lt;9), EPe_BA_intern_assesment_Raw_data___Sheet13[[#This Row],[Customer Rating]], "")</f>
        <v/>
      </c>
      <c r="R703" t="b">
        <f>IF(EPe_BA_intern_assesment_Raw_data___Sheet13[[#This Row],[Customer Rating]]&lt;7,EPe_BA_intern_assesment_Raw_data___Sheet13[[#This Row],[Customer Rating]])</f>
        <v>0</v>
      </c>
    </row>
    <row r="704" spans="1:18" x14ac:dyDescent="0.3">
      <c r="A704" t="s">
        <v>732</v>
      </c>
      <c r="B704" t="s">
        <v>16</v>
      </c>
      <c r="C704" t="s">
        <v>32</v>
      </c>
      <c r="D704" s="1">
        <v>45949</v>
      </c>
      <c r="E704" s="1">
        <v>45954</v>
      </c>
      <c r="F704" s="1">
        <v>45956</v>
      </c>
      <c r="G704" s="1">
        <v>45959</v>
      </c>
      <c r="H704" t="s">
        <v>25</v>
      </c>
      <c r="I704" t="s">
        <v>28</v>
      </c>
      <c r="J704" s="1"/>
      <c r="K704">
        <v>5</v>
      </c>
      <c r="L704">
        <v>2</v>
      </c>
      <c r="M704">
        <v>3</v>
      </c>
      <c r="O704">
        <v>10</v>
      </c>
      <c r="P704" t="b">
        <f>IF(EPe_BA_intern_assesment_Raw_data___Sheet13[[#This Row],[Customer Rating]]&gt;8,EPe_BA_intern_assesment_Raw_data___Sheet13[[#This Row],[Customer Rating]])</f>
        <v>0</v>
      </c>
      <c r="Q704" t="str">
        <f>IF(AND(EPe_BA_intern_assesment_Raw_data___Sheet13[[#This Row],[Customer Rating]]&gt;6,EPe_BA_intern_assesment_Raw_data___Sheet13[[#This Row],[Customer Rating]]&lt;9), EPe_BA_intern_assesment_Raw_data___Sheet13[[#This Row],[Customer Rating]], "")</f>
        <v/>
      </c>
      <c r="R704">
        <f>IF(EPe_BA_intern_assesment_Raw_data___Sheet13[[#This Row],[Customer Rating]]&lt;7,EPe_BA_intern_assesment_Raw_data___Sheet13[[#This Row],[Customer Rating]])</f>
        <v>0</v>
      </c>
    </row>
    <row r="705" spans="1:18" x14ac:dyDescent="0.3">
      <c r="A705" t="s">
        <v>733</v>
      </c>
      <c r="B705" t="s">
        <v>21</v>
      </c>
      <c r="C705" t="s">
        <v>17</v>
      </c>
      <c r="D705" s="1">
        <v>45942</v>
      </c>
      <c r="E705" s="1">
        <v>45943</v>
      </c>
      <c r="F705" s="1">
        <v>45948</v>
      </c>
      <c r="G705" s="1">
        <v>45955</v>
      </c>
      <c r="H705" t="s">
        <v>18</v>
      </c>
      <c r="I705" t="s">
        <v>19</v>
      </c>
      <c r="J705" s="1">
        <v>45983</v>
      </c>
      <c r="K705">
        <v>1</v>
      </c>
      <c r="L705">
        <v>5</v>
      </c>
      <c r="M705">
        <v>7</v>
      </c>
      <c r="N705">
        <v>2</v>
      </c>
      <c r="O705">
        <v>13</v>
      </c>
      <c r="P705" t="b">
        <f>IF(EPe_BA_intern_assesment_Raw_data___Sheet13[[#This Row],[Customer Rating]]&gt;8,EPe_BA_intern_assesment_Raw_data___Sheet13[[#This Row],[Customer Rating]])</f>
        <v>0</v>
      </c>
      <c r="Q705" t="str">
        <f>IF(AND(EPe_BA_intern_assesment_Raw_data___Sheet13[[#This Row],[Customer Rating]]&gt;6,EPe_BA_intern_assesment_Raw_data___Sheet13[[#This Row],[Customer Rating]]&lt;9), EPe_BA_intern_assesment_Raw_data___Sheet13[[#This Row],[Customer Rating]], "")</f>
        <v/>
      </c>
      <c r="R705">
        <f>IF(EPe_BA_intern_assesment_Raw_data___Sheet13[[#This Row],[Customer Rating]]&lt;7,EPe_BA_intern_assesment_Raw_data___Sheet13[[#This Row],[Customer Rating]])</f>
        <v>2</v>
      </c>
    </row>
    <row r="706" spans="1:18" x14ac:dyDescent="0.3">
      <c r="A706" t="s">
        <v>734</v>
      </c>
      <c r="B706" t="s">
        <v>34</v>
      </c>
      <c r="C706" t="s">
        <v>17</v>
      </c>
      <c r="D706" s="1">
        <v>45954</v>
      </c>
      <c r="E706" s="1">
        <v>45957</v>
      </c>
      <c r="F706" s="1">
        <v>45959</v>
      </c>
      <c r="G706" s="1">
        <v>45965</v>
      </c>
      <c r="H706" t="s">
        <v>18</v>
      </c>
      <c r="I706" t="s">
        <v>19</v>
      </c>
      <c r="J706" s="1">
        <v>45989</v>
      </c>
      <c r="K706">
        <v>3</v>
      </c>
      <c r="L706">
        <v>2</v>
      </c>
      <c r="M706">
        <v>6</v>
      </c>
      <c r="N706">
        <v>9</v>
      </c>
      <c r="O706">
        <v>11</v>
      </c>
      <c r="P706">
        <f>IF(EPe_BA_intern_assesment_Raw_data___Sheet13[[#This Row],[Customer Rating]]&gt;8,EPe_BA_intern_assesment_Raw_data___Sheet13[[#This Row],[Customer Rating]])</f>
        <v>9</v>
      </c>
      <c r="Q706" t="str">
        <f>IF(AND(EPe_BA_intern_assesment_Raw_data___Sheet13[[#This Row],[Customer Rating]]&gt;6,EPe_BA_intern_assesment_Raw_data___Sheet13[[#This Row],[Customer Rating]]&lt;9), EPe_BA_intern_assesment_Raw_data___Sheet13[[#This Row],[Customer Rating]], "")</f>
        <v/>
      </c>
      <c r="R706" t="b">
        <f>IF(EPe_BA_intern_assesment_Raw_data___Sheet13[[#This Row],[Customer Rating]]&lt;7,EPe_BA_intern_assesment_Raw_data___Sheet13[[#This Row],[Customer Rating]])</f>
        <v>0</v>
      </c>
    </row>
    <row r="707" spans="1:18" x14ac:dyDescent="0.3">
      <c r="A707" t="s">
        <v>735</v>
      </c>
      <c r="B707" t="s">
        <v>34</v>
      </c>
      <c r="C707" t="s">
        <v>17</v>
      </c>
      <c r="D707" s="1">
        <v>45935</v>
      </c>
      <c r="E707" s="1">
        <v>45938</v>
      </c>
      <c r="F707" s="1">
        <v>45943</v>
      </c>
      <c r="G707" s="1">
        <v>45946</v>
      </c>
      <c r="H707" t="s">
        <v>18</v>
      </c>
      <c r="I707" t="s">
        <v>19</v>
      </c>
      <c r="J707" s="1">
        <v>45960</v>
      </c>
      <c r="K707">
        <v>3</v>
      </c>
      <c r="L707">
        <v>5</v>
      </c>
      <c r="M707">
        <v>3</v>
      </c>
      <c r="N707">
        <v>2</v>
      </c>
      <c r="O707">
        <v>11</v>
      </c>
      <c r="P707" t="b">
        <f>IF(EPe_BA_intern_assesment_Raw_data___Sheet13[[#This Row],[Customer Rating]]&gt;8,EPe_BA_intern_assesment_Raw_data___Sheet13[[#This Row],[Customer Rating]])</f>
        <v>0</v>
      </c>
      <c r="Q707" t="str">
        <f>IF(AND(EPe_BA_intern_assesment_Raw_data___Sheet13[[#This Row],[Customer Rating]]&gt;6,EPe_BA_intern_assesment_Raw_data___Sheet13[[#This Row],[Customer Rating]]&lt;9), EPe_BA_intern_assesment_Raw_data___Sheet13[[#This Row],[Customer Rating]], "")</f>
        <v/>
      </c>
      <c r="R707">
        <f>IF(EPe_BA_intern_assesment_Raw_data___Sheet13[[#This Row],[Customer Rating]]&lt;7,EPe_BA_intern_assesment_Raw_data___Sheet13[[#This Row],[Customer Rating]])</f>
        <v>2</v>
      </c>
    </row>
    <row r="708" spans="1:18" x14ac:dyDescent="0.3">
      <c r="A708" t="s">
        <v>736</v>
      </c>
      <c r="B708" t="s">
        <v>23</v>
      </c>
      <c r="C708" t="s">
        <v>17</v>
      </c>
      <c r="D708" s="1">
        <v>45933</v>
      </c>
      <c r="E708" s="1">
        <v>45937</v>
      </c>
      <c r="F708" s="1">
        <v>45941</v>
      </c>
      <c r="G708" s="1">
        <v>45944</v>
      </c>
      <c r="H708" t="s">
        <v>18</v>
      </c>
      <c r="I708" t="s">
        <v>19</v>
      </c>
      <c r="J708" s="1">
        <v>45964</v>
      </c>
      <c r="K708">
        <v>4</v>
      </c>
      <c r="L708">
        <v>4</v>
      </c>
      <c r="M708">
        <v>3</v>
      </c>
      <c r="N708">
        <v>6</v>
      </c>
      <c r="O708">
        <v>11</v>
      </c>
      <c r="P708" t="b">
        <f>IF(EPe_BA_intern_assesment_Raw_data___Sheet13[[#This Row],[Customer Rating]]&gt;8,EPe_BA_intern_assesment_Raw_data___Sheet13[[#This Row],[Customer Rating]])</f>
        <v>0</v>
      </c>
      <c r="Q708" t="str">
        <f>IF(AND(EPe_BA_intern_assesment_Raw_data___Sheet13[[#This Row],[Customer Rating]]&gt;6,EPe_BA_intern_assesment_Raw_data___Sheet13[[#This Row],[Customer Rating]]&lt;9), EPe_BA_intern_assesment_Raw_data___Sheet13[[#This Row],[Customer Rating]], "")</f>
        <v/>
      </c>
      <c r="R708">
        <f>IF(EPe_BA_intern_assesment_Raw_data___Sheet13[[#This Row],[Customer Rating]]&lt;7,EPe_BA_intern_assesment_Raw_data___Sheet13[[#This Row],[Customer Rating]])</f>
        <v>6</v>
      </c>
    </row>
    <row r="709" spans="1:18" x14ac:dyDescent="0.3">
      <c r="A709" t="s">
        <v>737</v>
      </c>
      <c r="B709" t="s">
        <v>21</v>
      </c>
      <c r="C709" t="s">
        <v>32</v>
      </c>
      <c r="D709" s="1">
        <v>45960</v>
      </c>
      <c r="E709" s="1">
        <v>45962</v>
      </c>
      <c r="F709" s="1">
        <v>45967</v>
      </c>
      <c r="G709" s="1">
        <v>45969</v>
      </c>
      <c r="H709" t="s">
        <v>25</v>
      </c>
      <c r="I709" t="s">
        <v>35</v>
      </c>
      <c r="J709" s="1"/>
      <c r="K709">
        <v>2</v>
      </c>
      <c r="L709">
        <v>5</v>
      </c>
      <c r="M709">
        <v>2</v>
      </c>
      <c r="O709">
        <v>9</v>
      </c>
      <c r="P709" t="b">
        <f>IF(EPe_BA_intern_assesment_Raw_data___Sheet13[[#This Row],[Customer Rating]]&gt;8,EPe_BA_intern_assesment_Raw_data___Sheet13[[#This Row],[Customer Rating]])</f>
        <v>0</v>
      </c>
      <c r="Q709" t="str">
        <f>IF(AND(EPe_BA_intern_assesment_Raw_data___Sheet13[[#This Row],[Customer Rating]]&gt;6,EPe_BA_intern_assesment_Raw_data___Sheet13[[#This Row],[Customer Rating]]&lt;9), EPe_BA_intern_assesment_Raw_data___Sheet13[[#This Row],[Customer Rating]], "")</f>
        <v/>
      </c>
      <c r="R709">
        <f>IF(EPe_BA_intern_assesment_Raw_data___Sheet13[[#This Row],[Customer Rating]]&lt;7,EPe_BA_intern_assesment_Raw_data___Sheet13[[#This Row],[Customer Rating]])</f>
        <v>0</v>
      </c>
    </row>
    <row r="710" spans="1:18" x14ac:dyDescent="0.3">
      <c r="A710" t="s">
        <v>738</v>
      </c>
      <c r="B710" t="s">
        <v>16</v>
      </c>
      <c r="C710" t="s">
        <v>32</v>
      </c>
      <c r="D710" s="1">
        <v>45940</v>
      </c>
      <c r="E710" s="1">
        <v>45945</v>
      </c>
      <c r="F710" s="1">
        <v>45948</v>
      </c>
      <c r="G710" s="1">
        <v>45953</v>
      </c>
      <c r="H710" t="s">
        <v>18</v>
      </c>
      <c r="I710" t="s">
        <v>19</v>
      </c>
      <c r="J710" s="1">
        <v>45968</v>
      </c>
      <c r="K710">
        <v>5</v>
      </c>
      <c r="L710">
        <v>3</v>
      </c>
      <c r="M710">
        <v>5</v>
      </c>
      <c r="N710">
        <v>2</v>
      </c>
      <c r="O710">
        <v>13</v>
      </c>
      <c r="P710" t="b">
        <f>IF(EPe_BA_intern_assesment_Raw_data___Sheet13[[#This Row],[Customer Rating]]&gt;8,EPe_BA_intern_assesment_Raw_data___Sheet13[[#This Row],[Customer Rating]])</f>
        <v>0</v>
      </c>
      <c r="Q710" t="str">
        <f>IF(AND(EPe_BA_intern_assesment_Raw_data___Sheet13[[#This Row],[Customer Rating]]&gt;6,EPe_BA_intern_assesment_Raw_data___Sheet13[[#This Row],[Customer Rating]]&lt;9), EPe_BA_intern_assesment_Raw_data___Sheet13[[#This Row],[Customer Rating]], "")</f>
        <v/>
      </c>
      <c r="R710">
        <f>IF(EPe_BA_intern_assesment_Raw_data___Sheet13[[#This Row],[Customer Rating]]&lt;7,EPe_BA_intern_assesment_Raw_data___Sheet13[[#This Row],[Customer Rating]])</f>
        <v>2</v>
      </c>
    </row>
    <row r="711" spans="1:18" x14ac:dyDescent="0.3">
      <c r="A711" t="s">
        <v>739</v>
      </c>
      <c r="B711" t="s">
        <v>21</v>
      </c>
      <c r="C711" t="s">
        <v>17</v>
      </c>
      <c r="D711" s="1">
        <v>45941</v>
      </c>
      <c r="E711" s="1">
        <v>45944</v>
      </c>
      <c r="F711" s="1">
        <v>45948</v>
      </c>
      <c r="G711" s="1">
        <v>45950</v>
      </c>
      <c r="H711" t="s">
        <v>18</v>
      </c>
      <c r="I711" t="s">
        <v>19</v>
      </c>
      <c r="J711" s="1">
        <v>45962</v>
      </c>
      <c r="K711">
        <v>3</v>
      </c>
      <c r="L711">
        <v>4</v>
      </c>
      <c r="M711">
        <v>2</v>
      </c>
      <c r="N711">
        <v>6</v>
      </c>
      <c r="O711">
        <v>9</v>
      </c>
      <c r="P711" t="b">
        <f>IF(EPe_BA_intern_assesment_Raw_data___Sheet13[[#This Row],[Customer Rating]]&gt;8,EPe_BA_intern_assesment_Raw_data___Sheet13[[#This Row],[Customer Rating]])</f>
        <v>0</v>
      </c>
      <c r="Q711" t="str">
        <f>IF(AND(EPe_BA_intern_assesment_Raw_data___Sheet13[[#This Row],[Customer Rating]]&gt;6,EPe_BA_intern_assesment_Raw_data___Sheet13[[#This Row],[Customer Rating]]&lt;9), EPe_BA_intern_assesment_Raw_data___Sheet13[[#This Row],[Customer Rating]], "")</f>
        <v/>
      </c>
      <c r="R711">
        <f>IF(EPe_BA_intern_assesment_Raw_data___Sheet13[[#This Row],[Customer Rating]]&lt;7,EPe_BA_intern_assesment_Raw_data___Sheet13[[#This Row],[Customer Rating]])</f>
        <v>6</v>
      </c>
    </row>
    <row r="712" spans="1:18" x14ac:dyDescent="0.3">
      <c r="A712" t="s">
        <v>740</v>
      </c>
      <c r="B712" t="s">
        <v>23</v>
      </c>
      <c r="C712" t="s">
        <v>17</v>
      </c>
      <c r="D712" s="1">
        <v>45954</v>
      </c>
      <c r="E712" s="1">
        <v>45958</v>
      </c>
      <c r="F712" s="1">
        <v>45960</v>
      </c>
      <c r="G712" s="1">
        <v>45963</v>
      </c>
      <c r="H712" t="s">
        <v>18</v>
      </c>
      <c r="I712" t="s">
        <v>19</v>
      </c>
      <c r="J712" s="1">
        <v>45988</v>
      </c>
      <c r="K712">
        <v>4</v>
      </c>
      <c r="L712">
        <v>2</v>
      </c>
      <c r="M712">
        <v>3</v>
      </c>
      <c r="N712">
        <v>8</v>
      </c>
      <c r="O712">
        <v>9</v>
      </c>
      <c r="P712" t="b">
        <f>IF(EPe_BA_intern_assesment_Raw_data___Sheet13[[#This Row],[Customer Rating]]&gt;8,EPe_BA_intern_assesment_Raw_data___Sheet13[[#This Row],[Customer Rating]])</f>
        <v>0</v>
      </c>
      <c r="Q712">
        <f>IF(AND(EPe_BA_intern_assesment_Raw_data___Sheet13[[#This Row],[Customer Rating]]&gt;6,EPe_BA_intern_assesment_Raw_data___Sheet13[[#This Row],[Customer Rating]]&lt;9), EPe_BA_intern_assesment_Raw_data___Sheet13[[#This Row],[Customer Rating]], "")</f>
        <v>8</v>
      </c>
      <c r="R712" t="b">
        <f>IF(EPe_BA_intern_assesment_Raw_data___Sheet13[[#This Row],[Customer Rating]]&lt;7,EPe_BA_intern_assesment_Raw_data___Sheet13[[#This Row],[Customer Rating]])</f>
        <v>0</v>
      </c>
    </row>
    <row r="713" spans="1:18" x14ac:dyDescent="0.3">
      <c r="A713" t="s">
        <v>741</v>
      </c>
      <c r="B713" t="s">
        <v>23</v>
      </c>
      <c r="C713" t="s">
        <v>17</v>
      </c>
      <c r="D713" s="1">
        <v>45944</v>
      </c>
      <c r="E713" s="1">
        <v>45946</v>
      </c>
      <c r="F713" s="1">
        <v>45947</v>
      </c>
      <c r="G713" s="1">
        <v>45953</v>
      </c>
      <c r="H713" t="s">
        <v>18</v>
      </c>
      <c r="I713" t="s">
        <v>19</v>
      </c>
      <c r="J713" s="1">
        <v>45973</v>
      </c>
      <c r="K713">
        <v>2</v>
      </c>
      <c r="L713">
        <v>1</v>
      </c>
      <c r="M713">
        <v>6</v>
      </c>
      <c r="N713">
        <v>2</v>
      </c>
      <c r="O713">
        <v>9</v>
      </c>
      <c r="P713" t="b">
        <f>IF(EPe_BA_intern_assesment_Raw_data___Sheet13[[#This Row],[Customer Rating]]&gt;8,EPe_BA_intern_assesment_Raw_data___Sheet13[[#This Row],[Customer Rating]])</f>
        <v>0</v>
      </c>
      <c r="Q713" t="str">
        <f>IF(AND(EPe_BA_intern_assesment_Raw_data___Sheet13[[#This Row],[Customer Rating]]&gt;6,EPe_BA_intern_assesment_Raw_data___Sheet13[[#This Row],[Customer Rating]]&lt;9), EPe_BA_intern_assesment_Raw_data___Sheet13[[#This Row],[Customer Rating]], "")</f>
        <v/>
      </c>
      <c r="R713">
        <f>IF(EPe_BA_intern_assesment_Raw_data___Sheet13[[#This Row],[Customer Rating]]&lt;7,EPe_BA_intern_assesment_Raw_data___Sheet13[[#This Row],[Customer Rating]])</f>
        <v>2</v>
      </c>
    </row>
    <row r="714" spans="1:18" x14ac:dyDescent="0.3">
      <c r="A714" t="s">
        <v>742</v>
      </c>
      <c r="B714" t="s">
        <v>21</v>
      </c>
      <c r="C714" t="s">
        <v>32</v>
      </c>
      <c r="D714" s="1">
        <v>45936</v>
      </c>
      <c r="E714" s="1">
        <v>45937</v>
      </c>
      <c r="F714" s="1">
        <v>45942</v>
      </c>
      <c r="G714" s="1">
        <v>45946</v>
      </c>
      <c r="H714" t="s">
        <v>18</v>
      </c>
      <c r="I714" t="s">
        <v>19</v>
      </c>
      <c r="J714" s="1">
        <v>45976</v>
      </c>
      <c r="K714">
        <v>1</v>
      </c>
      <c r="L714">
        <v>5</v>
      </c>
      <c r="M714">
        <v>4</v>
      </c>
      <c r="N714">
        <v>5</v>
      </c>
      <c r="O714">
        <v>10</v>
      </c>
      <c r="P714" t="b">
        <f>IF(EPe_BA_intern_assesment_Raw_data___Sheet13[[#This Row],[Customer Rating]]&gt;8,EPe_BA_intern_assesment_Raw_data___Sheet13[[#This Row],[Customer Rating]])</f>
        <v>0</v>
      </c>
      <c r="Q714" t="str">
        <f>IF(AND(EPe_BA_intern_assesment_Raw_data___Sheet13[[#This Row],[Customer Rating]]&gt;6,EPe_BA_intern_assesment_Raw_data___Sheet13[[#This Row],[Customer Rating]]&lt;9), EPe_BA_intern_assesment_Raw_data___Sheet13[[#This Row],[Customer Rating]], "")</f>
        <v/>
      </c>
      <c r="R714">
        <f>IF(EPe_BA_intern_assesment_Raw_data___Sheet13[[#This Row],[Customer Rating]]&lt;7,EPe_BA_intern_assesment_Raw_data___Sheet13[[#This Row],[Customer Rating]])</f>
        <v>5</v>
      </c>
    </row>
    <row r="715" spans="1:18" x14ac:dyDescent="0.3">
      <c r="A715" t="s">
        <v>743</v>
      </c>
      <c r="B715" t="s">
        <v>21</v>
      </c>
      <c r="C715" t="s">
        <v>17</v>
      </c>
      <c r="D715" s="1">
        <v>45937</v>
      </c>
      <c r="E715" s="1">
        <v>45939</v>
      </c>
      <c r="F715" s="1">
        <v>45942</v>
      </c>
      <c r="G715" s="1">
        <v>45949</v>
      </c>
      <c r="H715" t="s">
        <v>18</v>
      </c>
      <c r="I715" t="s">
        <v>19</v>
      </c>
      <c r="J715" s="1">
        <v>45964</v>
      </c>
      <c r="K715">
        <v>2</v>
      </c>
      <c r="L715">
        <v>3</v>
      </c>
      <c r="M715">
        <v>7</v>
      </c>
      <c r="N715">
        <v>8</v>
      </c>
      <c r="O715">
        <v>12</v>
      </c>
      <c r="P715" t="b">
        <f>IF(EPe_BA_intern_assesment_Raw_data___Sheet13[[#This Row],[Customer Rating]]&gt;8,EPe_BA_intern_assesment_Raw_data___Sheet13[[#This Row],[Customer Rating]])</f>
        <v>0</v>
      </c>
      <c r="Q715">
        <f>IF(AND(EPe_BA_intern_assesment_Raw_data___Sheet13[[#This Row],[Customer Rating]]&gt;6,EPe_BA_intern_assesment_Raw_data___Sheet13[[#This Row],[Customer Rating]]&lt;9), EPe_BA_intern_assesment_Raw_data___Sheet13[[#This Row],[Customer Rating]], "")</f>
        <v>8</v>
      </c>
      <c r="R715" t="b">
        <f>IF(EPe_BA_intern_assesment_Raw_data___Sheet13[[#This Row],[Customer Rating]]&lt;7,EPe_BA_intern_assesment_Raw_data___Sheet13[[#This Row],[Customer Rating]])</f>
        <v>0</v>
      </c>
    </row>
    <row r="716" spans="1:18" x14ac:dyDescent="0.3">
      <c r="A716" t="s">
        <v>744</v>
      </c>
      <c r="B716" t="s">
        <v>21</v>
      </c>
      <c r="C716" t="s">
        <v>32</v>
      </c>
      <c r="D716" s="1">
        <v>45935</v>
      </c>
      <c r="E716" s="1">
        <v>45936</v>
      </c>
      <c r="F716" s="1">
        <v>45937</v>
      </c>
      <c r="G716" s="1">
        <v>45944</v>
      </c>
      <c r="H716" t="s">
        <v>18</v>
      </c>
      <c r="I716" t="s">
        <v>19</v>
      </c>
      <c r="J716" s="1">
        <v>45964</v>
      </c>
      <c r="K716">
        <v>1</v>
      </c>
      <c r="L716">
        <v>1</v>
      </c>
      <c r="M716">
        <v>7</v>
      </c>
      <c r="N716">
        <v>7</v>
      </c>
      <c r="O716">
        <v>9</v>
      </c>
      <c r="P716" t="b">
        <f>IF(EPe_BA_intern_assesment_Raw_data___Sheet13[[#This Row],[Customer Rating]]&gt;8,EPe_BA_intern_assesment_Raw_data___Sheet13[[#This Row],[Customer Rating]])</f>
        <v>0</v>
      </c>
      <c r="Q716">
        <f>IF(AND(EPe_BA_intern_assesment_Raw_data___Sheet13[[#This Row],[Customer Rating]]&gt;6,EPe_BA_intern_assesment_Raw_data___Sheet13[[#This Row],[Customer Rating]]&lt;9), EPe_BA_intern_assesment_Raw_data___Sheet13[[#This Row],[Customer Rating]], "")</f>
        <v>7</v>
      </c>
      <c r="R716" t="b">
        <f>IF(EPe_BA_intern_assesment_Raw_data___Sheet13[[#This Row],[Customer Rating]]&lt;7,EPe_BA_intern_assesment_Raw_data___Sheet13[[#This Row],[Customer Rating]])</f>
        <v>0</v>
      </c>
    </row>
    <row r="717" spans="1:18" x14ac:dyDescent="0.3">
      <c r="A717" t="s">
        <v>745</v>
      </c>
      <c r="B717" t="s">
        <v>34</v>
      </c>
      <c r="C717" t="s">
        <v>32</v>
      </c>
      <c r="D717" s="1">
        <v>45956</v>
      </c>
      <c r="E717" s="1">
        <v>45960</v>
      </c>
      <c r="F717" s="1">
        <v>45961</v>
      </c>
      <c r="G717" s="1">
        <v>45963</v>
      </c>
      <c r="H717" t="s">
        <v>18</v>
      </c>
      <c r="I717" t="s">
        <v>19</v>
      </c>
      <c r="J717" s="1">
        <v>45993</v>
      </c>
      <c r="K717">
        <v>4</v>
      </c>
      <c r="L717">
        <v>1</v>
      </c>
      <c r="M717">
        <v>2</v>
      </c>
      <c r="N717">
        <v>7</v>
      </c>
      <c r="O717">
        <v>7</v>
      </c>
      <c r="P717" t="b">
        <f>IF(EPe_BA_intern_assesment_Raw_data___Sheet13[[#This Row],[Customer Rating]]&gt;8,EPe_BA_intern_assesment_Raw_data___Sheet13[[#This Row],[Customer Rating]])</f>
        <v>0</v>
      </c>
      <c r="Q717">
        <f>IF(AND(EPe_BA_intern_assesment_Raw_data___Sheet13[[#This Row],[Customer Rating]]&gt;6,EPe_BA_intern_assesment_Raw_data___Sheet13[[#This Row],[Customer Rating]]&lt;9), EPe_BA_intern_assesment_Raw_data___Sheet13[[#This Row],[Customer Rating]], "")</f>
        <v>7</v>
      </c>
      <c r="R717" t="b">
        <f>IF(EPe_BA_intern_assesment_Raw_data___Sheet13[[#This Row],[Customer Rating]]&lt;7,EPe_BA_intern_assesment_Raw_data___Sheet13[[#This Row],[Customer Rating]])</f>
        <v>0</v>
      </c>
    </row>
    <row r="718" spans="1:18" x14ac:dyDescent="0.3">
      <c r="A718" t="s">
        <v>746</v>
      </c>
      <c r="B718" t="s">
        <v>16</v>
      </c>
      <c r="C718" t="s">
        <v>17</v>
      </c>
      <c r="D718" s="1">
        <v>45948</v>
      </c>
      <c r="E718" s="1">
        <v>45950</v>
      </c>
      <c r="F718" s="1">
        <v>45954</v>
      </c>
      <c r="G718" s="1">
        <v>45958</v>
      </c>
      <c r="H718" t="s">
        <v>18</v>
      </c>
      <c r="I718" t="s">
        <v>19</v>
      </c>
      <c r="J718" s="1">
        <v>45969</v>
      </c>
      <c r="K718">
        <v>2</v>
      </c>
      <c r="L718">
        <v>4</v>
      </c>
      <c r="M718">
        <v>4</v>
      </c>
      <c r="N718">
        <v>9</v>
      </c>
      <c r="O718">
        <v>10</v>
      </c>
      <c r="P718">
        <f>IF(EPe_BA_intern_assesment_Raw_data___Sheet13[[#This Row],[Customer Rating]]&gt;8,EPe_BA_intern_assesment_Raw_data___Sheet13[[#This Row],[Customer Rating]])</f>
        <v>9</v>
      </c>
      <c r="Q718" t="str">
        <f>IF(AND(EPe_BA_intern_assesment_Raw_data___Sheet13[[#This Row],[Customer Rating]]&gt;6,EPe_BA_intern_assesment_Raw_data___Sheet13[[#This Row],[Customer Rating]]&lt;9), EPe_BA_intern_assesment_Raw_data___Sheet13[[#This Row],[Customer Rating]], "")</f>
        <v/>
      </c>
      <c r="R718" t="b">
        <f>IF(EPe_BA_intern_assesment_Raw_data___Sheet13[[#This Row],[Customer Rating]]&lt;7,EPe_BA_intern_assesment_Raw_data___Sheet13[[#This Row],[Customer Rating]])</f>
        <v>0</v>
      </c>
    </row>
    <row r="719" spans="1:18" x14ac:dyDescent="0.3">
      <c r="A719" t="s">
        <v>747</v>
      </c>
      <c r="B719" t="s">
        <v>21</v>
      </c>
      <c r="C719" t="s">
        <v>32</v>
      </c>
      <c r="D719" s="1">
        <v>45959</v>
      </c>
      <c r="E719" s="1">
        <v>45963</v>
      </c>
      <c r="F719" s="1">
        <v>45965</v>
      </c>
      <c r="G719" s="1">
        <v>45967</v>
      </c>
      <c r="H719" t="s">
        <v>18</v>
      </c>
      <c r="I719" t="s">
        <v>19</v>
      </c>
      <c r="J719" s="1">
        <v>45977</v>
      </c>
      <c r="K719">
        <v>4</v>
      </c>
      <c r="L719">
        <v>2</v>
      </c>
      <c r="M719">
        <v>2</v>
      </c>
      <c r="N719">
        <v>7</v>
      </c>
      <c r="O719">
        <v>8</v>
      </c>
      <c r="P719" t="b">
        <f>IF(EPe_BA_intern_assesment_Raw_data___Sheet13[[#This Row],[Customer Rating]]&gt;8,EPe_BA_intern_assesment_Raw_data___Sheet13[[#This Row],[Customer Rating]])</f>
        <v>0</v>
      </c>
      <c r="Q719">
        <f>IF(AND(EPe_BA_intern_assesment_Raw_data___Sheet13[[#This Row],[Customer Rating]]&gt;6,EPe_BA_intern_assesment_Raw_data___Sheet13[[#This Row],[Customer Rating]]&lt;9), EPe_BA_intern_assesment_Raw_data___Sheet13[[#This Row],[Customer Rating]], "")</f>
        <v>7</v>
      </c>
      <c r="R719" t="b">
        <f>IF(EPe_BA_intern_assesment_Raw_data___Sheet13[[#This Row],[Customer Rating]]&lt;7,EPe_BA_intern_assesment_Raw_data___Sheet13[[#This Row],[Customer Rating]])</f>
        <v>0</v>
      </c>
    </row>
    <row r="720" spans="1:18" x14ac:dyDescent="0.3">
      <c r="A720" t="s">
        <v>748</v>
      </c>
      <c r="B720" t="s">
        <v>21</v>
      </c>
      <c r="C720" t="s">
        <v>32</v>
      </c>
      <c r="D720" s="1">
        <v>45942</v>
      </c>
      <c r="E720" s="1">
        <v>45943</v>
      </c>
      <c r="F720" s="1">
        <v>45944</v>
      </c>
      <c r="G720" s="1">
        <v>45951</v>
      </c>
      <c r="H720" t="s">
        <v>18</v>
      </c>
      <c r="I720" t="s">
        <v>19</v>
      </c>
      <c r="J720" s="1">
        <v>45975</v>
      </c>
      <c r="K720">
        <v>1</v>
      </c>
      <c r="L720">
        <v>1</v>
      </c>
      <c r="M720">
        <v>7</v>
      </c>
      <c r="N720">
        <v>2</v>
      </c>
      <c r="O720">
        <v>9</v>
      </c>
      <c r="P720" t="b">
        <f>IF(EPe_BA_intern_assesment_Raw_data___Sheet13[[#This Row],[Customer Rating]]&gt;8,EPe_BA_intern_assesment_Raw_data___Sheet13[[#This Row],[Customer Rating]])</f>
        <v>0</v>
      </c>
      <c r="Q720" t="str">
        <f>IF(AND(EPe_BA_intern_assesment_Raw_data___Sheet13[[#This Row],[Customer Rating]]&gt;6,EPe_BA_intern_assesment_Raw_data___Sheet13[[#This Row],[Customer Rating]]&lt;9), EPe_BA_intern_assesment_Raw_data___Sheet13[[#This Row],[Customer Rating]], "")</f>
        <v/>
      </c>
      <c r="R720">
        <f>IF(EPe_BA_intern_assesment_Raw_data___Sheet13[[#This Row],[Customer Rating]]&lt;7,EPe_BA_intern_assesment_Raw_data___Sheet13[[#This Row],[Customer Rating]])</f>
        <v>2</v>
      </c>
    </row>
    <row r="721" spans="1:18" x14ac:dyDescent="0.3">
      <c r="A721" t="s">
        <v>749</v>
      </c>
      <c r="B721" t="s">
        <v>21</v>
      </c>
      <c r="C721" t="s">
        <v>17</v>
      </c>
      <c r="D721" s="1">
        <v>45947</v>
      </c>
      <c r="E721" s="1">
        <v>45950</v>
      </c>
      <c r="F721" s="1">
        <v>45953</v>
      </c>
      <c r="G721" s="1">
        <v>45958</v>
      </c>
      <c r="H721" t="s">
        <v>18</v>
      </c>
      <c r="I721" t="s">
        <v>19</v>
      </c>
      <c r="J721" s="1">
        <v>45976</v>
      </c>
      <c r="K721">
        <v>3</v>
      </c>
      <c r="L721">
        <v>3</v>
      </c>
      <c r="M721">
        <v>5</v>
      </c>
      <c r="N721">
        <v>7</v>
      </c>
      <c r="O721">
        <v>11</v>
      </c>
      <c r="P721" t="b">
        <f>IF(EPe_BA_intern_assesment_Raw_data___Sheet13[[#This Row],[Customer Rating]]&gt;8,EPe_BA_intern_assesment_Raw_data___Sheet13[[#This Row],[Customer Rating]])</f>
        <v>0</v>
      </c>
      <c r="Q721">
        <f>IF(AND(EPe_BA_intern_assesment_Raw_data___Sheet13[[#This Row],[Customer Rating]]&gt;6,EPe_BA_intern_assesment_Raw_data___Sheet13[[#This Row],[Customer Rating]]&lt;9), EPe_BA_intern_assesment_Raw_data___Sheet13[[#This Row],[Customer Rating]], "")</f>
        <v>7</v>
      </c>
      <c r="R721" t="b">
        <f>IF(EPe_BA_intern_assesment_Raw_data___Sheet13[[#This Row],[Customer Rating]]&lt;7,EPe_BA_intern_assesment_Raw_data___Sheet13[[#This Row],[Customer Rating]])</f>
        <v>0</v>
      </c>
    </row>
    <row r="722" spans="1:18" x14ac:dyDescent="0.3">
      <c r="A722" t="s">
        <v>750</v>
      </c>
      <c r="B722" t="s">
        <v>23</v>
      </c>
      <c r="C722" t="s">
        <v>17</v>
      </c>
      <c r="D722" s="1">
        <v>45947</v>
      </c>
      <c r="E722" s="1">
        <v>45950</v>
      </c>
      <c r="F722" s="1">
        <v>45955</v>
      </c>
      <c r="G722" s="1">
        <v>45962</v>
      </c>
      <c r="H722" t="s">
        <v>18</v>
      </c>
      <c r="I722" t="s">
        <v>19</v>
      </c>
      <c r="J722" s="1">
        <v>45978</v>
      </c>
      <c r="K722">
        <v>3</v>
      </c>
      <c r="L722">
        <v>5</v>
      </c>
      <c r="M722">
        <v>7</v>
      </c>
      <c r="N722">
        <v>4</v>
      </c>
      <c r="O722">
        <v>15</v>
      </c>
      <c r="P722" t="b">
        <f>IF(EPe_BA_intern_assesment_Raw_data___Sheet13[[#This Row],[Customer Rating]]&gt;8,EPe_BA_intern_assesment_Raw_data___Sheet13[[#This Row],[Customer Rating]])</f>
        <v>0</v>
      </c>
      <c r="Q722" t="str">
        <f>IF(AND(EPe_BA_intern_assesment_Raw_data___Sheet13[[#This Row],[Customer Rating]]&gt;6,EPe_BA_intern_assesment_Raw_data___Sheet13[[#This Row],[Customer Rating]]&lt;9), EPe_BA_intern_assesment_Raw_data___Sheet13[[#This Row],[Customer Rating]], "")</f>
        <v/>
      </c>
      <c r="R722">
        <f>IF(EPe_BA_intern_assesment_Raw_data___Sheet13[[#This Row],[Customer Rating]]&lt;7,EPe_BA_intern_assesment_Raw_data___Sheet13[[#This Row],[Customer Rating]])</f>
        <v>4</v>
      </c>
    </row>
    <row r="723" spans="1:18" x14ac:dyDescent="0.3">
      <c r="A723" t="s">
        <v>751</v>
      </c>
      <c r="B723" t="s">
        <v>23</v>
      </c>
      <c r="C723" t="s">
        <v>17</v>
      </c>
      <c r="D723" s="1">
        <v>45960</v>
      </c>
      <c r="E723" s="1">
        <v>45961</v>
      </c>
      <c r="F723" s="1">
        <v>45966</v>
      </c>
      <c r="G723" s="1">
        <v>45973</v>
      </c>
      <c r="H723" t="s">
        <v>18</v>
      </c>
      <c r="I723" t="s">
        <v>19</v>
      </c>
      <c r="J723" s="1">
        <v>45988</v>
      </c>
      <c r="K723">
        <v>1</v>
      </c>
      <c r="L723">
        <v>5</v>
      </c>
      <c r="M723">
        <v>7</v>
      </c>
      <c r="N723">
        <v>6</v>
      </c>
      <c r="O723">
        <v>13</v>
      </c>
      <c r="P723" t="b">
        <f>IF(EPe_BA_intern_assesment_Raw_data___Sheet13[[#This Row],[Customer Rating]]&gt;8,EPe_BA_intern_assesment_Raw_data___Sheet13[[#This Row],[Customer Rating]])</f>
        <v>0</v>
      </c>
      <c r="Q723" t="str">
        <f>IF(AND(EPe_BA_intern_assesment_Raw_data___Sheet13[[#This Row],[Customer Rating]]&gt;6,EPe_BA_intern_assesment_Raw_data___Sheet13[[#This Row],[Customer Rating]]&lt;9), EPe_BA_intern_assesment_Raw_data___Sheet13[[#This Row],[Customer Rating]], "")</f>
        <v/>
      </c>
      <c r="R723">
        <f>IF(EPe_BA_intern_assesment_Raw_data___Sheet13[[#This Row],[Customer Rating]]&lt;7,EPe_BA_intern_assesment_Raw_data___Sheet13[[#This Row],[Customer Rating]])</f>
        <v>6</v>
      </c>
    </row>
    <row r="724" spans="1:18" x14ac:dyDescent="0.3">
      <c r="A724" t="s">
        <v>752</v>
      </c>
      <c r="B724" t="s">
        <v>34</v>
      </c>
      <c r="C724" t="s">
        <v>32</v>
      </c>
      <c r="D724" s="1">
        <v>45939</v>
      </c>
      <c r="E724" s="1">
        <v>45944</v>
      </c>
      <c r="F724" s="1">
        <v>45949</v>
      </c>
      <c r="G724" s="1">
        <v>45953</v>
      </c>
      <c r="H724" t="s">
        <v>18</v>
      </c>
      <c r="I724" t="s">
        <v>19</v>
      </c>
      <c r="J724" s="1">
        <v>45981</v>
      </c>
      <c r="K724">
        <v>5</v>
      </c>
      <c r="L724">
        <v>5</v>
      </c>
      <c r="M724">
        <v>4</v>
      </c>
      <c r="N724">
        <v>3</v>
      </c>
      <c r="O724">
        <v>14</v>
      </c>
      <c r="P724" t="b">
        <f>IF(EPe_BA_intern_assesment_Raw_data___Sheet13[[#This Row],[Customer Rating]]&gt;8,EPe_BA_intern_assesment_Raw_data___Sheet13[[#This Row],[Customer Rating]])</f>
        <v>0</v>
      </c>
      <c r="Q724" t="str">
        <f>IF(AND(EPe_BA_intern_assesment_Raw_data___Sheet13[[#This Row],[Customer Rating]]&gt;6,EPe_BA_intern_assesment_Raw_data___Sheet13[[#This Row],[Customer Rating]]&lt;9), EPe_BA_intern_assesment_Raw_data___Sheet13[[#This Row],[Customer Rating]], "")</f>
        <v/>
      </c>
      <c r="R724">
        <f>IF(EPe_BA_intern_assesment_Raw_data___Sheet13[[#This Row],[Customer Rating]]&lt;7,EPe_BA_intern_assesment_Raw_data___Sheet13[[#This Row],[Customer Rating]])</f>
        <v>3</v>
      </c>
    </row>
    <row r="725" spans="1:18" x14ac:dyDescent="0.3">
      <c r="A725" t="s">
        <v>753</v>
      </c>
      <c r="B725" t="s">
        <v>16</v>
      </c>
      <c r="C725" t="s">
        <v>32</v>
      </c>
      <c r="D725" s="1">
        <v>45957</v>
      </c>
      <c r="E725" s="1">
        <v>45962</v>
      </c>
      <c r="F725" s="1">
        <v>45966</v>
      </c>
      <c r="G725" s="1">
        <v>45968</v>
      </c>
      <c r="H725" t="s">
        <v>18</v>
      </c>
      <c r="I725" t="s">
        <v>19</v>
      </c>
      <c r="J725" s="1">
        <v>45983</v>
      </c>
      <c r="K725">
        <v>5</v>
      </c>
      <c r="L725">
        <v>4</v>
      </c>
      <c r="M725">
        <v>2</v>
      </c>
      <c r="N725">
        <v>4</v>
      </c>
      <c r="O725">
        <v>11</v>
      </c>
      <c r="P725" t="b">
        <f>IF(EPe_BA_intern_assesment_Raw_data___Sheet13[[#This Row],[Customer Rating]]&gt;8,EPe_BA_intern_assesment_Raw_data___Sheet13[[#This Row],[Customer Rating]])</f>
        <v>0</v>
      </c>
      <c r="Q725" t="str">
        <f>IF(AND(EPe_BA_intern_assesment_Raw_data___Sheet13[[#This Row],[Customer Rating]]&gt;6,EPe_BA_intern_assesment_Raw_data___Sheet13[[#This Row],[Customer Rating]]&lt;9), EPe_BA_intern_assesment_Raw_data___Sheet13[[#This Row],[Customer Rating]], "")</f>
        <v/>
      </c>
      <c r="R725">
        <f>IF(EPe_BA_intern_assesment_Raw_data___Sheet13[[#This Row],[Customer Rating]]&lt;7,EPe_BA_intern_assesment_Raw_data___Sheet13[[#This Row],[Customer Rating]])</f>
        <v>4</v>
      </c>
    </row>
    <row r="726" spans="1:18" x14ac:dyDescent="0.3">
      <c r="A726" t="s">
        <v>754</v>
      </c>
      <c r="B726" t="s">
        <v>34</v>
      </c>
      <c r="C726" t="s">
        <v>32</v>
      </c>
      <c r="D726" s="1">
        <v>45936</v>
      </c>
      <c r="E726" s="1">
        <v>45939</v>
      </c>
      <c r="F726" s="1">
        <v>45942</v>
      </c>
      <c r="G726" s="1">
        <v>45945</v>
      </c>
      <c r="H726" t="s">
        <v>18</v>
      </c>
      <c r="I726" t="s">
        <v>19</v>
      </c>
      <c r="J726" s="1">
        <v>45970</v>
      </c>
      <c r="K726">
        <v>3</v>
      </c>
      <c r="L726">
        <v>3</v>
      </c>
      <c r="M726">
        <v>3</v>
      </c>
      <c r="N726">
        <v>10</v>
      </c>
      <c r="O726">
        <v>9</v>
      </c>
      <c r="P726">
        <f>IF(EPe_BA_intern_assesment_Raw_data___Sheet13[[#This Row],[Customer Rating]]&gt;8,EPe_BA_intern_assesment_Raw_data___Sheet13[[#This Row],[Customer Rating]])</f>
        <v>10</v>
      </c>
      <c r="Q726" t="str">
        <f>IF(AND(EPe_BA_intern_assesment_Raw_data___Sheet13[[#This Row],[Customer Rating]]&gt;6,EPe_BA_intern_assesment_Raw_data___Sheet13[[#This Row],[Customer Rating]]&lt;9), EPe_BA_intern_assesment_Raw_data___Sheet13[[#This Row],[Customer Rating]], "")</f>
        <v/>
      </c>
      <c r="R726" t="b">
        <f>IF(EPe_BA_intern_assesment_Raw_data___Sheet13[[#This Row],[Customer Rating]]&lt;7,EPe_BA_intern_assesment_Raw_data___Sheet13[[#This Row],[Customer Rating]])</f>
        <v>0</v>
      </c>
    </row>
    <row r="727" spans="1:18" x14ac:dyDescent="0.3">
      <c r="A727" t="s">
        <v>755</v>
      </c>
      <c r="B727" t="s">
        <v>16</v>
      </c>
      <c r="C727" t="s">
        <v>32</v>
      </c>
      <c r="D727" s="1">
        <v>45939</v>
      </c>
      <c r="E727" s="1">
        <v>45942</v>
      </c>
      <c r="F727" s="1">
        <v>45943</v>
      </c>
      <c r="G727" s="1">
        <v>45949</v>
      </c>
      <c r="H727" t="s">
        <v>18</v>
      </c>
      <c r="I727" t="s">
        <v>19</v>
      </c>
      <c r="J727" s="1">
        <v>45961</v>
      </c>
      <c r="K727">
        <v>3</v>
      </c>
      <c r="L727">
        <v>1</v>
      </c>
      <c r="M727">
        <v>6</v>
      </c>
      <c r="N727">
        <v>8</v>
      </c>
      <c r="O727">
        <v>10</v>
      </c>
      <c r="P727" t="b">
        <f>IF(EPe_BA_intern_assesment_Raw_data___Sheet13[[#This Row],[Customer Rating]]&gt;8,EPe_BA_intern_assesment_Raw_data___Sheet13[[#This Row],[Customer Rating]])</f>
        <v>0</v>
      </c>
      <c r="Q727">
        <f>IF(AND(EPe_BA_intern_assesment_Raw_data___Sheet13[[#This Row],[Customer Rating]]&gt;6,EPe_BA_intern_assesment_Raw_data___Sheet13[[#This Row],[Customer Rating]]&lt;9), EPe_BA_intern_assesment_Raw_data___Sheet13[[#This Row],[Customer Rating]], "")</f>
        <v>8</v>
      </c>
      <c r="R727" t="b">
        <f>IF(EPe_BA_intern_assesment_Raw_data___Sheet13[[#This Row],[Customer Rating]]&lt;7,EPe_BA_intern_assesment_Raw_data___Sheet13[[#This Row],[Customer Rating]])</f>
        <v>0</v>
      </c>
    </row>
    <row r="728" spans="1:18" x14ac:dyDescent="0.3">
      <c r="A728" t="s">
        <v>756</v>
      </c>
      <c r="B728" t="s">
        <v>23</v>
      </c>
      <c r="C728" t="s">
        <v>17</v>
      </c>
      <c r="D728" s="1">
        <v>45960</v>
      </c>
      <c r="E728" s="1">
        <v>45962</v>
      </c>
      <c r="F728" s="1">
        <v>45965</v>
      </c>
      <c r="G728" s="1">
        <v>45968</v>
      </c>
      <c r="H728" t="s">
        <v>18</v>
      </c>
      <c r="I728" t="s">
        <v>19</v>
      </c>
      <c r="J728" s="1">
        <v>45982</v>
      </c>
      <c r="K728">
        <v>2</v>
      </c>
      <c r="L728">
        <v>3</v>
      </c>
      <c r="M728">
        <v>3</v>
      </c>
      <c r="N728">
        <v>10</v>
      </c>
      <c r="O728">
        <v>8</v>
      </c>
      <c r="P728">
        <f>IF(EPe_BA_intern_assesment_Raw_data___Sheet13[[#This Row],[Customer Rating]]&gt;8,EPe_BA_intern_assesment_Raw_data___Sheet13[[#This Row],[Customer Rating]])</f>
        <v>10</v>
      </c>
      <c r="Q728" t="str">
        <f>IF(AND(EPe_BA_intern_assesment_Raw_data___Sheet13[[#This Row],[Customer Rating]]&gt;6,EPe_BA_intern_assesment_Raw_data___Sheet13[[#This Row],[Customer Rating]]&lt;9), EPe_BA_intern_assesment_Raw_data___Sheet13[[#This Row],[Customer Rating]], "")</f>
        <v/>
      </c>
      <c r="R728" t="b">
        <f>IF(EPe_BA_intern_assesment_Raw_data___Sheet13[[#This Row],[Customer Rating]]&lt;7,EPe_BA_intern_assesment_Raw_data___Sheet13[[#This Row],[Customer Rating]])</f>
        <v>0</v>
      </c>
    </row>
    <row r="729" spans="1:18" x14ac:dyDescent="0.3">
      <c r="A729" t="s">
        <v>757</v>
      </c>
      <c r="B729" t="s">
        <v>23</v>
      </c>
      <c r="C729" t="s">
        <v>24</v>
      </c>
      <c r="D729" s="1">
        <v>45957</v>
      </c>
      <c r="E729" s="1"/>
      <c r="F729" s="1"/>
      <c r="G729" s="1"/>
      <c r="H729" t="s">
        <v>25</v>
      </c>
      <c r="I729" t="s">
        <v>35</v>
      </c>
      <c r="J729" s="1"/>
      <c r="P729" t="b">
        <f>IF(EPe_BA_intern_assesment_Raw_data___Sheet13[[#This Row],[Customer Rating]]&gt;8,EPe_BA_intern_assesment_Raw_data___Sheet13[[#This Row],[Customer Rating]])</f>
        <v>0</v>
      </c>
      <c r="Q729" t="str">
        <f>IF(AND(EPe_BA_intern_assesment_Raw_data___Sheet13[[#This Row],[Customer Rating]]&gt;6,EPe_BA_intern_assesment_Raw_data___Sheet13[[#This Row],[Customer Rating]]&lt;9), EPe_BA_intern_assesment_Raw_data___Sheet13[[#This Row],[Customer Rating]], "")</f>
        <v/>
      </c>
      <c r="R729">
        <f>IF(EPe_BA_intern_assesment_Raw_data___Sheet13[[#This Row],[Customer Rating]]&lt;7,EPe_BA_intern_assesment_Raw_data___Sheet13[[#This Row],[Customer Rating]])</f>
        <v>0</v>
      </c>
    </row>
    <row r="730" spans="1:18" x14ac:dyDescent="0.3">
      <c r="A730" t="s">
        <v>758</v>
      </c>
      <c r="B730" t="s">
        <v>23</v>
      </c>
      <c r="C730" t="s">
        <v>17</v>
      </c>
      <c r="D730" s="1">
        <v>45961</v>
      </c>
      <c r="E730" s="1">
        <v>45963</v>
      </c>
      <c r="F730" s="1">
        <v>45967</v>
      </c>
      <c r="G730" s="1">
        <v>45972</v>
      </c>
      <c r="H730" t="s">
        <v>18</v>
      </c>
      <c r="I730" t="s">
        <v>19</v>
      </c>
      <c r="J730" s="1">
        <v>46001</v>
      </c>
      <c r="K730">
        <v>2</v>
      </c>
      <c r="L730">
        <v>4</v>
      </c>
      <c r="M730">
        <v>5</v>
      </c>
      <c r="N730">
        <v>3</v>
      </c>
      <c r="O730">
        <v>11</v>
      </c>
      <c r="P730" t="b">
        <f>IF(EPe_BA_intern_assesment_Raw_data___Sheet13[[#This Row],[Customer Rating]]&gt;8,EPe_BA_intern_assesment_Raw_data___Sheet13[[#This Row],[Customer Rating]])</f>
        <v>0</v>
      </c>
      <c r="Q730" t="str">
        <f>IF(AND(EPe_BA_intern_assesment_Raw_data___Sheet13[[#This Row],[Customer Rating]]&gt;6,EPe_BA_intern_assesment_Raw_data___Sheet13[[#This Row],[Customer Rating]]&lt;9), EPe_BA_intern_assesment_Raw_data___Sheet13[[#This Row],[Customer Rating]], "")</f>
        <v/>
      </c>
      <c r="R730">
        <f>IF(EPe_BA_intern_assesment_Raw_data___Sheet13[[#This Row],[Customer Rating]]&lt;7,EPe_BA_intern_assesment_Raw_data___Sheet13[[#This Row],[Customer Rating]])</f>
        <v>3</v>
      </c>
    </row>
    <row r="731" spans="1:18" x14ac:dyDescent="0.3">
      <c r="A731" t="s">
        <v>759</v>
      </c>
      <c r="B731" t="s">
        <v>34</v>
      </c>
      <c r="C731" t="s">
        <v>17</v>
      </c>
      <c r="D731" s="1">
        <v>45946</v>
      </c>
      <c r="E731" s="1">
        <v>45949</v>
      </c>
      <c r="F731" s="1">
        <v>45953</v>
      </c>
      <c r="G731" s="1">
        <v>45958</v>
      </c>
      <c r="H731" t="s">
        <v>18</v>
      </c>
      <c r="I731" t="s">
        <v>19</v>
      </c>
      <c r="J731" s="1">
        <v>45981</v>
      </c>
      <c r="K731">
        <v>3</v>
      </c>
      <c r="L731">
        <v>4</v>
      </c>
      <c r="M731">
        <v>5</v>
      </c>
      <c r="N731">
        <v>9</v>
      </c>
      <c r="O731">
        <v>12</v>
      </c>
      <c r="P731">
        <f>IF(EPe_BA_intern_assesment_Raw_data___Sheet13[[#This Row],[Customer Rating]]&gt;8,EPe_BA_intern_assesment_Raw_data___Sheet13[[#This Row],[Customer Rating]])</f>
        <v>9</v>
      </c>
      <c r="Q731" t="str">
        <f>IF(AND(EPe_BA_intern_assesment_Raw_data___Sheet13[[#This Row],[Customer Rating]]&gt;6,EPe_BA_intern_assesment_Raw_data___Sheet13[[#This Row],[Customer Rating]]&lt;9), EPe_BA_intern_assesment_Raw_data___Sheet13[[#This Row],[Customer Rating]], "")</f>
        <v/>
      </c>
      <c r="R731" t="b">
        <f>IF(EPe_BA_intern_assesment_Raw_data___Sheet13[[#This Row],[Customer Rating]]&lt;7,EPe_BA_intern_assesment_Raw_data___Sheet13[[#This Row],[Customer Rating]])</f>
        <v>0</v>
      </c>
    </row>
    <row r="732" spans="1:18" x14ac:dyDescent="0.3">
      <c r="A732" t="s">
        <v>760</v>
      </c>
      <c r="B732" t="s">
        <v>21</v>
      </c>
      <c r="C732" t="s">
        <v>17</v>
      </c>
      <c r="D732" s="1">
        <v>45961</v>
      </c>
      <c r="E732" s="1">
        <v>45966</v>
      </c>
      <c r="F732" s="1">
        <v>45968</v>
      </c>
      <c r="G732" s="1">
        <v>45970</v>
      </c>
      <c r="H732" t="s">
        <v>18</v>
      </c>
      <c r="I732" t="s">
        <v>19</v>
      </c>
      <c r="J732" s="1">
        <v>46000</v>
      </c>
      <c r="K732">
        <v>5</v>
      </c>
      <c r="L732">
        <v>2</v>
      </c>
      <c r="M732">
        <v>2</v>
      </c>
      <c r="N732">
        <v>1</v>
      </c>
      <c r="O732">
        <v>9</v>
      </c>
      <c r="P732" t="b">
        <f>IF(EPe_BA_intern_assesment_Raw_data___Sheet13[[#This Row],[Customer Rating]]&gt;8,EPe_BA_intern_assesment_Raw_data___Sheet13[[#This Row],[Customer Rating]])</f>
        <v>0</v>
      </c>
      <c r="Q732" t="str">
        <f>IF(AND(EPe_BA_intern_assesment_Raw_data___Sheet13[[#This Row],[Customer Rating]]&gt;6,EPe_BA_intern_assesment_Raw_data___Sheet13[[#This Row],[Customer Rating]]&lt;9), EPe_BA_intern_assesment_Raw_data___Sheet13[[#This Row],[Customer Rating]], "")</f>
        <v/>
      </c>
      <c r="R732">
        <f>IF(EPe_BA_intern_assesment_Raw_data___Sheet13[[#This Row],[Customer Rating]]&lt;7,EPe_BA_intern_assesment_Raw_data___Sheet13[[#This Row],[Customer Rating]])</f>
        <v>1</v>
      </c>
    </row>
    <row r="733" spans="1:18" x14ac:dyDescent="0.3">
      <c r="A733" t="s">
        <v>761</v>
      </c>
      <c r="B733" t="s">
        <v>21</v>
      </c>
      <c r="C733" t="s">
        <v>17</v>
      </c>
      <c r="D733" s="1">
        <v>45956</v>
      </c>
      <c r="E733" s="1">
        <v>45958</v>
      </c>
      <c r="F733" s="1">
        <v>45961</v>
      </c>
      <c r="G733" s="1">
        <v>45964</v>
      </c>
      <c r="H733" t="s">
        <v>18</v>
      </c>
      <c r="I733" t="s">
        <v>19</v>
      </c>
      <c r="J733" s="1">
        <v>45987</v>
      </c>
      <c r="K733">
        <v>2</v>
      </c>
      <c r="L733">
        <v>3</v>
      </c>
      <c r="M733">
        <v>3</v>
      </c>
      <c r="N733">
        <v>8</v>
      </c>
      <c r="O733">
        <v>8</v>
      </c>
      <c r="P733" t="b">
        <f>IF(EPe_BA_intern_assesment_Raw_data___Sheet13[[#This Row],[Customer Rating]]&gt;8,EPe_BA_intern_assesment_Raw_data___Sheet13[[#This Row],[Customer Rating]])</f>
        <v>0</v>
      </c>
      <c r="Q733">
        <f>IF(AND(EPe_BA_intern_assesment_Raw_data___Sheet13[[#This Row],[Customer Rating]]&gt;6,EPe_BA_intern_assesment_Raw_data___Sheet13[[#This Row],[Customer Rating]]&lt;9), EPe_BA_intern_assesment_Raw_data___Sheet13[[#This Row],[Customer Rating]], "")</f>
        <v>8</v>
      </c>
      <c r="R733" t="b">
        <f>IF(EPe_BA_intern_assesment_Raw_data___Sheet13[[#This Row],[Customer Rating]]&lt;7,EPe_BA_intern_assesment_Raw_data___Sheet13[[#This Row],[Customer Rating]])</f>
        <v>0</v>
      </c>
    </row>
    <row r="734" spans="1:18" x14ac:dyDescent="0.3">
      <c r="A734" t="s">
        <v>762</v>
      </c>
      <c r="B734" t="s">
        <v>23</v>
      </c>
      <c r="C734" t="s">
        <v>17</v>
      </c>
      <c r="D734" s="1">
        <v>45940</v>
      </c>
      <c r="E734" s="1">
        <v>45941</v>
      </c>
      <c r="F734" s="1">
        <v>45946</v>
      </c>
      <c r="G734" s="1">
        <v>45953</v>
      </c>
      <c r="H734" t="s">
        <v>18</v>
      </c>
      <c r="I734" t="s">
        <v>19</v>
      </c>
      <c r="J734" s="1">
        <v>45975</v>
      </c>
      <c r="K734">
        <v>1</v>
      </c>
      <c r="L734">
        <v>5</v>
      </c>
      <c r="M734">
        <v>7</v>
      </c>
      <c r="N734">
        <v>6</v>
      </c>
      <c r="O734">
        <v>13</v>
      </c>
      <c r="P734" t="b">
        <f>IF(EPe_BA_intern_assesment_Raw_data___Sheet13[[#This Row],[Customer Rating]]&gt;8,EPe_BA_intern_assesment_Raw_data___Sheet13[[#This Row],[Customer Rating]])</f>
        <v>0</v>
      </c>
      <c r="Q734" t="str">
        <f>IF(AND(EPe_BA_intern_assesment_Raw_data___Sheet13[[#This Row],[Customer Rating]]&gt;6,EPe_BA_intern_assesment_Raw_data___Sheet13[[#This Row],[Customer Rating]]&lt;9), EPe_BA_intern_assesment_Raw_data___Sheet13[[#This Row],[Customer Rating]], "")</f>
        <v/>
      </c>
      <c r="R734">
        <f>IF(EPe_BA_intern_assesment_Raw_data___Sheet13[[#This Row],[Customer Rating]]&lt;7,EPe_BA_intern_assesment_Raw_data___Sheet13[[#This Row],[Customer Rating]])</f>
        <v>6</v>
      </c>
    </row>
    <row r="735" spans="1:18" x14ac:dyDescent="0.3">
      <c r="A735" t="s">
        <v>763</v>
      </c>
      <c r="B735" t="s">
        <v>21</v>
      </c>
      <c r="C735" t="s">
        <v>17</v>
      </c>
      <c r="D735" s="1">
        <v>45954</v>
      </c>
      <c r="E735" s="1">
        <v>45956</v>
      </c>
      <c r="F735" s="1">
        <v>45960</v>
      </c>
      <c r="G735" s="1">
        <v>45964</v>
      </c>
      <c r="H735" t="s">
        <v>18</v>
      </c>
      <c r="I735" t="s">
        <v>19</v>
      </c>
      <c r="J735" s="1">
        <v>45987</v>
      </c>
      <c r="K735">
        <v>2</v>
      </c>
      <c r="L735">
        <v>4</v>
      </c>
      <c r="M735">
        <v>4</v>
      </c>
      <c r="N735">
        <v>4</v>
      </c>
      <c r="O735">
        <v>10</v>
      </c>
      <c r="P735" t="b">
        <f>IF(EPe_BA_intern_assesment_Raw_data___Sheet13[[#This Row],[Customer Rating]]&gt;8,EPe_BA_intern_assesment_Raw_data___Sheet13[[#This Row],[Customer Rating]])</f>
        <v>0</v>
      </c>
      <c r="Q735" t="str">
        <f>IF(AND(EPe_BA_intern_assesment_Raw_data___Sheet13[[#This Row],[Customer Rating]]&gt;6,EPe_BA_intern_assesment_Raw_data___Sheet13[[#This Row],[Customer Rating]]&lt;9), EPe_BA_intern_assesment_Raw_data___Sheet13[[#This Row],[Customer Rating]], "")</f>
        <v/>
      </c>
      <c r="R735">
        <f>IF(EPe_BA_intern_assesment_Raw_data___Sheet13[[#This Row],[Customer Rating]]&lt;7,EPe_BA_intern_assesment_Raw_data___Sheet13[[#This Row],[Customer Rating]])</f>
        <v>4</v>
      </c>
    </row>
    <row r="736" spans="1:18" x14ac:dyDescent="0.3">
      <c r="A736" t="s">
        <v>764</v>
      </c>
      <c r="B736" t="s">
        <v>21</v>
      </c>
      <c r="C736" t="s">
        <v>17</v>
      </c>
      <c r="D736" s="1">
        <v>45958</v>
      </c>
      <c r="E736" s="1">
        <v>45960</v>
      </c>
      <c r="F736" s="1">
        <v>45964</v>
      </c>
      <c r="G736" s="1">
        <v>45966</v>
      </c>
      <c r="H736" t="s">
        <v>18</v>
      </c>
      <c r="I736" t="s">
        <v>19</v>
      </c>
      <c r="J736" s="1">
        <v>45991</v>
      </c>
      <c r="K736">
        <v>2</v>
      </c>
      <c r="L736">
        <v>4</v>
      </c>
      <c r="M736">
        <v>2</v>
      </c>
      <c r="N736">
        <v>4</v>
      </c>
      <c r="O736">
        <v>8</v>
      </c>
      <c r="P736" t="b">
        <f>IF(EPe_BA_intern_assesment_Raw_data___Sheet13[[#This Row],[Customer Rating]]&gt;8,EPe_BA_intern_assesment_Raw_data___Sheet13[[#This Row],[Customer Rating]])</f>
        <v>0</v>
      </c>
      <c r="Q736" t="str">
        <f>IF(AND(EPe_BA_intern_assesment_Raw_data___Sheet13[[#This Row],[Customer Rating]]&gt;6,EPe_BA_intern_assesment_Raw_data___Sheet13[[#This Row],[Customer Rating]]&lt;9), EPe_BA_intern_assesment_Raw_data___Sheet13[[#This Row],[Customer Rating]], "")</f>
        <v/>
      </c>
      <c r="R736">
        <f>IF(EPe_BA_intern_assesment_Raw_data___Sheet13[[#This Row],[Customer Rating]]&lt;7,EPe_BA_intern_assesment_Raw_data___Sheet13[[#This Row],[Customer Rating]])</f>
        <v>4</v>
      </c>
    </row>
    <row r="737" spans="1:18" x14ac:dyDescent="0.3">
      <c r="A737" t="s">
        <v>765</v>
      </c>
      <c r="B737" t="s">
        <v>34</v>
      </c>
      <c r="C737" t="s">
        <v>32</v>
      </c>
      <c r="D737" s="1">
        <v>45941</v>
      </c>
      <c r="E737" s="1">
        <v>45943</v>
      </c>
      <c r="F737" s="1">
        <v>45945</v>
      </c>
      <c r="G737" s="1">
        <v>45947</v>
      </c>
      <c r="H737" t="s">
        <v>18</v>
      </c>
      <c r="I737" t="s">
        <v>19</v>
      </c>
      <c r="J737" s="1">
        <v>45969</v>
      </c>
      <c r="K737">
        <v>2</v>
      </c>
      <c r="L737">
        <v>2</v>
      </c>
      <c r="M737">
        <v>2</v>
      </c>
      <c r="N737">
        <v>9</v>
      </c>
      <c r="O737">
        <v>6</v>
      </c>
      <c r="P737">
        <f>IF(EPe_BA_intern_assesment_Raw_data___Sheet13[[#This Row],[Customer Rating]]&gt;8,EPe_BA_intern_assesment_Raw_data___Sheet13[[#This Row],[Customer Rating]])</f>
        <v>9</v>
      </c>
      <c r="Q737" t="str">
        <f>IF(AND(EPe_BA_intern_assesment_Raw_data___Sheet13[[#This Row],[Customer Rating]]&gt;6,EPe_BA_intern_assesment_Raw_data___Sheet13[[#This Row],[Customer Rating]]&lt;9), EPe_BA_intern_assesment_Raw_data___Sheet13[[#This Row],[Customer Rating]], "")</f>
        <v/>
      </c>
      <c r="R737" t="b">
        <f>IF(EPe_BA_intern_assesment_Raw_data___Sheet13[[#This Row],[Customer Rating]]&lt;7,EPe_BA_intern_assesment_Raw_data___Sheet13[[#This Row],[Customer Rating]])</f>
        <v>0</v>
      </c>
    </row>
    <row r="738" spans="1:18" x14ac:dyDescent="0.3">
      <c r="A738" t="s">
        <v>766</v>
      </c>
      <c r="B738" t="s">
        <v>16</v>
      </c>
      <c r="C738" t="s">
        <v>17</v>
      </c>
      <c r="D738" s="1">
        <v>45956</v>
      </c>
      <c r="E738" s="1">
        <v>45960</v>
      </c>
      <c r="F738" s="1">
        <v>45965</v>
      </c>
      <c r="G738" s="1">
        <v>45968</v>
      </c>
      <c r="H738" t="s">
        <v>18</v>
      </c>
      <c r="I738" t="s">
        <v>19</v>
      </c>
      <c r="J738" s="1">
        <v>45978</v>
      </c>
      <c r="K738">
        <v>4</v>
      </c>
      <c r="L738">
        <v>5</v>
      </c>
      <c r="M738">
        <v>3</v>
      </c>
      <c r="N738">
        <v>0</v>
      </c>
      <c r="O738">
        <v>12</v>
      </c>
      <c r="P738" t="b">
        <f>IF(EPe_BA_intern_assesment_Raw_data___Sheet13[[#This Row],[Customer Rating]]&gt;8,EPe_BA_intern_assesment_Raw_data___Sheet13[[#This Row],[Customer Rating]])</f>
        <v>0</v>
      </c>
      <c r="Q738" t="str">
        <f>IF(AND(EPe_BA_intern_assesment_Raw_data___Sheet13[[#This Row],[Customer Rating]]&gt;6,EPe_BA_intern_assesment_Raw_data___Sheet13[[#This Row],[Customer Rating]]&lt;9), EPe_BA_intern_assesment_Raw_data___Sheet13[[#This Row],[Customer Rating]], "")</f>
        <v/>
      </c>
      <c r="R738">
        <f>IF(EPe_BA_intern_assesment_Raw_data___Sheet13[[#This Row],[Customer Rating]]&lt;7,EPe_BA_intern_assesment_Raw_data___Sheet13[[#This Row],[Customer Rating]])</f>
        <v>0</v>
      </c>
    </row>
    <row r="739" spans="1:18" x14ac:dyDescent="0.3">
      <c r="A739" t="s">
        <v>767</v>
      </c>
      <c r="B739" t="s">
        <v>23</v>
      </c>
      <c r="C739" t="s">
        <v>24</v>
      </c>
      <c r="D739" s="1">
        <v>45934</v>
      </c>
      <c r="E739" s="1"/>
      <c r="F739" s="1"/>
      <c r="G739" s="1"/>
      <c r="H739" t="s">
        <v>25</v>
      </c>
      <c r="I739" t="s">
        <v>28</v>
      </c>
      <c r="J739" s="1"/>
      <c r="P739" t="b">
        <f>IF(EPe_BA_intern_assesment_Raw_data___Sheet13[[#This Row],[Customer Rating]]&gt;8,EPe_BA_intern_assesment_Raw_data___Sheet13[[#This Row],[Customer Rating]])</f>
        <v>0</v>
      </c>
      <c r="Q739" t="str">
        <f>IF(AND(EPe_BA_intern_assesment_Raw_data___Sheet13[[#This Row],[Customer Rating]]&gt;6,EPe_BA_intern_assesment_Raw_data___Sheet13[[#This Row],[Customer Rating]]&lt;9), EPe_BA_intern_assesment_Raw_data___Sheet13[[#This Row],[Customer Rating]], "")</f>
        <v/>
      </c>
      <c r="R739">
        <f>IF(EPe_BA_intern_assesment_Raw_data___Sheet13[[#This Row],[Customer Rating]]&lt;7,EPe_BA_intern_assesment_Raw_data___Sheet13[[#This Row],[Customer Rating]])</f>
        <v>0</v>
      </c>
    </row>
    <row r="740" spans="1:18" x14ac:dyDescent="0.3">
      <c r="A740" t="s">
        <v>768</v>
      </c>
      <c r="B740" t="s">
        <v>23</v>
      </c>
      <c r="C740" t="s">
        <v>32</v>
      </c>
      <c r="D740" s="1">
        <v>45945</v>
      </c>
      <c r="E740" s="1">
        <v>45946</v>
      </c>
      <c r="F740" s="1">
        <v>45950</v>
      </c>
      <c r="G740" s="1">
        <v>45956</v>
      </c>
      <c r="H740" t="s">
        <v>18</v>
      </c>
      <c r="I740" t="s">
        <v>19</v>
      </c>
      <c r="J740" s="1">
        <v>45967</v>
      </c>
      <c r="K740">
        <v>1</v>
      </c>
      <c r="L740">
        <v>4</v>
      </c>
      <c r="M740">
        <v>6</v>
      </c>
      <c r="N740">
        <v>7</v>
      </c>
      <c r="O740">
        <v>11</v>
      </c>
      <c r="P740" t="b">
        <f>IF(EPe_BA_intern_assesment_Raw_data___Sheet13[[#This Row],[Customer Rating]]&gt;8,EPe_BA_intern_assesment_Raw_data___Sheet13[[#This Row],[Customer Rating]])</f>
        <v>0</v>
      </c>
      <c r="Q740">
        <f>IF(AND(EPe_BA_intern_assesment_Raw_data___Sheet13[[#This Row],[Customer Rating]]&gt;6,EPe_BA_intern_assesment_Raw_data___Sheet13[[#This Row],[Customer Rating]]&lt;9), EPe_BA_intern_assesment_Raw_data___Sheet13[[#This Row],[Customer Rating]], "")</f>
        <v>7</v>
      </c>
      <c r="R740" t="b">
        <f>IF(EPe_BA_intern_assesment_Raw_data___Sheet13[[#This Row],[Customer Rating]]&lt;7,EPe_BA_intern_assesment_Raw_data___Sheet13[[#This Row],[Customer Rating]])</f>
        <v>0</v>
      </c>
    </row>
    <row r="741" spans="1:18" x14ac:dyDescent="0.3">
      <c r="A741" t="s">
        <v>769</v>
      </c>
      <c r="B741" t="s">
        <v>34</v>
      </c>
      <c r="C741" t="s">
        <v>32</v>
      </c>
      <c r="D741" s="1">
        <v>45961</v>
      </c>
      <c r="E741" s="1">
        <v>45964</v>
      </c>
      <c r="F741" s="1">
        <v>45965</v>
      </c>
      <c r="G741" s="1">
        <v>45970</v>
      </c>
      <c r="H741" t="s">
        <v>18</v>
      </c>
      <c r="I741" t="s">
        <v>19</v>
      </c>
      <c r="J741" s="1">
        <v>45997</v>
      </c>
      <c r="K741">
        <v>3</v>
      </c>
      <c r="L741">
        <v>1</v>
      </c>
      <c r="M741">
        <v>5</v>
      </c>
      <c r="N741">
        <v>7</v>
      </c>
      <c r="O741">
        <v>9</v>
      </c>
      <c r="P741" t="b">
        <f>IF(EPe_BA_intern_assesment_Raw_data___Sheet13[[#This Row],[Customer Rating]]&gt;8,EPe_BA_intern_assesment_Raw_data___Sheet13[[#This Row],[Customer Rating]])</f>
        <v>0</v>
      </c>
      <c r="Q741">
        <f>IF(AND(EPe_BA_intern_assesment_Raw_data___Sheet13[[#This Row],[Customer Rating]]&gt;6,EPe_BA_intern_assesment_Raw_data___Sheet13[[#This Row],[Customer Rating]]&lt;9), EPe_BA_intern_assesment_Raw_data___Sheet13[[#This Row],[Customer Rating]], "")</f>
        <v>7</v>
      </c>
      <c r="R741" t="b">
        <f>IF(EPe_BA_intern_assesment_Raw_data___Sheet13[[#This Row],[Customer Rating]]&lt;7,EPe_BA_intern_assesment_Raw_data___Sheet13[[#This Row],[Customer Rating]])</f>
        <v>0</v>
      </c>
    </row>
    <row r="742" spans="1:18" x14ac:dyDescent="0.3">
      <c r="A742" t="s">
        <v>770</v>
      </c>
      <c r="B742" t="s">
        <v>34</v>
      </c>
      <c r="C742" t="s">
        <v>17</v>
      </c>
      <c r="D742" s="1">
        <v>45933</v>
      </c>
      <c r="E742" s="1">
        <v>45938</v>
      </c>
      <c r="F742" s="1">
        <v>45943</v>
      </c>
      <c r="G742" s="1">
        <v>45950</v>
      </c>
      <c r="H742" t="s">
        <v>18</v>
      </c>
      <c r="I742" t="s">
        <v>19</v>
      </c>
      <c r="J742" s="1">
        <v>45966</v>
      </c>
      <c r="K742">
        <v>5</v>
      </c>
      <c r="L742">
        <v>5</v>
      </c>
      <c r="M742">
        <v>7</v>
      </c>
      <c r="N742">
        <v>1</v>
      </c>
      <c r="O742">
        <v>17</v>
      </c>
      <c r="P742" t="b">
        <f>IF(EPe_BA_intern_assesment_Raw_data___Sheet13[[#This Row],[Customer Rating]]&gt;8,EPe_BA_intern_assesment_Raw_data___Sheet13[[#This Row],[Customer Rating]])</f>
        <v>0</v>
      </c>
      <c r="Q742" t="str">
        <f>IF(AND(EPe_BA_intern_assesment_Raw_data___Sheet13[[#This Row],[Customer Rating]]&gt;6,EPe_BA_intern_assesment_Raw_data___Sheet13[[#This Row],[Customer Rating]]&lt;9), EPe_BA_intern_assesment_Raw_data___Sheet13[[#This Row],[Customer Rating]], "")</f>
        <v/>
      </c>
      <c r="R742">
        <f>IF(EPe_BA_intern_assesment_Raw_data___Sheet13[[#This Row],[Customer Rating]]&lt;7,EPe_BA_intern_assesment_Raw_data___Sheet13[[#This Row],[Customer Rating]])</f>
        <v>1</v>
      </c>
    </row>
    <row r="743" spans="1:18" x14ac:dyDescent="0.3">
      <c r="A743" t="s">
        <v>771</v>
      </c>
      <c r="B743" t="s">
        <v>21</v>
      </c>
      <c r="C743" t="s">
        <v>17</v>
      </c>
      <c r="D743" s="1">
        <v>45935</v>
      </c>
      <c r="E743" s="1">
        <v>45940</v>
      </c>
      <c r="F743" s="1">
        <v>45943</v>
      </c>
      <c r="G743" s="1">
        <v>45947</v>
      </c>
      <c r="H743" t="s">
        <v>18</v>
      </c>
      <c r="I743" t="s">
        <v>19</v>
      </c>
      <c r="J743" s="1">
        <v>45968</v>
      </c>
      <c r="K743">
        <v>5</v>
      </c>
      <c r="L743">
        <v>3</v>
      </c>
      <c r="M743">
        <v>4</v>
      </c>
      <c r="N743">
        <v>2</v>
      </c>
      <c r="O743">
        <v>12</v>
      </c>
      <c r="P743" t="b">
        <f>IF(EPe_BA_intern_assesment_Raw_data___Sheet13[[#This Row],[Customer Rating]]&gt;8,EPe_BA_intern_assesment_Raw_data___Sheet13[[#This Row],[Customer Rating]])</f>
        <v>0</v>
      </c>
      <c r="Q743" t="str">
        <f>IF(AND(EPe_BA_intern_assesment_Raw_data___Sheet13[[#This Row],[Customer Rating]]&gt;6,EPe_BA_intern_assesment_Raw_data___Sheet13[[#This Row],[Customer Rating]]&lt;9), EPe_BA_intern_assesment_Raw_data___Sheet13[[#This Row],[Customer Rating]], "")</f>
        <v/>
      </c>
      <c r="R743">
        <f>IF(EPe_BA_intern_assesment_Raw_data___Sheet13[[#This Row],[Customer Rating]]&lt;7,EPe_BA_intern_assesment_Raw_data___Sheet13[[#This Row],[Customer Rating]])</f>
        <v>2</v>
      </c>
    </row>
    <row r="744" spans="1:18" x14ac:dyDescent="0.3">
      <c r="A744" t="s">
        <v>772</v>
      </c>
      <c r="B744" t="s">
        <v>23</v>
      </c>
      <c r="C744" t="s">
        <v>17</v>
      </c>
      <c r="D744" s="1">
        <v>45955</v>
      </c>
      <c r="E744" s="1">
        <v>45958</v>
      </c>
      <c r="F744" s="1">
        <v>45960</v>
      </c>
      <c r="G744" s="1">
        <v>45965</v>
      </c>
      <c r="H744" t="s">
        <v>18</v>
      </c>
      <c r="I744" t="s">
        <v>19</v>
      </c>
      <c r="J744" s="1">
        <v>45975</v>
      </c>
      <c r="K744">
        <v>3</v>
      </c>
      <c r="L744">
        <v>2</v>
      </c>
      <c r="M744">
        <v>5</v>
      </c>
      <c r="N744">
        <v>2</v>
      </c>
      <c r="O744">
        <v>10</v>
      </c>
      <c r="P744" t="b">
        <f>IF(EPe_BA_intern_assesment_Raw_data___Sheet13[[#This Row],[Customer Rating]]&gt;8,EPe_BA_intern_assesment_Raw_data___Sheet13[[#This Row],[Customer Rating]])</f>
        <v>0</v>
      </c>
      <c r="Q744" t="str">
        <f>IF(AND(EPe_BA_intern_assesment_Raw_data___Sheet13[[#This Row],[Customer Rating]]&gt;6,EPe_BA_intern_assesment_Raw_data___Sheet13[[#This Row],[Customer Rating]]&lt;9), EPe_BA_intern_assesment_Raw_data___Sheet13[[#This Row],[Customer Rating]], "")</f>
        <v/>
      </c>
      <c r="R744">
        <f>IF(EPe_BA_intern_assesment_Raw_data___Sheet13[[#This Row],[Customer Rating]]&lt;7,EPe_BA_intern_assesment_Raw_data___Sheet13[[#This Row],[Customer Rating]])</f>
        <v>2</v>
      </c>
    </row>
    <row r="745" spans="1:18" x14ac:dyDescent="0.3">
      <c r="A745" t="s">
        <v>773</v>
      </c>
      <c r="B745" t="s">
        <v>16</v>
      </c>
      <c r="C745" t="s">
        <v>17</v>
      </c>
      <c r="D745" s="1">
        <v>45961</v>
      </c>
      <c r="E745" s="1">
        <v>45965</v>
      </c>
      <c r="F745" s="1">
        <v>45966</v>
      </c>
      <c r="G745" s="1">
        <v>45973</v>
      </c>
      <c r="H745" t="s">
        <v>18</v>
      </c>
      <c r="I745" t="s">
        <v>19</v>
      </c>
      <c r="J745" s="1">
        <v>45993</v>
      </c>
      <c r="K745">
        <v>4</v>
      </c>
      <c r="L745">
        <v>1</v>
      </c>
      <c r="M745">
        <v>7</v>
      </c>
      <c r="N745">
        <v>1</v>
      </c>
      <c r="O745">
        <v>12</v>
      </c>
      <c r="P745" t="b">
        <f>IF(EPe_BA_intern_assesment_Raw_data___Sheet13[[#This Row],[Customer Rating]]&gt;8,EPe_BA_intern_assesment_Raw_data___Sheet13[[#This Row],[Customer Rating]])</f>
        <v>0</v>
      </c>
      <c r="Q745" t="str">
        <f>IF(AND(EPe_BA_intern_assesment_Raw_data___Sheet13[[#This Row],[Customer Rating]]&gt;6,EPe_BA_intern_assesment_Raw_data___Sheet13[[#This Row],[Customer Rating]]&lt;9), EPe_BA_intern_assesment_Raw_data___Sheet13[[#This Row],[Customer Rating]], "")</f>
        <v/>
      </c>
      <c r="R745">
        <f>IF(EPe_BA_intern_assesment_Raw_data___Sheet13[[#This Row],[Customer Rating]]&lt;7,EPe_BA_intern_assesment_Raw_data___Sheet13[[#This Row],[Customer Rating]])</f>
        <v>1</v>
      </c>
    </row>
    <row r="746" spans="1:18" x14ac:dyDescent="0.3">
      <c r="A746" t="s">
        <v>774</v>
      </c>
      <c r="B746" t="s">
        <v>34</v>
      </c>
      <c r="C746" t="s">
        <v>32</v>
      </c>
      <c r="D746" s="1">
        <v>45938</v>
      </c>
      <c r="E746" s="1">
        <v>45943</v>
      </c>
      <c r="F746" s="1">
        <v>45944</v>
      </c>
      <c r="G746" s="1">
        <v>45946</v>
      </c>
      <c r="H746" t="s">
        <v>18</v>
      </c>
      <c r="I746" t="s">
        <v>19</v>
      </c>
      <c r="J746" s="1">
        <v>45972</v>
      </c>
      <c r="K746">
        <v>5</v>
      </c>
      <c r="L746">
        <v>1</v>
      </c>
      <c r="M746">
        <v>2</v>
      </c>
      <c r="N746">
        <v>5</v>
      </c>
      <c r="O746">
        <v>8</v>
      </c>
      <c r="P746" t="b">
        <f>IF(EPe_BA_intern_assesment_Raw_data___Sheet13[[#This Row],[Customer Rating]]&gt;8,EPe_BA_intern_assesment_Raw_data___Sheet13[[#This Row],[Customer Rating]])</f>
        <v>0</v>
      </c>
      <c r="Q746" t="str">
        <f>IF(AND(EPe_BA_intern_assesment_Raw_data___Sheet13[[#This Row],[Customer Rating]]&gt;6,EPe_BA_intern_assesment_Raw_data___Sheet13[[#This Row],[Customer Rating]]&lt;9), EPe_BA_intern_assesment_Raw_data___Sheet13[[#This Row],[Customer Rating]], "")</f>
        <v/>
      </c>
      <c r="R746">
        <f>IF(EPe_BA_intern_assesment_Raw_data___Sheet13[[#This Row],[Customer Rating]]&lt;7,EPe_BA_intern_assesment_Raw_data___Sheet13[[#This Row],[Customer Rating]])</f>
        <v>5</v>
      </c>
    </row>
    <row r="747" spans="1:18" x14ac:dyDescent="0.3">
      <c r="A747" t="s">
        <v>775</v>
      </c>
      <c r="B747" t="s">
        <v>16</v>
      </c>
      <c r="C747" t="s">
        <v>17</v>
      </c>
      <c r="D747" s="1">
        <v>45958</v>
      </c>
      <c r="E747" s="1">
        <v>45960</v>
      </c>
      <c r="F747" s="1">
        <v>45963</v>
      </c>
      <c r="G747" s="1">
        <v>45969</v>
      </c>
      <c r="H747" t="s">
        <v>18</v>
      </c>
      <c r="I747" t="s">
        <v>19</v>
      </c>
      <c r="J747" s="1">
        <v>45985</v>
      </c>
      <c r="K747">
        <v>2</v>
      </c>
      <c r="L747">
        <v>3</v>
      </c>
      <c r="M747">
        <v>6</v>
      </c>
      <c r="N747">
        <v>9</v>
      </c>
      <c r="O747">
        <v>11</v>
      </c>
      <c r="P747">
        <f>IF(EPe_BA_intern_assesment_Raw_data___Sheet13[[#This Row],[Customer Rating]]&gt;8,EPe_BA_intern_assesment_Raw_data___Sheet13[[#This Row],[Customer Rating]])</f>
        <v>9</v>
      </c>
      <c r="Q747" t="str">
        <f>IF(AND(EPe_BA_intern_assesment_Raw_data___Sheet13[[#This Row],[Customer Rating]]&gt;6,EPe_BA_intern_assesment_Raw_data___Sheet13[[#This Row],[Customer Rating]]&lt;9), EPe_BA_intern_assesment_Raw_data___Sheet13[[#This Row],[Customer Rating]], "")</f>
        <v/>
      </c>
      <c r="R747" t="b">
        <f>IF(EPe_BA_intern_assesment_Raw_data___Sheet13[[#This Row],[Customer Rating]]&lt;7,EPe_BA_intern_assesment_Raw_data___Sheet13[[#This Row],[Customer Rating]])</f>
        <v>0</v>
      </c>
    </row>
    <row r="748" spans="1:18" x14ac:dyDescent="0.3">
      <c r="A748" t="s">
        <v>776</v>
      </c>
      <c r="B748" t="s">
        <v>16</v>
      </c>
      <c r="C748" t="s">
        <v>17</v>
      </c>
      <c r="D748" s="1">
        <v>45952</v>
      </c>
      <c r="E748" s="1">
        <v>45957</v>
      </c>
      <c r="F748" s="1">
        <v>45959</v>
      </c>
      <c r="G748" s="1">
        <v>45961</v>
      </c>
      <c r="H748" t="s">
        <v>25</v>
      </c>
      <c r="I748" t="s">
        <v>103</v>
      </c>
      <c r="J748" s="1"/>
      <c r="K748">
        <v>5</v>
      </c>
      <c r="L748">
        <v>2</v>
      </c>
      <c r="M748">
        <v>2</v>
      </c>
      <c r="O748">
        <v>9</v>
      </c>
      <c r="P748" t="b">
        <f>IF(EPe_BA_intern_assesment_Raw_data___Sheet13[[#This Row],[Customer Rating]]&gt;8,EPe_BA_intern_assesment_Raw_data___Sheet13[[#This Row],[Customer Rating]])</f>
        <v>0</v>
      </c>
      <c r="Q748" t="str">
        <f>IF(AND(EPe_BA_intern_assesment_Raw_data___Sheet13[[#This Row],[Customer Rating]]&gt;6,EPe_BA_intern_assesment_Raw_data___Sheet13[[#This Row],[Customer Rating]]&lt;9), EPe_BA_intern_assesment_Raw_data___Sheet13[[#This Row],[Customer Rating]], "")</f>
        <v/>
      </c>
      <c r="R748">
        <f>IF(EPe_BA_intern_assesment_Raw_data___Sheet13[[#This Row],[Customer Rating]]&lt;7,EPe_BA_intern_assesment_Raw_data___Sheet13[[#This Row],[Customer Rating]])</f>
        <v>0</v>
      </c>
    </row>
    <row r="749" spans="1:18" x14ac:dyDescent="0.3">
      <c r="A749" t="s">
        <v>777</v>
      </c>
      <c r="B749" t="s">
        <v>23</v>
      </c>
      <c r="C749" t="s">
        <v>24</v>
      </c>
      <c r="D749" s="1">
        <v>45954</v>
      </c>
      <c r="E749" s="1"/>
      <c r="F749" s="1"/>
      <c r="G749" s="1"/>
      <c r="H749" t="s">
        <v>25</v>
      </c>
      <c r="I749" t="s">
        <v>65</v>
      </c>
      <c r="J749" s="1"/>
      <c r="P749" t="b">
        <f>IF(EPe_BA_intern_assesment_Raw_data___Sheet13[[#This Row],[Customer Rating]]&gt;8,EPe_BA_intern_assesment_Raw_data___Sheet13[[#This Row],[Customer Rating]])</f>
        <v>0</v>
      </c>
      <c r="Q749" t="str">
        <f>IF(AND(EPe_BA_intern_assesment_Raw_data___Sheet13[[#This Row],[Customer Rating]]&gt;6,EPe_BA_intern_assesment_Raw_data___Sheet13[[#This Row],[Customer Rating]]&lt;9), EPe_BA_intern_assesment_Raw_data___Sheet13[[#This Row],[Customer Rating]], "")</f>
        <v/>
      </c>
      <c r="R749">
        <f>IF(EPe_BA_intern_assesment_Raw_data___Sheet13[[#This Row],[Customer Rating]]&lt;7,EPe_BA_intern_assesment_Raw_data___Sheet13[[#This Row],[Customer Rating]])</f>
        <v>0</v>
      </c>
    </row>
    <row r="750" spans="1:18" x14ac:dyDescent="0.3">
      <c r="A750" t="s">
        <v>778</v>
      </c>
      <c r="B750" t="s">
        <v>23</v>
      </c>
      <c r="C750" t="s">
        <v>17</v>
      </c>
      <c r="D750" s="1">
        <v>45952</v>
      </c>
      <c r="E750" s="1">
        <v>45953</v>
      </c>
      <c r="F750" s="1">
        <v>45957</v>
      </c>
      <c r="G750" s="1">
        <v>45963</v>
      </c>
      <c r="H750" t="s">
        <v>18</v>
      </c>
      <c r="I750" t="s">
        <v>19</v>
      </c>
      <c r="J750" s="1">
        <v>45973</v>
      </c>
      <c r="K750">
        <v>1</v>
      </c>
      <c r="L750">
        <v>4</v>
      </c>
      <c r="M750">
        <v>6</v>
      </c>
      <c r="N750">
        <v>7</v>
      </c>
      <c r="O750">
        <v>11</v>
      </c>
      <c r="P750" t="b">
        <f>IF(EPe_BA_intern_assesment_Raw_data___Sheet13[[#This Row],[Customer Rating]]&gt;8,EPe_BA_intern_assesment_Raw_data___Sheet13[[#This Row],[Customer Rating]])</f>
        <v>0</v>
      </c>
      <c r="Q750">
        <f>IF(AND(EPe_BA_intern_assesment_Raw_data___Sheet13[[#This Row],[Customer Rating]]&gt;6,EPe_BA_intern_assesment_Raw_data___Sheet13[[#This Row],[Customer Rating]]&lt;9), EPe_BA_intern_assesment_Raw_data___Sheet13[[#This Row],[Customer Rating]], "")</f>
        <v>7</v>
      </c>
      <c r="R750" t="b">
        <f>IF(EPe_BA_intern_assesment_Raw_data___Sheet13[[#This Row],[Customer Rating]]&lt;7,EPe_BA_intern_assesment_Raw_data___Sheet13[[#This Row],[Customer Rating]])</f>
        <v>0</v>
      </c>
    </row>
    <row r="751" spans="1:18" x14ac:dyDescent="0.3">
      <c r="A751" t="s">
        <v>779</v>
      </c>
      <c r="B751" t="s">
        <v>34</v>
      </c>
      <c r="C751" t="s">
        <v>32</v>
      </c>
      <c r="D751" s="1">
        <v>45943</v>
      </c>
      <c r="E751" s="1">
        <v>45944</v>
      </c>
      <c r="F751" s="1">
        <v>45946</v>
      </c>
      <c r="G751" s="1">
        <v>45949</v>
      </c>
      <c r="H751" t="s">
        <v>18</v>
      </c>
      <c r="I751" t="s">
        <v>19</v>
      </c>
      <c r="J751" s="1">
        <v>45959</v>
      </c>
      <c r="K751">
        <v>1</v>
      </c>
      <c r="L751">
        <v>2</v>
      </c>
      <c r="M751">
        <v>3</v>
      </c>
      <c r="N751">
        <v>0</v>
      </c>
      <c r="O751">
        <v>6</v>
      </c>
      <c r="P751" t="b">
        <f>IF(EPe_BA_intern_assesment_Raw_data___Sheet13[[#This Row],[Customer Rating]]&gt;8,EPe_BA_intern_assesment_Raw_data___Sheet13[[#This Row],[Customer Rating]])</f>
        <v>0</v>
      </c>
      <c r="Q751" t="str">
        <f>IF(AND(EPe_BA_intern_assesment_Raw_data___Sheet13[[#This Row],[Customer Rating]]&gt;6,EPe_BA_intern_assesment_Raw_data___Sheet13[[#This Row],[Customer Rating]]&lt;9), EPe_BA_intern_assesment_Raw_data___Sheet13[[#This Row],[Customer Rating]], "")</f>
        <v/>
      </c>
      <c r="R751">
        <f>IF(EPe_BA_intern_assesment_Raw_data___Sheet13[[#This Row],[Customer Rating]]&lt;7,EPe_BA_intern_assesment_Raw_data___Sheet13[[#This Row],[Customer Rating]])</f>
        <v>0</v>
      </c>
    </row>
    <row r="752" spans="1:18" x14ac:dyDescent="0.3">
      <c r="A752" t="s">
        <v>780</v>
      </c>
      <c r="B752" t="s">
        <v>23</v>
      </c>
      <c r="C752" t="s">
        <v>32</v>
      </c>
      <c r="D752" s="1">
        <v>45961</v>
      </c>
      <c r="E752" s="1">
        <v>45964</v>
      </c>
      <c r="F752" s="1">
        <v>45968</v>
      </c>
      <c r="G752" s="1">
        <v>45975</v>
      </c>
      <c r="H752" t="s">
        <v>18</v>
      </c>
      <c r="I752" t="s">
        <v>19</v>
      </c>
      <c r="J752" s="1">
        <v>46005</v>
      </c>
      <c r="K752">
        <v>3</v>
      </c>
      <c r="L752">
        <v>4</v>
      </c>
      <c r="M752">
        <v>7</v>
      </c>
      <c r="N752">
        <v>7</v>
      </c>
      <c r="O752">
        <v>14</v>
      </c>
      <c r="P752" t="b">
        <f>IF(EPe_BA_intern_assesment_Raw_data___Sheet13[[#This Row],[Customer Rating]]&gt;8,EPe_BA_intern_assesment_Raw_data___Sheet13[[#This Row],[Customer Rating]])</f>
        <v>0</v>
      </c>
      <c r="Q752">
        <f>IF(AND(EPe_BA_intern_assesment_Raw_data___Sheet13[[#This Row],[Customer Rating]]&gt;6,EPe_BA_intern_assesment_Raw_data___Sheet13[[#This Row],[Customer Rating]]&lt;9), EPe_BA_intern_assesment_Raw_data___Sheet13[[#This Row],[Customer Rating]], "")</f>
        <v>7</v>
      </c>
      <c r="R752" t="b">
        <f>IF(EPe_BA_intern_assesment_Raw_data___Sheet13[[#This Row],[Customer Rating]]&lt;7,EPe_BA_intern_assesment_Raw_data___Sheet13[[#This Row],[Customer Rating]])</f>
        <v>0</v>
      </c>
    </row>
    <row r="753" spans="1:18" x14ac:dyDescent="0.3">
      <c r="A753" t="s">
        <v>781</v>
      </c>
      <c r="B753" t="s">
        <v>23</v>
      </c>
      <c r="C753" t="s">
        <v>32</v>
      </c>
      <c r="D753" s="1">
        <v>45958</v>
      </c>
      <c r="E753" s="1">
        <v>45962</v>
      </c>
      <c r="F753" s="1">
        <v>45965</v>
      </c>
      <c r="G753" s="1">
        <v>45970</v>
      </c>
      <c r="H753" t="s">
        <v>18</v>
      </c>
      <c r="I753" t="s">
        <v>19</v>
      </c>
      <c r="J753" s="1">
        <v>45987</v>
      </c>
      <c r="K753">
        <v>4</v>
      </c>
      <c r="L753">
        <v>3</v>
      </c>
      <c r="M753">
        <v>5</v>
      </c>
      <c r="N753">
        <v>4</v>
      </c>
      <c r="O753">
        <v>12</v>
      </c>
      <c r="P753" t="b">
        <f>IF(EPe_BA_intern_assesment_Raw_data___Sheet13[[#This Row],[Customer Rating]]&gt;8,EPe_BA_intern_assesment_Raw_data___Sheet13[[#This Row],[Customer Rating]])</f>
        <v>0</v>
      </c>
      <c r="Q753" t="str">
        <f>IF(AND(EPe_BA_intern_assesment_Raw_data___Sheet13[[#This Row],[Customer Rating]]&gt;6,EPe_BA_intern_assesment_Raw_data___Sheet13[[#This Row],[Customer Rating]]&lt;9), EPe_BA_intern_assesment_Raw_data___Sheet13[[#This Row],[Customer Rating]], "")</f>
        <v/>
      </c>
      <c r="R753">
        <f>IF(EPe_BA_intern_assesment_Raw_data___Sheet13[[#This Row],[Customer Rating]]&lt;7,EPe_BA_intern_assesment_Raw_data___Sheet13[[#This Row],[Customer Rating]])</f>
        <v>4</v>
      </c>
    </row>
    <row r="754" spans="1:18" x14ac:dyDescent="0.3">
      <c r="A754" t="s">
        <v>782</v>
      </c>
      <c r="B754" t="s">
        <v>23</v>
      </c>
      <c r="C754" t="s">
        <v>17</v>
      </c>
      <c r="D754" s="1">
        <v>45956</v>
      </c>
      <c r="E754" s="1">
        <v>45960</v>
      </c>
      <c r="F754" s="1">
        <v>45963</v>
      </c>
      <c r="G754" s="1">
        <v>45965</v>
      </c>
      <c r="H754" t="s">
        <v>18</v>
      </c>
      <c r="I754" t="s">
        <v>19</v>
      </c>
      <c r="J754" s="1">
        <v>45982</v>
      </c>
      <c r="K754">
        <v>4</v>
      </c>
      <c r="L754">
        <v>3</v>
      </c>
      <c r="M754">
        <v>2</v>
      </c>
      <c r="N754">
        <v>4</v>
      </c>
      <c r="O754">
        <v>9</v>
      </c>
      <c r="P754" t="b">
        <f>IF(EPe_BA_intern_assesment_Raw_data___Sheet13[[#This Row],[Customer Rating]]&gt;8,EPe_BA_intern_assesment_Raw_data___Sheet13[[#This Row],[Customer Rating]])</f>
        <v>0</v>
      </c>
      <c r="Q754" t="str">
        <f>IF(AND(EPe_BA_intern_assesment_Raw_data___Sheet13[[#This Row],[Customer Rating]]&gt;6,EPe_BA_intern_assesment_Raw_data___Sheet13[[#This Row],[Customer Rating]]&lt;9), EPe_BA_intern_assesment_Raw_data___Sheet13[[#This Row],[Customer Rating]], "")</f>
        <v/>
      </c>
      <c r="R754">
        <f>IF(EPe_BA_intern_assesment_Raw_data___Sheet13[[#This Row],[Customer Rating]]&lt;7,EPe_BA_intern_assesment_Raw_data___Sheet13[[#This Row],[Customer Rating]])</f>
        <v>4</v>
      </c>
    </row>
    <row r="755" spans="1:18" x14ac:dyDescent="0.3">
      <c r="A755" t="s">
        <v>783</v>
      </c>
      <c r="B755" t="s">
        <v>16</v>
      </c>
      <c r="C755" t="s">
        <v>32</v>
      </c>
      <c r="D755" s="1">
        <v>45948</v>
      </c>
      <c r="E755" s="1">
        <v>45953</v>
      </c>
      <c r="F755" s="1">
        <v>45954</v>
      </c>
      <c r="G755" s="1">
        <v>45960</v>
      </c>
      <c r="H755" t="s">
        <v>18</v>
      </c>
      <c r="I755" t="s">
        <v>19</v>
      </c>
      <c r="J755" s="1">
        <v>45981</v>
      </c>
      <c r="K755">
        <v>5</v>
      </c>
      <c r="L755">
        <v>1</v>
      </c>
      <c r="M755">
        <v>6</v>
      </c>
      <c r="N755">
        <v>9</v>
      </c>
      <c r="O755">
        <v>12</v>
      </c>
      <c r="P755">
        <f>IF(EPe_BA_intern_assesment_Raw_data___Sheet13[[#This Row],[Customer Rating]]&gt;8,EPe_BA_intern_assesment_Raw_data___Sheet13[[#This Row],[Customer Rating]])</f>
        <v>9</v>
      </c>
      <c r="Q755" t="str">
        <f>IF(AND(EPe_BA_intern_assesment_Raw_data___Sheet13[[#This Row],[Customer Rating]]&gt;6,EPe_BA_intern_assesment_Raw_data___Sheet13[[#This Row],[Customer Rating]]&lt;9), EPe_BA_intern_assesment_Raw_data___Sheet13[[#This Row],[Customer Rating]], "")</f>
        <v/>
      </c>
      <c r="R755" t="b">
        <f>IF(EPe_BA_intern_assesment_Raw_data___Sheet13[[#This Row],[Customer Rating]]&lt;7,EPe_BA_intern_assesment_Raw_data___Sheet13[[#This Row],[Customer Rating]])</f>
        <v>0</v>
      </c>
    </row>
    <row r="756" spans="1:18" x14ac:dyDescent="0.3">
      <c r="A756" t="s">
        <v>784</v>
      </c>
      <c r="B756" t="s">
        <v>34</v>
      </c>
      <c r="C756" t="s">
        <v>17</v>
      </c>
      <c r="D756" s="1">
        <v>45942</v>
      </c>
      <c r="E756" s="1">
        <v>45946</v>
      </c>
      <c r="F756" s="1">
        <v>45947</v>
      </c>
      <c r="G756" s="1">
        <v>45953</v>
      </c>
      <c r="H756" t="s">
        <v>18</v>
      </c>
      <c r="I756" t="s">
        <v>19</v>
      </c>
      <c r="J756" s="1">
        <v>45972</v>
      </c>
      <c r="K756">
        <v>4</v>
      </c>
      <c r="L756">
        <v>1</v>
      </c>
      <c r="M756">
        <v>6</v>
      </c>
      <c r="N756">
        <v>6</v>
      </c>
      <c r="O756">
        <v>11</v>
      </c>
      <c r="P756" t="b">
        <f>IF(EPe_BA_intern_assesment_Raw_data___Sheet13[[#This Row],[Customer Rating]]&gt;8,EPe_BA_intern_assesment_Raw_data___Sheet13[[#This Row],[Customer Rating]])</f>
        <v>0</v>
      </c>
      <c r="Q756" t="str">
        <f>IF(AND(EPe_BA_intern_assesment_Raw_data___Sheet13[[#This Row],[Customer Rating]]&gt;6,EPe_BA_intern_assesment_Raw_data___Sheet13[[#This Row],[Customer Rating]]&lt;9), EPe_BA_intern_assesment_Raw_data___Sheet13[[#This Row],[Customer Rating]], "")</f>
        <v/>
      </c>
      <c r="R756">
        <f>IF(EPe_BA_intern_assesment_Raw_data___Sheet13[[#This Row],[Customer Rating]]&lt;7,EPe_BA_intern_assesment_Raw_data___Sheet13[[#This Row],[Customer Rating]])</f>
        <v>6</v>
      </c>
    </row>
    <row r="757" spans="1:18" x14ac:dyDescent="0.3">
      <c r="A757" t="s">
        <v>785</v>
      </c>
      <c r="B757" t="s">
        <v>21</v>
      </c>
      <c r="C757" t="s">
        <v>17</v>
      </c>
      <c r="D757" s="1">
        <v>45933</v>
      </c>
      <c r="E757" s="1">
        <v>45937</v>
      </c>
      <c r="F757" s="1">
        <v>45938</v>
      </c>
      <c r="G757" s="1">
        <v>45940</v>
      </c>
      <c r="H757" t="s">
        <v>18</v>
      </c>
      <c r="I757" t="s">
        <v>19</v>
      </c>
      <c r="J757" s="1">
        <v>45954</v>
      </c>
      <c r="K757">
        <v>4</v>
      </c>
      <c r="L757">
        <v>1</v>
      </c>
      <c r="M757">
        <v>2</v>
      </c>
      <c r="N757">
        <v>5</v>
      </c>
      <c r="O757">
        <v>7</v>
      </c>
      <c r="P757" t="b">
        <f>IF(EPe_BA_intern_assesment_Raw_data___Sheet13[[#This Row],[Customer Rating]]&gt;8,EPe_BA_intern_assesment_Raw_data___Sheet13[[#This Row],[Customer Rating]])</f>
        <v>0</v>
      </c>
      <c r="Q757" t="str">
        <f>IF(AND(EPe_BA_intern_assesment_Raw_data___Sheet13[[#This Row],[Customer Rating]]&gt;6,EPe_BA_intern_assesment_Raw_data___Sheet13[[#This Row],[Customer Rating]]&lt;9), EPe_BA_intern_assesment_Raw_data___Sheet13[[#This Row],[Customer Rating]], "")</f>
        <v/>
      </c>
      <c r="R757">
        <f>IF(EPe_BA_intern_assesment_Raw_data___Sheet13[[#This Row],[Customer Rating]]&lt;7,EPe_BA_intern_assesment_Raw_data___Sheet13[[#This Row],[Customer Rating]])</f>
        <v>5</v>
      </c>
    </row>
    <row r="758" spans="1:18" x14ac:dyDescent="0.3">
      <c r="A758" t="s">
        <v>786</v>
      </c>
      <c r="B758" t="s">
        <v>16</v>
      </c>
      <c r="C758" t="s">
        <v>32</v>
      </c>
      <c r="D758" s="1">
        <v>45956</v>
      </c>
      <c r="E758" s="1">
        <v>45961</v>
      </c>
      <c r="F758" s="1">
        <v>45964</v>
      </c>
      <c r="G758" s="1">
        <v>45969</v>
      </c>
      <c r="H758" t="s">
        <v>18</v>
      </c>
      <c r="I758" t="s">
        <v>19</v>
      </c>
      <c r="J758" s="1">
        <v>45982</v>
      </c>
      <c r="K758">
        <v>5</v>
      </c>
      <c r="L758">
        <v>3</v>
      </c>
      <c r="M758">
        <v>5</v>
      </c>
      <c r="N758">
        <v>7</v>
      </c>
      <c r="O758">
        <v>13</v>
      </c>
      <c r="P758" t="b">
        <f>IF(EPe_BA_intern_assesment_Raw_data___Sheet13[[#This Row],[Customer Rating]]&gt;8,EPe_BA_intern_assesment_Raw_data___Sheet13[[#This Row],[Customer Rating]])</f>
        <v>0</v>
      </c>
      <c r="Q758">
        <f>IF(AND(EPe_BA_intern_assesment_Raw_data___Sheet13[[#This Row],[Customer Rating]]&gt;6,EPe_BA_intern_assesment_Raw_data___Sheet13[[#This Row],[Customer Rating]]&lt;9), EPe_BA_intern_assesment_Raw_data___Sheet13[[#This Row],[Customer Rating]], "")</f>
        <v>7</v>
      </c>
      <c r="R758" t="b">
        <f>IF(EPe_BA_intern_assesment_Raw_data___Sheet13[[#This Row],[Customer Rating]]&lt;7,EPe_BA_intern_assesment_Raw_data___Sheet13[[#This Row],[Customer Rating]])</f>
        <v>0</v>
      </c>
    </row>
    <row r="759" spans="1:18" x14ac:dyDescent="0.3">
      <c r="A759" t="s">
        <v>787</v>
      </c>
      <c r="B759" t="s">
        <v>23</v>
      </c>
      <c r="C759" t="s">
        <v>32</v>
      </c>
      <c r="D759" s="1">
        <v>45943</v>
      </c>
      <c r="E759" s="1">
        <v>45944</v>
      </c>
      <c r="F759" s="1">
        <v>45948</v>
      </c>
      <c r="G759" s="1">
        <v>45955</v>
      </c>
      <c r="H759" t="s">
        <v>18</v>
      </c>
      <c r="I759" t="s">
        <v>19</v>
      </c>
      <c r="J759" s="1">
        <v>45977</v>
      </c>
      <c r="K759">
        <v>1</v>
      </c>
      <c r="L759">
        <v>4</v>
      </c>
      <c r="M759">
        <v>7</v>
      </c>
      <c r="N759">
        <v>6</v>
      </c>
      <c r="O759">
        <v>12</v>
      </c>
      <c r="P759" t="b">
        <f>IF(EPe_BA_intern_assesment_Raw_data___Sheet13[[#This Row],[Customer Rating]]&gt;8,EPe_BA_intern_assesment_Raw_data___Sheet13[[#This Row],[Customer Rating]])</f>
        <v>0</v>
      </c>
      <c r="Q759" t="str">
        <f>IF(AND(EPe_BA_intern_assesment_Raw_data___Sheet13[[#This Row],[Customer Rating]]&gt;6,EPe_BA_intern_assesment_Raw_data___Sheet13[[#This Row],[Customer Rating]]&lt;9), EPe_BA_intern_assesment_Raw_data___Sheet13[[#This Row],[Customer Rating]], "")</f>
        <v/>
      </c>
      <c r="R759">
        <f>IF(EPe_BA_intern_assesment_Raw_data___Sheet13[[#This Row],[Customer Rating]]&lt;7,EPe_BA_intern_assesment_Raw_data___Sheet13[[#This Row],[Customer Rating]])</f>
        <v>6</v>
      </c>
    </row>
    <row r="760" spans="1:18" x14ac:dyDescent="0.3">
      <c r="A760" t="s">
        <v>788</v>
      </c>
      <c r="B760" t="s">
        <v>16</v>
      </c>
      <c r="C760" t="s">
        <v>32</v>
      </c>
      <c r="D760" s="1">
        <v>45931</v>
      </c>
      <c r="E760" s="1">
        <v>45933</v>
      </c>
      <c r="F760" s="1">
        <v>45936</v>
      </c>
      <c r="G760" s="1">
        <v>45939</v>
      </c>
      <c r="H760" t="s">
        <v>18</v>
      </c>
      <c r="I760" t="s">
        <v>19</v>
      </c>
      <c r="J760" s="1">
        <v>45965</v>
      </c>
      <c r="K760">
        <v>2</v>
      </c>
      <c r="L760">
        <v>3</v>
      </c>
      <c r="M760">
        <v>3</v>
      </c>
      <c r="N760">
        <v>6</v>
      </c>
      <c r="O760">
        <v>8</v>
      </c>
      <c r="P760" t="b">
        <f>IF(EPe_BA_intern_assesment_Raw_data___Sheet13[[#This Row],[Customer Rating]]&gt;8,EPe_BA_intern_assesment_Raw_data___Sheet13[[#This Row],[Customer Rating]])</f>
        <v>0</v>
      </c>
      <c r="Q760" t="str">
        <f>IF(AND(EPe_BA_intern_assesment_Raw_data___Sheet13[[#This Row],[Customer Rating]]&gt;6,EPe_BA_intern_assesment_Raw_data___Sheet13[[#This Row],[Customer Rating]]&lt;9), EPe_BA_intern_assesment_Raw_data___Sheet13[[#This Row],[Customer Rating]], "")</f>
        <v/>
      </c>
      <c r="R760">
        <f>IF(EPe_BA_intern_assesment_Raw_data___Sheet13[[#This Row],[Customer Rating]]&lt;7,EPe_BA_intern_assesment_Raw_data___Sheet13[[#This Row],[Customer Rating]])</f>
        <v>6</v>
      </c>
    </row>
    <row r="761" spans="1:18" x14ac:dyDescent="0.3">
      <c r="A761" t="s">
        <v>789</v>
      </c>
      <c r="B761" t="s">
        <v>23</v>
      </c>
      <c r="C761" t="s">
        <v>24</v>
      </c>
      <c r="D761" s="1">
        <v>45939</v>
      </c>
      <c r="E761" s="1"/>
      <c r="F761" s="1"/>
      <c r="G761" s="1"/>
      <c r="H761" t="s">
        <v>25</v>
      </c>
      <c r="I761" t="s">
        <v>65</v>
      </c>
      <c r="J761" s="1"/>
      <c r="P761" t="b">
        <f>IF(EPe_BA_intern_assesment_Raw_data___Sheet13[[#This Row],[Customer Rating]]&gt;8,EPe_BA_intern_assesment_Raw_data___Sheet13[[#This Row],[Customer Rating]])</f>
        <v>0</v>
      </c>
      <c r="Q761" t="str">
        <f>IF(AND(EPe_BA_intern_assesment_Raw_data___Sheet13[[#This Row],[Customer Rating]]&gt;6,EPe_BA_intern_assesment_Raw_data___Sheet13[[#This Row],[Customer Rating]]&lt;9), EPe_BA_intern_assesment_Raw_data___Sheet13[[#This Row],[Customer Rating]], "")</f>
        <v/>
      </c>
      <c r="R761">
        <f>IF(EPe_BA_intern_assesment_Raw_data___Sheet13[[#This Row],[Customer Rating]]&lt;7,EPe_BA_intern_assesment_Raw_data___Sheet13[[#This Row],[Customer Rating]])</f>
        <v>0</v>
      </c>
    </row>
    <row r="762" spans="1:18" x14ac:dyDescent="0.3">
      <c r="A762" t="s">
        <v>790</v>
      </c>
      <c r="B762" t="s">
        <v>23</v>
      </c>
      <c r="C762" t="s">
        <v>32</v>
      </c>
      <c r="D762" s="1">
        <v>45948</v>
      </c>
      <c r="E762" s="1">
        <v>45951</v>
      </c>
      <c r="F762" s="1">
        <v>45954</v>
      </c>
      <c r="G762" s="1">
        <v>45957</v>
      </c>
      <c r="H762" t="s">
        <v>18</v>
      </c>
      <c r="I762" t="s">
        <v>19</v>
      </c>
      <c r="J762" s="1">
        <v>45985</v>
      </c>
      <c r="K762">
        <v>3</v>
      </c>
      <c r="L762">
        <v>3</v>
      </c>
      <c r="M762">
        <v>3</v>
      </c>
      <c r="N762">
        <v>2</v>
      </c>
      <c r="O762">
        <v>9</v>
      </c>
      <c r="P762" t="b">
        <f>IF(EPe_BA_intern_assesment_Raw_data___Sheet13[[#This Row],[Customer Rating]]&gt;8,EPe_BA_intern_assesment_Raw_data___Sheet13[[#This Row],[Customer Rating]])</f>
        <v>0</v>
      </c>
      <c r="Q762" t="str">
        <f>IF(AND(EPe_BA_intern_assesment_Raw_data___Sheet13[[#This Row],[Customer Rating]]&gt;6,EPe_BA_intern_assesment_Raw_data___Sheet13[[#This Row],[Customer Rating]]&lt;9), EPe_BA_intern_assesment_Raw_data___Sheet13[[#This Row],[Customer Rating]], "")</f>
        <v/>
      </c>
      <c r="R762">
        <f>IF(EPe_BA_intern_assesment_Raw_data___Sheet13[[#This Row],[Customer Rating]]&lt;7,EPe_BA_intern_assesment_Raw_data___Sheet13[[#This Row],[Customer Rating]])</f>
        <v>2</v>
      </c>
    </row>
    <row r="763" spans="1:18" x14ac:dyDescent="0.3">
      <c r="A763" t="s">
        <v>791</v>
      </c>
      <c r="B763" t="s">
        <v>16</v>
      </c>
      <c r="C763" t="s">
        <v>17</v>
      </c>
      <c r="D763" s="1">
        <v>45934</v>
      </c>
      <c r="E763" s="1">
        <v>45935</v>
      </c>
      <c r="F763" s="1">
        <v>45936</v>
      </c>
      <c r="G763" s="1">
        <v>45940</v>
      </c>
      <c r="H763" t="s">
        <v>18</v>
      </c>
      <c r="I763" t="s">
        <v>19</v>
      </c>
      <c r="J763" s="1">
        <v>45959</v>
      </c>
      <c r="K763">
        <v>1</v>
      </c>
      <c r="L763">
        <v>1</v>
      </c>
      <c r="M763">
        <v>4</v>
      </c>
      <c r="N763">
        <v>8</v>
      </c>
      <c r="O763">
        <v>6</v>
      </c>
      <c r="P763" t="b">
        <f>IF(EPe_BA_intern_assesment_Raw_data___Sheet13[[#This Row],[Customer Rating]]&gt;8,EPe_BA_intern_assesment_Raw_data___Sheet13[[#This Row],[Customer Rating]])</f>
        <v>0</v>
      </c>
      <c r="Q763">
        <f>IF(AND(EPe_BA_intern_assesment_Raw_data___Sheet13[[#This Row],[Customer Rating]]&gt;6,EPe_BA_intern_assesment_Raw_data___Sheet13[[#This Row],[Customer Rating]]&lt;9), EPe_BA_intern_assesment_Raw_data___Sheet13[[#This Row],[Customer Rating]], "")</f>
        <v>8</v>
      </c>
      <c r="R763" t="b">
        <f>IF(EPe_BA_intern_assesment_Raw_data___Sheet13[[#This Row],[Customer Rating]]&lt;7,EPe_BA_intern_assesment_Raw_data___Sheet13[[#This Row],[Customer Rating]])</f>
        <v>0</v>
      </c>
    </row>
    <row r="764" spans="1:18" x14ac:dyDescent="0.3">
      <c r="A764" t="s">
        <v>792</v>
      </c>
      <c r="B764" t="s">
        <v>34</v>
      </c>
      <c r="C764" t="s">
        <v>24</v>
      </c>
      <c r="D764" s="1">
        <v>45945</v>
      </c>
      <c r="E764" s="1"/>
      <c r="F764" s="1"/>
      <c r="G764" s="1"/>
      <c r="H764" t="s">
        <v>25</v>
      </c>
      <c r="I764" t="s">
        <v>35</v>
      </c>
      <c r="J764" s="1"/>
      <c r="P764" t="b">
        <f>IF(EPe_BA_intern_assesment_Raw_data___Sheet13[[#This Row],[Customer Rating]]&gt;8,EPe_BA_intern_assesment_Raw_data___Sheet13[[#This Row],[Customer Rating]])</f>
        <v>0</v>
      </c>
      <c r="Q764" t="str">
        <f>IF(AND(EPe_BA_intern_assesment_Raw_data___Sheet13[[#This Row],[Customer Rating]]&gt;6,EPe_BA_intern_assesment_Raw_data___Sheet13[[#This Row],[Customer Rating]]&lt;9), EPe_BA_intern_assesment_Raw_data___Sheet13[[#This Row],[Customer Rating]], "")</f>
        <v/>
      </c>
      <c r="R764">
        <f>IF(EPe_BA_intern_assesment_Raw_data___Sheet13[[#This Row],[Customer Rating]]&lt;7,EPe_BA_intern_assesment_Raw_data___Sheet13[[#This Row],[Customer Rating]])</f>
        <v>0</v>
      </c>
    </row>
    <row r="765" spans="1:18" x14ac:dyDescent="0.3">
      <c r="A765" t="s">
        <v>793</v>
      </c>
      <c r="B765" t="s">
        <v>23</v>
      </c>
      <c r="C765" t="s">
        <v>17</v>
      </c>
      <c r="D765" s="1">
        <v>45942</v>
      </c>
      <c r="E765" s="1">
        <v>45946</v>
      </c>
      <c r="F765" s="1">
        <v>45948</v>
      </c>
      <c r="G765" s="1">
        <v>45952</v>
      </c>
      <c r="H765" t="s">
        <v>25</v>
      </c>
      <c r="I765" t="s">
        <v>65</v>
      </c>
      <c r="J765" s="1"/>
      <c r="K765">
        <v>4</v>
      </c>
      <c r="L765">
        <v>2</v>
      </c>
      <c r="M765">
        <v>4</v>
      </c>
      <c r="O765">
        <v>10</v>
      </c>
      <c r="P765" t="b">
        <f>IF(EPe_BA_intern_assesment_Raw_data___Sheet13[[#This Row],[Customer Rating]]&gt;8,EPe_BA_intern_assesment_Raw_data___Sheet13[[#This Row],[Customer Rating]])</f>
        <v>0</v>
      </c>
      <c r="Q765" t="str">
        <f>IF(AND(EPe_BA_intern_assesment_Raw_data___Sheet13[[#This Row],[Customer Rating]]&gt;6,EPe_BA_intern_assesment_Raw_data___Sheet13[[#This Row],[Customer Rating]]&lt;9), EPe_BA_intern_assesment_Raw_data___Sheet13[[#This Row],[Customer Rating]], "")</f>
        <v/>
      </c>
      <c r="R765">
        <f>IF(EPe_BA_intern_assesment_Raw_data___Sheet13[[#This Row],[Customer Rating]]&lt;7,EPe_BA_intern_assesment_Raw_data___Sheet13[[#This Row],[Customer Rating]])</f>
        <v>0</v>
      </c>
    </row>
    <row r="766" spans="1:18" x14ac:dyDescent="0.3">
      <c r="A766" t="s">
        <v>794</v>
      </c>
      <c r="B766" t="s">
        <v>34</v>
      </c>
      <c r="C766" t="s">
        <v>24</v>
      </c>
      <c r="D766" s="1">
        <v>45952</v>
      </c>
      <c r="E766" s="1"/>
      <c r="F766" s="1"/>
      <c r="G766" s="1"/>
      <c r="H766" t="s">
        <v>25</v>
      </c>
      <c r="I766" t="s">
        <v>28</v>
      </c>
      <c r="J766" s="1"/>
      <c r="P766" t="b">
        <f>IF(EPe_BA_intern_assesment_Raw_data___Sheet13[[#This Row],[Customer Rating]]&gt;8,EPe_BA_intern_assesment_Raw_data___Sheet13[[#This Row],[Customer Rating]])</f>
        <v>0</v>
      </c>
      <c r="Q766" t="str">
        <f>IF(AND(EPe_BA_intern_assesment_Raw_data___Sheet13[[#This Row],[Customer Rating]]&gt;6,EPe_BA_intern_assesment_Raw_data___Sheet13[[#This Row],[Customer Rating]]&lt;9), EPe_BA_intern_assesment_Raw_data___Sheet13[[#This Row],[Customer Rating]], "")</f>
        <v/>
      </c>
      <c r="R766">
        <f>IF(EPe_BA_intern_assesment_Raw_data___Sheet13[[#This Row],[Customer Rating]]&lt;7,EPe_BA_intern_assesment_Raw_data___Sheet13[[#This Row],[Customer Rating]])</f>
        <v>0</v>
      </c>
    </row>
    <row r="767" spans="1:18" x14ac:dyDescent="0.3">
      <c r="A767" t="s">
        <v>795</v>
      </c>
      <c r="B767" t="s">
        <v>21</v>
      </c>
      <c r="C767" t="s">
        <v>17</v>
      </c>
      <c r="D767" s="1">
        <v>45954</v>
      </c>
      <c r="E767" s="1">
        <v>45958</v>
      </c>
      <c r="F767" s="1">
        <v>45959</v>
      </c>
      <c r="G767" s="1">
        <v>45963</v>
      </c>
      <c r="H767" t="s">
        <v>18</v>
      </c>
      <c r="I767" t="s">
        <v>19</v>
      </c>
      <c r="J767" s="1">
        <v>45978</v>
      </c>
      <c r="K767">
        <v>4</v>
      </c>
      <c r="L767">
        <v>1</v>
      </c>
      <c r="M767">
        <v>4</v>
      </c>
      <c r="N767">
        <v>1</v>
      </c>
      <c r="O767">
        <v>9</v>
      </c>
      <c r="P767" t="b">
        <f>IF(EPe_BA_intern_assesment_Raw_data___Sheet13[[#This Row],[Customer Rating]]&gt;8,EPe_BA_intern_assesment_Raw_data___Sheet13[[#This Row],[Customer Rating]])</f>
        <v>0</v>
      </c>
      <c r="Q767" t="str">
        <f>IF(AND(EPe_BA_intern_assesment_Raw_data___Sheet13[[#This Row],[Customer Rating]]&gt;6,EPe_BA_intern_assesment_Raw_data___Sheet13[[#This Row],[Customer Rating]]&lt;9), EPe_BA_intern_assesment_Raw_data___Sheet13[[#This Row],[Customer Rating]], "")</f>
        <v/>
      </c>
      <c r="R767">
        <f>IF(EPe_BA_intern_assesment_Raw_data___Sheet13[[#This Row],[Customer Rating]]&lt;7,EPe_BA_intern_assesment_Raw_data___Sheet13[[#This Row],[Customer Rating]])</f>
        <v>1</v>
      </c>
    </row>
    <row r="768" spans="1:18" x14ac:dyDescent="0.3">
      <c r="A768" t="s">
        <v>796</v>
      </c>
      <c r="B768" t="s">
        <v>23</v>
      </c>
      <c r="C768" t="s">
        <v>24</v>
      </c>
      <c r="D768" s="1">
        <v>45952</v>
      </c>
      <c r="E768" s="1"/>
      <c r="F768" s="1"/>
      <c r="G768" s="1"/>
      <c r="H768" t="s">
        <v>25</v>
      </c>
      <c r="I768" t="s">
        <v>103</v>
      </c>
      <c r="J768" s="1"/>
      <c r="P768" t="b">
        <f>IF(EPe_BA_intern_assesment_Raw_data___Sheet13[[#This Row],[Customer Rating]]&gt;8,EPe_BA_intern_assesment_Raw_data___Sheet13[[#This Row],[Customer Rating]])</f>
        <v>0</v>
      </c>
      <c r="Q768" t="str">
        <f>IF(AND(EPe_BA_intern_assesment_Raw_data___Sheet13[[#This Row],[Customer Rating]]&gt;6,EPe_BA_intern_assesment_Raw_data___Sheet13[[#This Row],[Customer Rating]]&lt;9), EPe_BA_intern_assesment_Raw_data___Sheet13[[#This Row],[Customer Rating]], "")</f>
        <v/>
      </c>
      <c r="R768">
        <f>IF(EPe_BA_intern_assesment_Raw_data___Sheet13[[#This Row],[Customer Rating]]&lt;7,EPe_BA_intern_assesment_Raw_data___Sheet13[[#This Row],[Customer Rating]])</f>
        <v>0</v>
      </c>
    </row>
    <row r="769" spans="1:18" x14ac:dyDescent="0.3">
      <c r="A769" t="s">
        <v>797</v>
      </c>
      <c r="B769" t="s">
        <v>34</v>
      </c>
      <c r="C769" t="s">
        <v>32</v>
      </c>
      <c r="D769" s="1">
        <v>45939</v>
      </c>
      <c r="E769" s="1">
        <v>45944</v>
      </c>
      <c r="F769" s="1">
        <v>45946</v>
      </c>
      <c r="G769" s="1">
        <v>45951</v>
      </c>
      <c r="H769" t="s">
        <v>18</v>
      </c>
      <c r="I769" t="s">
        <v>19</v>
      </c>
      <c r="J769" s="1">
        <v>45963</v>
      </c>
      <c r="K769">
        <v>5</v>
      </c>
      <c r="L769">
        <v>2</v>
      </c>
      <c r="M769">
        <v>5</v>
      </c>
      <c r="N769">
        <v>0</v>
      </c>
      <c r="O769">
        <v>12</v>
      </c>
      <c r="P769" t="b">
        <f>IF(EPe_BA_intern_assesment_Raw_data___Sheet13[[#This Row],[Customer Rating]]&gt;8,EPe_BA_intern_assesment_Raw_data___Sheet13[[#This Row],[Customer Rating]])</f>
        <v>0</v>
      </c>
      <c r="Q769" t="str">
        <f>IF(AND(EPe_BA_intern_assesment_Raw_data___Sheet13[[#This Row],[Customer Rating]]&gt;6,EPe_BA_intern_assesment_Raw_data___Sheet13[[#This Row],[Customer Rating]]&lt;9), EPe_BA_intern_assesment_Raw_data___Sheet13[[#This Row],[Customer Rating]], "")</f>
        <v/>
      </c>
      <c r="R769">
        <f>IF(EPe_BA_intern_assesment_Raw_data___Sheet13[[#This Row],[Customer Rating]]&lt;7,EPe_BA_intern_assesment_Raw_data___Sheet13[[#This Row],[Customer Rating]])</f>
        <v>0</v>
      </c>
    </row>
    <row r="770" spans="1:18" x14ac:dyDescent="0.3">
      <c r="A770" t="s">
        <v>798</v>
      </c>
      <c r="B770" t="s">
        <v>34</v>
      </c>
      <c r="C770" t="s">
        <v>32</v>
      </c>
      <c r="D770" s="1">
        <v>45949</v>
      </c>
      <c r="E770" s="1">
        <v>45952</v>
      </c>
      <c r="F770" s="1">
        <v>45956</v>
      </c>
      <c r="G770" s="1">
        <v>45963</v>
      </c>
      <c r="H770" t="s">
        <v>18</v>
      </c>
      <c r="I770" t="s">
        <v>19</v>
      </c>
      <c r="J770" s="1">
        <v>45974</v>
      </c>
      <c r="K770">
        <v>3</v>
      </c>
      <c r="L770">
        <v>4</v>
      </c>
      <c r="M770">
        <v>7</v>
      </c>
      <c r="N770">
        <v>4</v>
      </c>
      <c r="O770">
        <v>14</v>
      </c>
      <c r="P770" t="b">
        <f>IF(EPe_BA_intern_assesment_Raw_data___Sheet13[[#This Row],[Customer Rating]]&gt;8,EPe_BA_intern_assesment_Raw_data___Sheet13[[#This Row],[Customer Rating]])</f>
        <v>0</v>
      </c>
      <c r="Q770" t="str">
        <f>IF(AND(EPe_BA_intern_assesment_Raw_data___Sheet13[[#This Row],[Customer Rating]]&gt;6,EPe_BA_intern_assesment_Raw_data___Sheet13[[#This Row],[Customer Rating]]&lt;9), EPe_BA_intern_assesment_Raw_data___Sheet13[[#This Row],[Customer Rating]], "")</f>
        <v/>
      </c>
      <c r="R770">
        <f>IF(EPe_BA_intern_assesment_Raw_data___Sheet13[[#This Row],[Customer Rating]]&lt;7,EPe_BA_intern_assesment_Raw_data___Sheet13[[#This Row],[Customer Rating]])</f>
        <v>4</v>
      </c>
    </row>
    <row r="771" spans="1:18" x14ac:dyDescent="0.3">
      <c r="A771" t="s">
        <v>799</v>
      </c>
      <c r="B771" t="s">
        <v>21</v>
      </c>
      <c r="C771" t="s">
        <v>17</v>
      </c>
      <c r="D771" s="1">
        <v>45943</v>
      </c>
      <c r="E771" s="1">
        <v>45945</v>
      </c>
      <c r="F771" s="1">
        <v>45949</v>
      </c>
      <c r="G771" s="1">
        <v>45956</v>
      </c>
      <c r="H771" t="s">
        <v>18</v>
      </c>
      <c r="I771" t="s">
        <v>19</v>
      </c>
      <c r="J771" s="1">
        <v>45975</v>
      </c>
      <c r="K771">
        <v>2</v>
      </c>
      <c r="L771">
        <v>4</v>
      </c>
      <c r="M771">
        <v>7</v>
      </c>
      <c r="N771">
        <v>0</v>
      </c>
      <c r="O771">
        <v>13</v>
      </c>
      <c r="P771" t="b">
        <f>IF(EPe_BA_intern_assesment_Raw_data___Sheet13[[#This Row],[Customer Rating]]&gt;8,EPe_BA_intern_assesment_Raw_data___Sheet13[[#This Row],[Customer Rating]])</f>
        <v>0</v>
      </c>
      <c r="Q771" t="str">
        <f>IF(AND(EPe_BA_intern_assesment_Raw_data___Sheet13[[#This Row],[Customer Rating]]&gt;6,EPe_BA_intern_assesment_Raw_data___Sheet13[[#This Row],[Customer Rating]]&lt;9), EPe_BA_intern_assesment_Raw_data___Sheet13[[#This Row],[Customer Rating]], "")</f>
        <v/>
      </c>
      <c r="R771">
        <f>IF(EPe_BA_intern_assesment_Raw_data___Sheet13[[#This Row],[Customer Rating]]&lt;7,EPe_BA_intern_assesment_Raw_data___Sheet13[[#This Row],[Customer Rating]])</f>
        <v>0</v>
      </c>
    </row>
    <row r="772" spans="1:18" x14ac:dyDescent="0.3">
      <c r="A772" t="s">
        <v>800</v>
      </c>
      <c r="B772" t="s">
        <v>34</v>
      </c>
      <c r="C772" t="s">
        <v>24</v>
      </c>
      <c r="D772" s="1">
        <v>45957</v>
      </c>
      <c r="E772" s="1"/>
      <c r="F772" s="1"/>
      <c r="G772" s="1"/>
      <c r="H772" t="s">
        <v>25</v>
      </c>
      <c r="I772" t="s">
        <v>28</v>
      </c>
      <c r="J772" s="1"/>
      <c r="P772" t="b">
        <f>IF(EPe_BA_intern_assesment_Raw_data___Sheet13[[#This Row],[Customer Rating]]&gt;8,EPe_BA_intern_assesment_Raw_data___Sheet13[[#This Row],[Customer Rating]])</f>
        <v>0</v>
      </c>
      <c r="Q772" t="str">
        <f>IF(AND(EPe_BA_intern_assesment_Raw_data___Sheet13[[#This Row],[Customer Rating]]&gt;6,EPe_BA_intern_assesment_Raw_data___Sheet13[[#This Row],[Customer Rating]]&lt;9), EPe_BA_intern_assesment_Raw_data___Sheet13[[#This Row],[Customer Rating]], "")</f>
        <v/>
      </c>
      <c r="R772">
        <f>IF(EPe_BA_intern_assesment_Raw_data___Sheet13[[#This Row],[Customer Rating]]&lt;7,EPe_BA_intern_assesment_Raw_data___Sheet13[[#This Row],[Customer Rating]])</f>
        <v>0</v>
      </c>
    </row>
    <row r="773" spans="1:18" x14ac:dyDescent="0.3">
      <c r="A773" t="s">
        <v>801</v>
      </c>
      <c r="B773" t="s">
        <v>34</v>
      </c>
      <c r="C773" t="s">
        <v>24</v>
      </c>
      <c r="D773" s="1">
        <v>45951</v>
      </c>
      <c r="E773" s="1"/>
      <c r="F773" s="1"/>
      <c r="G773" s="1"/>
      <c r="H773" t="s">
        <v>25</v>
      </c>
      <c r="I773" t="s">
        <v>26</v>
      </c>
      <c r="J773" s="1"/>
      <c r="P773" t="b">
        <f>IF(EPe_BA_intern_assesment_Raw_data___Sheet13[[#This Row],[Customer Rating]]&gt;8,EPe_BA_intern_assesment_Raw_data___Sheet13[[#This Row],[Customer Rating]])</f>
        <v>0</v>
      </c>
      <c r="Q773" t="str">
        <f>IF(AND(EPe_BA_intern_assesment_Raw_data___Sheet13[[#This Row],[Customer Rating]]&gt;6,EPe_BA_intern_assesment_Raw_data___Sheet13[[#This Row],[Customer Rating]]&lt;9), EPe_BA_intern_assesment_Raw_data___Sheet13[[#This Row],[Customer Rating]], "")</f>
        <v/>
      </c>
      <c r="R773">
        <f>IF(EPe_BA_intern_assesment_Raw_data___Sheet13[[#This Row],[Customer Rating]]&lt;7,EPe_BA_intern_assesment_Raw_data___Sheet13[[#This Row],[Customer Rating]])</f>
        <v>0</v>
      </c>
    </row>
    <row r="774" spans="1:18" x14ac:dyDescent="0.3">
      <c r="A774" t="s">
        <v>802</v>
      </c>
      <c r="B774" t="s">
        <v>21</v>
      </c>
      <c r="C774" t="s">
        <v>32</v>
      </c>
      <c r="D774" s="1">
        <v>45961</v>
      </c>
      <c r="E774" s="1">
        <v>45966</v>
      </c>
      <c r="F774" s="1">
        <v>45971</v>
      </c>
      <c r="G774" s="1">
        <v>45975</v>
      </c>
      <c r="H774" t="s">
        <v>18</v>
      </c>
      <c r="I774" t="s">
        <v>19</v>
      </c>
      <c r="J774" s="1">
        <v>45994</v>
      </c>
      <c r="K774">
        <v>5</v>
      </c>
      <c r="L774">
        <v>5</v>
      </c>
      <c r="M774">
        <v>4</v>
      </c>
      <c r="N774">
        <v>4</v>
      </c>
      <c r="O774">
        <v>14</v>
      </c>
      <c r="P774" t="b">
        <f>IF(EPe_BA_intern_assesment_Raw_data___Sheet13[[#This Row],[Customer Rating]]&gt;8,EPe_BA_intern_assesment_Raw_data___Sheet13[[#This Row],[Customer Rating]])</f>
        <v>0</v>
      </c>
      <c r="Q774" t="str">
        <f>IF(AND(EPe_BA_intern_assesment_Raw_data___Sheet13[[#This Row],[Customer Rating]]&gt;6,EPe_BA_intern_assesment_Raw_data___Sheet13[[#This Row],[Customer Rating]]&lt;9), EPe_BA_intern_assesment_Raw_data___Sheet13[[#This Row],[Customer Rating]], "")</f>
        <v/>
      </c>
      <c r="R774">
        <f>IF(EPe_BA_intern_assesment_Raw_data___Sheet13[[#This Row],[Customer Rating]]&lt;7,EPe_BA_intern_assesment_Raw_data___Sheet13[[#This Row],[Customer Rating]])</f>
        <v>4</v>
      </c>
    </row>
    <row r="775" spans="1:18" x14ac:dyDescent="0.3">
      <c r="A775" t="s">
        <v>803</v>
      </c>
      <c r="B775" t="s">
        <v>23</v>
      </c>
      <c r="C775" t="s">
        <v>32</v>
      </c>
      <c r="D775" s="1">
        <v>45942</v>
      </c>
      <c r="E775" s="1">
        <v>45947</v>
      </c>
      <c r="F775" s="1">
        <v>45952</v>
      </c>
      <c r="G775" s="1">
        <v>45956</v>
      </c>
      <c r="H775" t="s">
        <v>18</v>
      </c>
      <c r="I775" t="s">
        <v>19</v>
      </c>
      <c r="J775" s="1">
        <v>45980</v>
      </c>
      <c r="K775">
        <v>5</v>
      </c>
      <c r="L775">
        <v>5</v>
      </c>
      <c r="M775">
        <v>4</v>
      </c>
      <c r="N775">
        <v>1</v>
      </c>
      <c r="O775">
        <v>14</v>
      </c>
      <c r="P775" t="b">
        <f>IF(EPe_BA_intern_assesment_Raw_data___Sheet13[[#This Row],[Customer Rating]]&gt;8,EPe_BA_intern_assesment_Raw_data___Sheet13[[#This Row],[Customer Rating]])</f>
        <v>0</v>
      </c>
      <c r="Q775" t="str">
        <f>IF(AND(EPe_BA_intern_assesment_Raw_data___Sheet13[[#This Row],[Customer Rating]]&gt;6,EPe_BA_intern_assesment_Raw_data___Sheet13[[#This Row],[Customer Rating]]&lt;9), EPe_BA_intern_assesment_Raw_data___Sheet13[[#This Row],[Customer Rating]], "")</f>
        <v/>
      </c>
      <c r="R775">
        <f>IF(EPe_BA_intern_assesment_Raw_data___Sheet13[[#This Row],[Customer Rating]]&lt;7,EPe_BA_intern_assesment_Raw_data___Sheet13[[#This Row],[Customer Rating]])</f>
        <v>1</v>
      </c>
    </row>
    <row r="776" spans="1:18" x14ac:dyDescent="0.3">
      <c r="A776" t="s">
        <v>804</v>
      </c>
      <c r="B776" t="s">
        <v>34</v>
      </c>
      <c r="C776" t="s">
        <v>24</v>
      </c>
      <c r="D776" s="1">
        <v>45934</v>
      </c>
      <c r="E776" s="1"/>
      <c r="F776" s="1"/>
      <c r="G776" s="1"/>
      <c r="H776" t="s">
        <v>25</v>
      </c>
      <c r="I776" t="s">
        <v>35</v>
      </c>
      <c r="J776" s="1"/>
      <c r="P776" t="b">
        <f>IF(EPe_BA_intern_assesment_Raw_data___Sheet13[[#This Row],[Customer Rating]]&gt;8,EPe_BA_intern_assesment_Raw_data___Sheet13[[#This Row],[Customer Rating]])</f>
        <v>0</v>
      </c>
      <c r="Q776" t="str">
        <f>IF(AND(EPe_BA_intern_assesment_Raw_data___Sheet13[[#This Row],[Customer Rating]]&gt;6,EPe_BA_intern_assesment_Raw_data___Sheet13[[#This Row],[Customer Rating]]&lt;9), EPe_BA_intern_assesment_Raw_data___Sheet13[[#This Row],[Customer Rating]], "")</f>
        <v/>
      </c>
      <c r="R776">
        <f>IF(EPe_BA_intern_assesment_Raw_data___Sheet13[[#This Row],[Customer Rating]]&lt;7,EPe_BA_intern_assesment_Raw_data___Sheet13[[#This Row],[Customer Rating]])</f>
        <v>0</v>
      </c>
    </row>
    <row r="777" spans="1:18" x14ac:dyDescent="0.3">
      <c r="A777" t="s">
        <v>805</v>
      </c>
      <c r="B777" t="s">
        <v>34</v>
      </c>
      <c r="C777" t="s">
        <v>32</v>
      </c>
      <c r="D777" s="1">
        <v>45952</v>
      </c>
      <c r="E777" s="1">
        <v>45954</v>
      </c>
      <c r="F777" s="1">
        <v>45959</v>
      </c>
      <c r="G777" s="1">
        <v>45964</v>
      </c>
      <c r="H777" t="s">
        <v>18</v>
      </c>
      <c r="I777" t="s">
        <v>19</v>
      </c>
      <c r="J777" s="1">
        <v>45990</v>
      </c>
      <c r="K777">
        <v>2</v>
      </c>
      <c r="L777">
        <v>5</v>
      </c>
      <c r="M777">
        <v>5</v>
      </c>
      <c r="N777">
        <v>10</v>
      </c>
      <c r="O777">
        <v>12</v>
      </c>
      <c r="P777">
        <f>IF(EPe_BA_intern_assesment_Raw_data___Sheet13[[#This Row],[Customer Rating]]&gt;8,EPe_BA_intern_assesment_Raw_data___Sheet13[[#This Row],[Customer Rating]])</f>
        <v>10</v>
      </c>
      <c r="Q777" t="str">
        <f>IF(AND(EPe_BA_intern_assesment_Raw_data___Sheet13[[#This Row],[Customer Rating]]&gt;6,EPe_BA_intern_assesment_Raw_data___Sheet13[[#This Row],[Customer Rating]]&lt;9), EPe_BA_intern_assesment_Raw_data___Sheet13[[#This Row],[Customer Rating]], "")</f>
        <v/>
      </c>
      <c r="R777" t="b">
        <f>IF(EPe_BA_intern_assesment_Raw_data___Sheet13[[#This Row],[Customer Rating]]&lt;7,EPe_BA_intern_assesment_Raw_data___Sheet13[[#This Row],[Customer Rating]])</f>
        <v>0</v>
      </c>
    </row>
    <row r="778" spans="1:18" x14ac:dyDescent="0.3">
      <c r="A778" t="s">
        <v>806</v>
      </c>
      <c r="B778" t="s">
        <v>34</v>
      </c>
      <c r="C778" t="s">
        <v>17</v>
      </c>
      <c r="D778" s="1">
        <v>45938</v>
      </c>
      <c r="E778" s="1">
        <v>45940</v>
      </c>
      <c r="F778" s="1">
        <v>45944</v>
      </c>
      <c r="G778" s="1">
        <v>45948</v>
      </c>
      <c r="H778" t="s">
        <v>18</v>
      </c>
      <c r="I778" t="s">
        <v>19</v>
      </c>
      <c r="J778" s="1">
        <v>45977</v>
      </c>
      <c r="K778">
        <v>2</v>
      </c>
      <c r="L778">
        <v>4</v>
      </c>
      <c r="M778">
        <v>4</v>
      </c>
      <c r="N778">
        <v>1</v>
      </c>
      <c r="O778">
        <v>10</v>
      </c>
      <c r="P778" t="b">
        <f>IF(EPe_BA_intern_assesment_Raw_data___Sheet13[[#This Row],[Customer Rating]]&gt;8,EPe_BA_intern_assesment_Raw_data___Sheet13[[#This Row],[Customer Rating]])</f>
        <v>0</v>
      </c>
      <c r="Q778" t="str">
        <f>IF(AND(EPe_BA_intern_assesment_Raw_data___Sheet13[[#This Row],[Customer Rating]]&gt;6,EPe_BA_intern_assesment_Raw_data___Sheet13[[#This Row],[Customer Rating]]&lt;9), EPe_BA_intern_assesment_Raw_data___Sheet13[[#This Row],[Customer Rating]], "")</f>
        <v/>
      </c>
      <c r="R778">
        <f>IF(EPe_BA_intern_assesment_Raw_data___Sheet13[[#This Row],[Customer Rating]]&lt;7,EPe_BA_intern_assesment_Raw_data___Sheet13[[#This Row],[Customer Rating]])</f>
        <v>1</v>
      </c>
    </row>
    <row r="779" spans="1:18" x14ac:dyDescent="0.3">
      <c r="A779" t="s">
        <v>807</v>
      </c>
      <c r="B779" t="s">
        <v>16</v>
      </c>
      <c r="C779" t="s">
        <v>24</v>
      </c>
      <c r="D779" s="1">
        <v>45946</v>
      </c>
      <c r="E779" s="1"/>
      <c r="F779" s="1"/>
      <c r="G779" s="1"/>
      <c r="H779" t="s">
        <v>25</v>
      </c>
      <c r="I779" t="s">
        <v>65</v>
      </c>
      <c r="J779" s="1"/>
      <c r="P779" t="b">
        <f>IF(EPe_BA_intern_assesment_Raw_data___Sheet13[[#This Row],[Customer Rating]]&gt;8,EPe_BA_intern_assesment_Raw_data___Sheet13[[#This Row],[Customer Rating]])</f>
        <v>0</v>
      </c>
      <c r="Q779" t="str">
        <f>IF(AND(EPe_BA_intern_assesment_Raw_data___Sheet13[[#This Row],[Customer Rating]]&gt;6,EPe_BA_intern_assesment_Raw_data___Sheet13[[#This Row],[Customer Rating]]&lt;9), EPe_BA_intern_assesment_Raw_data___Sheet13[[#This Row],[Customer Rating]], "")</f>
        <v/>
      </c>
      <c r="R779">
        <f>IF(EPe_BA_intern_assesment_Raw_data___Sheet13[[#This Row],[Customer Rating]]&lt;7,EPe_BA_intern_assesment_Raw_data___Sheet13[[#This Row],[Customer Rating]])</f>
        <v>0</v>
      </c>
    </row>
    <row r="780" spans="1:18" x14ac:dyDescent="0.3">
      <c r="A780" t="s">
        <v>808</v>
      </c>
      <c r="B780" t="s">
        <v>21</v>
      </c>
      <c r="C780" t="s">
        <v>17</v>
      </c>
      <c r="D780" s="1">
        <v>45931</v>
      </c>
      <c r="E780" s="1">
        <v>45935</v>
      </c>
      <c r="F780" s="1">
        <v>45936</v>
      </c>
      <c r="G780" s="1">
        <v>45939</v>
      </c>
      <c r="H780" t="s">
        <v>18</v>
      </c>
      <c r="I780" t="s">
        <v>19</v>
      </c>
      <c r="J780" s="1">
        <v>45965</v>
      </c>
      <c r="K780">
        <v>4</v>
      </c>
      <c r="L780">
        <v>1</v>
      </c>
      <c r="M780">
        <v>3</v>
      </c>
      <c r="N780">
        <v>3</v>
      </c>
      <c r="O780">
        <v>8</v>
      </c>
      <c r="P780" t="b">
        <f>IF(EPe_BA_intern_assesment_Raw_data___Sheet13[[#This Row],[Customer Rating]]&gt;8,EPe_BA_intern_assesment_Raw_data___Sheet13[[#This Row],[Customer Rating]])</f>
        <v>0</v>
      </c>
      <c r="Q780" t="str">
        <f>IF(AND(EPe_BA_intern_assesment_Raw_data___Sheet13[[#This Row],[Customer Rating]]&gt;6,EPe_BA_intern_assesment_Raw_data___Sheet13[[#This Row],[Customer Rating]]&lt;9), EPe_BA_intern_assesment_Raw_data___Sheet13[[#This Row],[Customer Rating]], "")</f>
        <v/>
      </c>
      <c r="R780">
        <f>IF(EPe_BA_intern_assesment_Raw_data___Sheet13[[#This Row],[Customer Rating]]&lt;7,EPe_BA_intern_assesment_Raw_data___Sheet13[[#This Row],[Customer Rating]])</f>
        <v>3</v>
      </c>
    </row>
    <row r="781" spans="1:18" x14ac:dyDescent="0.3">
      <c r="A781" t="s">
        <v>809</v>
      </c>
      <c r="B781" t="s">
        <v>16</v>
      </c>
      <c r="C781" t="s">
        <v>17</v>
      </c>
      <c r="D781" s="1">
        <v>45950</v>
      </c>
      <c r="E781" s="1">
        <v>45955</v>
      </c>
      <c r="F781" s="1">
        <v>45956</v>
      </c>
      <c r="G781" s="1">
        <v>45958</v>
      </c>
      <c r="H781" t="s">
        <v>18</v>
      </c>
      <c r="I781" t="s">
        <v>19</v>
      </c>
      <c r="J781" s="1">
        <v>45978</v>
      </c>
      <c r="K781">
        <v>5</v>
      </c>
      <c r="L781">
        <v>1</v>
      </c>
      <c r="M781">
        <v>2</v>
      </c>
      <c r="N781">
        <v>2</v>
      </c>
      <c r="O781">
        <v>8</v>
      </c>
      <c r="P781" t="b">
        <f>IF(EPe_BA_intern_assesment_Raw_data___Sheet13[[#This Row],[Customer Rating]]&gt;8,EPe_BA_intern_assesment_Raw_data___Sheet13[[#This Row],[Customer Rating]])</f>
        <v>0</v>
      </c>
      <c r="Q781" t="str">
        <f>IF(AND(EPe_BA_intern_assesment_Raw_data___Sheet13[[#This Row],[Customer Rating]]&gt;6,EPe_BA_intern_assesment_Raw_data___Sheet13[[#This Row],[Customer Rating]]&lt;9), EPe_BA_intern_assesment_Raw_data___Sheet13[[#This Row],[Customer Rating]], "")</f>
        <v/>
      </c>
      <c r="R781">
        <f>IF(EPe_BA_intern_assesment_Raw_data___Sheet13[[#This Row],[Customer Rating]]&lt;7,EPe_BA_intern_assesment_Raw_data___Sheet13[[#This Row],[Customer Rating]])</f>
        <v>2</v>
      </c>
    </row>
    <row r="782" spans="1:18" x14ac:dyDescent="0.3">
      <c r="A782" t="s">
        <v>810</v>
      </c>
      <c r="B782" t="s">
        <v>21</v>
      </c>
      <c r="C782" t="s">
        <v>17</v>
      </c>
      <c r="D782" s="1">
        <v>45959</v>
      </c>
      <c r="E782" s="1">
        <v>45960</v>
      </c>
      <c r="F782" s="1">
        <v>45961</v>
      </c>
      <c r="G782" s="1">
        <v>45964</v>
      </c>
      <c r="H782" t="s">
        <v>18</v>
      </c>
      <c r="I782" t="s">
        <v>19</v>
      </c>
      <c r="J782" s="1">
        <v>45987</v>
      </c>
      <c r="K782">
        <v>1</v>
      </c>
      <c r="L782">
        <v>1</v>
      </c>
      <c r="M782">
        <v>3</v>
      </c>
      <c r="N782">
        <v>2</v>
      </c>
      <c r="O782">
        <v>5</v>
      </c>
      <c r="P782" t="b">
        <f>IF(EPe_BA_intern_assesment_Raw_data___Sheet13[[#This Row],[Customer Rating]]&gt;8,EPe_BA_intern_assesment_Raw_data___Sheet13[[#This Row],[Customer Rating]])</f>
        <v>0</v>
      </c>
      <c r="Q782" t="str">
        <f>IF(AND(EPe_BA_intern_assesment_Raw_data___Sheet13[[#This Row],[Customer Rating]]&gt;6,EPe_BA_intern_assesment_Raw_data___Sheet13[[#This Row],[Customer Rating]]&lt;9), EPe_BA_intern_assesment_Raw_data___Sheet13[[#This Row],[Customer Rating]], "")</f>
        <v/>
      </c>
      <c r="R782">
        <f>IF(EPe_BA_intern_assesment_Raw_data___Sheet13[[#This Row],[Customer Rating]]&lt;7,EPe_BA_intern_assesment_Raw_data___Sheet13[[#This Row],[Customer Rating]])</f>
        <v>2</v>
      </c>
    </row>
    <row r="783" spans="1:18" x14ac:dyDescent="0.3">
      <c r="A783" t="s">
        <v>811</v>
      </c>
      <c r="B783" t="s">
        <v>23</v>
      </c>
      <c r="C783" t="s">
        <v>32</v>
      </c>
      <c r="D783" s="1">
        <v>45961</v>
      </c>
      <c r="E783" s="1">
        <v>45962</v>
      </c>
      <c r="F783" s="1">
        <v>45965</v>
      </c>
      <c r="G783" s="1">
        <v>45968</v>
      </c>
      <c r="H783" t="s">
        <v>18</v>
      </c>
      <c r="I783" t="s">
        <v>19</v>
      </c>
      <c r="J783" s="1">
        <v>45982</v>
      </c>
      <c r="K783">
        <v>1</v>
      </c>
      <c r="L783">
        <v>3</v>
      </c>
      <c r="M783">
        <v>3</v>
      </c>
      <c r="N783">
        <v>4</v>
      </c>
      <c r="O783">
        <v>7</v>
      </c>
      <c r="P783" t="b">
        <f>IF(EPe_BA_intern_assesment_Raw_data___Sheet13[[#This Row],[Customer Rating]]&gt;8,EPe_BA_intern_assesment_Raw_data___Sheet13[[#This Row],[Customer Rating]])</f>
        <v>0</v>
      </c>
      <c r="Q783" t="str">
        <f>IF(AND(EPe_BA_intern_assesment_Raw_data___Sheet13[[#This Row],[Customer Rating]]&gt;6,EPe_BA_intern_assesment_Raw_data___Sheet13[[#This Row],[Customer Rating]]&lt;9), EPe_BA_intern_assesment_Raw_data___Sheet13[[#This Row],[Customer Rating]], "")</f>
        <v/>
      </c>
      <c r="R783">
        <f>IF(EPe_BA_intern_assesment_Raw_data___Sheet13[[#This Row],[Customer Rating]]&lt;7,EPe_BA_intern_assesment_Raw_data___Sheet13[[#This Row],[Customer Rating]])</f>
        <v>4</v>
      </c>
    </row>
    <row r="784" spans="1:18" x14ac:dyDescent="0.3">
      <c r="A784" t="s">
        <v>812</v>
      </c>
      <c r="B784" t="s">
        <v>23</v>
      </c>
      <c r="C784" t="s">
        <v>24</v>
      </c>
      <c r="D784" s="1">
        <v>45948</v>
      </c>
      <c r="E784" s="1"/>
      <c r="F784" s="1"/>
      <c r="G784" s="1"/>
      <c r="H784" t="s">
        <v>25</v>
      </c>
      <c r="I784" t="s">
        <v>26</v>
      </c>
      <c r="J784" s="1"/>
      <c r="P784" t="b">
        <f>IF(EPe_BA_intern_assesment_Raw_data___Sheet13[[#This Row],[Customer Rating]]&gt;8,EPe_BA_intern_assesment_Raw_data___Sheet13[[#This Row],[Customer Rating]])</f>
        <v>0</v>
      </c>
      <c r="Q784" t="str">
        <f>IF(AND(EPe_BA_intern_assesment_Raw_data___Sheet13[[#This Row],[Customer Rating]]&gt;6,EPe_BA_intern_assesment_Raw_data___Sheet13[[#This Row],[Customer Rating]]&lt;9), EPe_BA_intern_assesment_Raw_data___Sheet13[[#This Row],[Customer Rating]], "")</f>
        <v/>
      </c>
      <c r="R784">
        <f>IF(EPe_BA_intern_assesment_Raw_data___Sheet13[[#This Row],[Customer Rating]]&lt;7,EPe_BA_intern_assesment_Raw_data___Sheet13[[#This Row],[Customer Rating]])</f>
        <v>0</v>
      </c>
    </row>
    <row r="785" spans="1:18" x14ac:dyDescent="0.3">
      <c r="A785" t="s">
        <v>813</v>
      </c>
      <c r="B785" t="s">
        <v>34</v>
      </c>
      <c r="C785" t="s">
        <v>17</v>
      </c>
      <c r="D785" s="1">
        <v>45941</v>
      </c>
      <c r="E785" s="1">
        <v>45946</v>
      </c>
      <c r="F785" s="1">
        <v>45951</v>
      </c>
      <c r="G785" s="1">
        <v>45957</v>
      </c>
      <c r="H785" t="s">
        <v>18</v>
      </c>
      <c r="I785" t="s">
        <v>19</v>
      </c>
      <c r="J785" s="1">
        <v>45977</v>
      </c>
      <c r="K785">
        <v>5</v>
      </c>
      <c r="L785">
        <v>5</v>
      </c>
      <c r="M785">
        <v>6</v>
      </c>
      <c r="N785">
        <v>9</v>
      </c>
      <c r="O785">
        <v>16</v>
      </c>
      <c r="P785">
        <f>IF(EPe_BA_intern_assesment_Raw_data___Sheet13[[#This Row],[Customer Rating]]&gt;8,EPe_BA_intern_assesment_Raw_data___Sheet13[[#This Row],[Customer Rating]])</f>
        <v>9</v>
      </c>
      <c r="Q785" t="str">
        <f>IF(AND(EPe_BA_intern_assesment_Raw_data___Sheet13[[#This Row],[Customer Rating]]&gt;6,EPe_BA_intern_assesment_Raw_data___Sheet13[[#This Row],[Customer Rating]]&lt;9), EPe_BA_intern_assesment_Raw_data___Sheet13[[#This Row],[Customer Rating]], "")</f>
        <v/>
      </c>
      <c r="R785" t="b">
        <f>IF(EPe_BA_intern_assesment_Raw_data___Sheet13[[#This Row],[Customer Rating]]&lt;7,EPe_BA_intern_assesment_Raw_data___Sheet13[[#This Row],[Customer Rating]])</f>
        <v>0</v>
      </c>
    </row>
    <row r="786" spans="1:18" x14ac:dyDescent="0.3">
      <c r="A786" t="s">
        <v>814</v>
      </c>
      <c r="B786" t="s">
        <v>21</v>
      </c>
      <c r="C786" t="s">
        <v>24</v>
      </c>
      <c r="D786" s="1">
        <v>45960</v>
      </c>
      <c r="E786" s="1"/>
      <c r="F786" s="1"/>
      <c r="G786" s="1"/>
      <c r="H786" t="s">
        <v>25</v>
      </c>
      <c r="I786" t="s">
        <v>65</v>
      </c>
      <c r="J786" s="1"/>
      <c r="P786" t="b">
        <f>IF(EPe_BA_intern_assesment_Raw_data___Sheet13[[#This Row],[Customer Rating]]&gt;8,EPe_BA_intern_assesment_Raw_data___Sheet13[[#This Row],[Customer Rating]])</f>
        <v>0</v>
      </c>
      <c r="Q786" t="str">
        <f>IF(AND(EPe_BA_intern_assesment_Raw_data___Sheet13[[#This Row],[Customer Rating]]&gt;6,EPe_BA_intern_assesment_Raw_data___Sheet13[[#This Row],[Customer Rating]]&lt;9), EPe_BA_intern_assesment_Raw_data___Sheet13[[#This Row],[Customer Rating]], "")</f>
        <v/>
      </c>
      <c r="R786">
        <f>IF(EPe_BA_intern_assesment_Raw_data___Sheet13[[#This Row],[Customer Rating]]&lt;7,EPe_BA_intern_assesment_Raw_data___Sheet13[[#This Row],[Customer Rating]])</f>
        <v>0</v>
      </c>
    </row>
    <row r="787" spans="1:18" x14ac:dyDescent="0.3">
      <c r="A787" t="s">
        <v>815</v>
      </c>
      <c r="B787" t="s">
        <v>23</v>
      </c>
      <c r="C787" t="s">
        <v>32</v>
      </c>
      <c r="D787" s="1">
        <v>45950</v>
      </c>
      <c r="E787" s="1">
        <v>45952</v>
      </c>
      <c r="F787" s="1">
        <v>45953</v>
      </c>
      <c r="G787" s="1">
        <v>45955</v>
      </c>
      <c r="H787" t="s">
        <v>18</v>
      </c>
      <c r="I787" t="s">
        <v>19</v>
      </c>
      <c r="J787" s="1">
        <v>45980</v>
      </c>
      <c r="K787">
        <v>2</v>
      </c>
      <c r="L787">
        <v>1</v>
      </c>
      <c r="M787">
        <v>2</v>
      </c>
      <c r="N787">
        <v>7</v>
      </c>
      <c r="O787">
        <v>5</v>
      </c>
      <c r="P787" t="b">
        <f>IF(EPe_BA_intern_assesment_Raw_data___Sheet13[[#This Row],[Customer Rating]]&gt;8,EPe_BA_intern_assesment_Raw_data___Sheet13[[#This Row],[Customer Rating]])</f>
        <v>0</v>
      </c>
      <c r="Q787">
        <f>IF(AND(EPe_BA_intern_assesment_Raw_data___Sheet13[[#This Row],[Customer Rating]]&gt;6,EPe_BA_intern_assesment_Raw_data___Sheet13[[#This Row],[Customer Rating]]&lt;9), EPe_BA_intern_assesment_Raw_data___Sheet13[[#This Row],[Customer Rating]], "")</f>
        <v>7</v>
      </c>
      <c r="R787" t="b">
        <f>IF(EPe_BA_intern_assesment_Raw_data___Sheet13[[#This Row],[Customer Rating]]&lt;7,EPe_BA_intern_assesment_Raw_data___Sheet13[[#This Row],[Customer Rating]])</f>
        <v>0</v>
      </c>
    </row>
    <row r="788" spans="1:18" x14ac:dyDescent="0.3">
      <c r="A788" t="s">
        <v>816</v>
      </c>
      <c r="B788" t="s">
        <v>21</v>
      </c>
      <c r="C788" t="s">
        <v>24</v>
      </c>
      <c r="D788" s="1">
        <v>45938</v>
      </c>
      <c r="E788" s="1"/>
      <c r="F788" s="1"/>
      <c r="G788" s="1"/>
      <c r="H788" t="s">
        <v>25</v>
      </c>
      <c r="I788" t="s">
        <v>103</v>
      </c>
      <c r="J788" s="1"/>
      <c r="P788" t="b">
        <f>IF(EPe_BA_intern_assesment_Raw_data___Sheet13[[#This Row],[Customer Rating]]&gt;8,EPe_BA_intern_assesment_Raw_data___Sheet13[[#This Row],[Customer Rating]])</f>
        <v>0</v>
      </c>
      <c r="Q788" t="str">
        <f>IF(AND(EPe_BA_intern_assesment_Raw_data___Sheet13[[#This Row],[Customer Rating]]&gt;6,EPe_BA_intern_assesment_Raw_data___Sheet13[[#This Row],[Customer Rating]]&lt;9), EPe_BA_intern_assesment_Raw_data___Sheet13[[#This Row],[Customer Rating]], "")</f>
        <v/>
      </c>
      <c r="R788">
        <f>IF(EPe_BA_intern_assesment_Raw_data___Sheet13[[#This Row],[Customer Rating]]&lt;7,EPe_BA_intern_assesment_Raw_data___Sheet13[[#This Row],[Customer Rating]])</f>
        <v>0</v>
      </c>
    </row>
    <row r="789" spans="1:18" x14ac:dyDescent="0.3">
      <c r="A789" t="s">
        <v>817</v>
      </c>
      <c r="B789" t="s">
        <v>23</v>
      </c>
      <c r="C789" t="s">
        <v>17</v>
      </c>
      <c r="D789" s="1">
        <v>45951</v>
      </c>
      <c r="E789" s="1">
        <v>45954</v>
      </c>
      <c r="F789" s="1">
        <v>45959</v>
      </c>
      <c r="G789" s="1">
        <v>45962</v>
      </c>
      <c r="H789" t="s">
        <v>18</v>
      </c>
      <c r="I789" t="s">
        <v>19</v>
      </c>
      <c r="J789" s="1">
        <v>45983</v>
      </c>
      <c r="K789">
        <v>3</v>
      </c>
      <c r="L789">
        <v>5</v>
      </c>
      <c r="M789">
        <v>3</v>
      </c>
      <c r="N789">
        <v>3</v>
      </c>
      <c r="O789">
        <v>11</v>
      </c>
      <c r="P789" t="b">
        <f>IF(EPe_BA_intern_assesment_Raw_data___Sheet13[[#This Row],[Customer Rating]]&gt;8,EPe_BA_intern_assesment_Raw_data___Sheet13[[#This Row],[Customer Rating]])</f>
        <v>0</v>
      </c>
      <c r="Q789" t="str">
        <f>IF(AND(EPe_BA_intern_assesment_Raw_data___Sheet13[[#This Row],[Customer Rating]]&gt;6,EPe_BA_intern_assesment_Raw_data___Sheet13[[#This Row],[Customer Rating]]&lt;9), EPe_BA_intern_assesment_Raw_data___Sheet13[[#This Row],[Customer Rating]], "")</f>
        <v/>
      </c>
      <c r="R789">
        <f>IF(EPe_BA_intern_assesment_Raw_data___Sheet13[[#This Row],[Customer Rating]]&lt;7,EPe_BA_intern_assesment_Raw_data___Sheet13[[#This Row],[Customer Rating]])</f>
        <v>3</v>
      </c>
    </row>
    <row r="790" spans="1:18" x14ac:dyDescent="0.3">
      <c r="A790" t="s">
        <v>818</v>
      </c>
      <c r="B790" t="s">
        <v>16</v>
      </c>
      <c r="C790" t="s">
        <v>32</v>
      </c>
      <c r="D790" s="1">
        <v>45933</v>
      </c>
      <c r="E790" s="1">
        <v>45935</v>
      </c>
      <c r="F790" s="1">
        <v>45940</v>
      </c>
      <c r="G790" s="1">
        <v>45942</v>
      </c>
      <c r="H790" t="s">
        <v>18</v>
      </c>
      <c r="I790" t="s">
        <v>19</v>
      </c>
      <c r="J790" s="1">
        <v>45958</v>
      </c>
      <c r="K790">
        <v>2</v>
      </c>
      <c r="L790">
        <v>5</v>
      </c>
      <c r="M790">
        <v>2</v>
      </c>
      <c r="N790">
        <v>3</v>
      </c>
      <c r="O790">
        <v>9</v>
      </c>
      <c r="P790" t="b">
        <f>IF(EPe_BA_intern_assesment_Raw_data___Sheet13[[#This Row],[Customer Rating]]&gt;8,EPe_BA_intern_assesment_Raw_data___Sheet13[[#This Row],[Customer Rating]])</f>
        <v>0</v>
      </c>
      <c r="Q790" t="str">
        <f>IF(AND(EPe_BA_intern_assesment_Raw_data___Sheet13[[#This Row],[Customer Rating]]&gt;6,EPe_BA_intern_assesment_Raw_data___Sheet13[[#This Row],[Customer Rating]]&lt;9), EPe_BA_intern_assesment_Raw_data___Sheet13[[#This Row],[Customer Rating]], "")</f>
        <v/>
      </c>
      <c r="R790">
        <f>IF(EPe_BA_intern_assesment_Raw_data___Sheet13[[#This Row],[Customer Rating]]&lt;7,EPe_BA_intern_assesment_Raw_data___Sheet13[[#This Row],[Customer Rating]])</f>
        <v>3</v>
      </c>
    </row>
    <row r="791" spans="1:18" x14ac:dyDescent="0.3">
      <c r="A791" t="s">
        <v>819</v>
      </c>
      <c r="B791" t="s">
        <v>23</v>
      </c>
      <c r="C791" t="s">
        <v>32</v>
      </c>
      <c r="D791" s="1">
        <v>45951</v>
      </c>
      <c r="E791" s="1">
        <v>45953</v>
      </c>
      <c r="F791" s="1">
        <v>45956</v>
      </c>
      <c r="G791" s="1">
        <v>45959</v>
      </c>
      <c r="H791" t="s">
        <v>18</v>
      </c>
      <c r="I791" t="s">
        <v>19</v>
      </c>
      <c r="J791" s="1">
        <v>45974</v>
      </c>
      <c r="K791">
        <v>2</v>
      </c>
      <c r="L791">
        <v>3</v>
      </c>
      <c r="M791">
        <v>3</v>
      </c>
      <c r="N791">
        <v>3</v>
      </c>
      <c r="O791">
        <v>8</v>
      </c>
      <c r="P791" t="b">
        <f>IF(EPe_BA_intern_assesment_Raw_data___Sheet13[[#This Row],[Customer Rating]]&gt;8,EPe_BA_intern_assesment_Raw_data___Sheet13[[#This Row],[Customer Rating]])</f>
        <v>0</v>
      </c>
      <c r="Q791" t="str">
        <f>IF(AND(EPe_BA_intern_assesment_Raw_data___Sheet13[[#This Row],[Customer Rating]]&gt;6,EPe_BA_intern_assesment_Raw_data___Sheet13[[#This Row],[Customer Rating]]&lt;9), EPe_BA_intern_assesment_Raw_data___Sheet13[[#This Row],[Customer Rating]], "")</f>
        <v/>
      </c>
      <c r="R791">
        <f>IF(EPe_BA_intern_assesment_Raw_data___Sheet13[[#This Row],[Customer Rating]]&lt;7,EPe_BA_intern_assesment_Raw_data___Sheet13[[#This Row],[Customer Rating]])</f>
        <v>3</v>
      </c>
    </row>
    <row r="792" spans="1:18" x14ac:dyDescent="0.3">
      <c r="A792" t="s">
        <v>820</v>
      </c>
      <c r="B792" t="s">
        <v>16</v>
      </c>
      <c r="C792" t="s">
        <v>17</v>
      </c>
      <c r="D792" s="1">
        <v>45957</v>
      </c>
      <c r="E792" s="1">
        <v>45960</v>
      </c>
      <c r="F792" s="1">
        <v>45964</v>
      </c>
      <c r="G792" s="1">
        <v>45969</v>
      </c>
      <c r="H792" t="s">
        <v>18</v>
      </c>
      <c r="I792" t="s">
        <v>19</v>
      </c>
      <c r="J792" s="1">
        <v>45991</v>
      </c>
      <c r="K792">
        <v>3</v>
      </c>
      <c r="L792">
        <v>4</v>
      </c>
      <c r="M792">
        <v>5</v>
      </c>
      <c r="N792">
        <v>5</v>
      </c>
      <c r="O792">
        <v>12</v>
      </c>
      <c r="P792" t="b">
        <f>IF(EPe_BA_intern_assesment_Raw_data___Sheet13[[#This Row],[Customer Rating]]&gt;8,EPe_BA_intern_assesment_Raw_data___Sheet13[[#This Row],[Customer Rating]])</f>
        <v>0</v>
      </c>
      <c r="Q792" t="str">
        <f>IF(AND(EPe_BA_intern_assesment_Raw_data___Sheet13[[#This Row],[Customer Rating]]&gt;6,EPe_BA_intern_assesment_Raw_data___Sheet13[[#This Row],[Customer Rating]]&lt;9), EPe_BA_intern_assesment_Raw_data___Sheet13[[#This Row],[Customer Rating]], "")</f>
        <v/>
      </c>
      <c r="R792">
        <f>IF(EPe_BA_intern_assesment_Raw_data___Sheet13[[#This Row],[Customer Rating]]&lt;7,EPe_BA_intern_assesment_Raw_data___Sheet13[[#This Row],[Customer Rating]])</f>
        <v>5</v>
      </c>
    </row>
    <row r="793" spans="1:18" x14ac:dyDescent="0.3">
      <c r="A793" t="s">
        <v>821</v>
      </c>
      <c r="B793" t="s">
        <v>23</v>
      </c>
      <c r="C793" t="s">
        <v>17</v>
      </c>
      <c r="D793" s="1">
        <v>45945</v>
      </c>
      <c r="E793" s="1">
        <v>45947</v>
      </c>
      <c r="F793" s="1">
        <v>45948</v>
      </c>
      <c r="G793" s="1">
        <v>45953</v>
      </c>
      <c r="H793" t="s">
        <v>18</v>
      </c>
      <c r="I793" t="s">
        <v>19</v>
      </c>
      <c r="J793" s="1">
        <v>45963</v>
      </c>
      <c r="K793">
        <v>2</v>
      </c>
      <c r="L793">
        <v>1</v>
      </c>
      <c r="M793">
        <v>5</v>
      </c>
      <c r="N793">
        <v>8</v>
      </c>
      <c r="O793">
        <v>8</v>
      </c>
      <c r="P793" t="b">
        <f>IF(EPe_BA_intern_assesment_Raw_data___Sheet13[[#This Row],[Customer Rating]]&gt;8,EPe_BA_intern_assesment_Raw_data___Sheet13[[#This Row],[Customer Rating]])</f>
        <v>0</v>
      </c>
      <c r="Q793">
        <f>IF(AND(EPe_BA_intern_assesment_Raw_data___Sheet13[[#This Row],[Customer Rating]]&gt;6,EPe_BA_intern_assesment_Raw_data___Sheet13[[#This Row],[Customer Rating]]&lt;9), EPe_BA_intern_assesment_Raw_data___Sheet13[[#This Row],[Customer Rating]], "")</f>
        <v>8</v>
      </c>
      <c r="R793" t="b">
        <f>IF(EPe_BA_intern_assesment_Raw_data___Sheet13[[#This Row],[Customer Rating]]&lt;7,EPe_BA_intern_assesment_Raw_data___Sheet13[[#This Row],[Customer Rating]])</f>
        <v>0</v>
      </c>
    </row>
    <row r="794" spans="1:18" x14ac:dyDescent="0.3">
      <c r="A794" t="s">
        <v>822</v>
      </c>
      <c r="B794" t="s">
        <v>34</v>
      </c>
      <c r="C794" t="s">
        <v>24</v>
      </c>
      <c r="D794" s="1">
        <v>45960</v>
      </c>
      <c r="E794" s="1"/>
      <c r="F794" s="1"/>
      <c r="G794" s="1"/>
      <c r="H794" t="s">
        <v>25</v>
      </c>
      <c r="I794" t="s">
        <v>103</v>
      </c>
      <c r="J794" s="1"/>
      <c r="P794" t="b">
        <f>IF(EPe_BA_intern_assesment_Raw_data___Sheet13[[#This Row],[Customer Rating]]&gt;8,EPe_BA_intern_assesment_Raw_data___Sheet13[[#This Row],[Customer Rating]])</f>
        <v>0</v>
      </c>
      <c r="Q794" t="str">
        <f>IF(AND(EPe_BA_intern_assesment_Raw_data___Sheet13[[#This Row],[Customer Rating]]&gt;6,EPe_BA_intern_assesment_Raw_data___Sheet13[[#This Row],[Customer Rating]]&lt;9), EPe_BA_intern_assesment_Raw_data___Sheet13[[#This Row],[Customer Rating]], "")</f>
        <v/>
      </c>
      <c r="R794">
        <f>IF(EPe_BA_intern_assesment_Raw_data___Sheet13[[#This Row],[Customer Rating]]&lt;7,EPe_BA_intern_assesment_Raw_data___Sheet13[[#This Row],[Customer Rating]])</f>
        <v>0</v>
      </c>
    </row>
    <row r="795" spans="1:18" x14ac:dyDescent="0.3">
      <c r="A795" t="s">
        <v>823</v>
      </c>
      <c r="B795" t="s">
        <v>16</v>
      </c>
      <c r="C795" t="s">
        <v>32</v>
      </c>
      <c r="D795" s="1">
        <v>45953</v>
      </c>
      <c r="E795" s="1">
        <v>45956</v>
      </c>
      <c r="F795" s="1">
        <v>45959</v>
      </c>
      <c r="G795" s="1">
        <v>45963</v>
      </c>
      <c r="H795" t="s">
        <v>18</v>
      </c>
      <c r="I795" t="s">
        <v>19</v>
      </c>
      <c r="J795" s="1">
        <v>45980</v>
      </c>
      <c r="K795">
        <v>3</v>
      </c>
      <c r="L795">
        <v>3</v>
      </c>
      <c r="M795">
        <v>4</v>
      </c>
      <c r="N795">
        <v>1</v>
      </c>
      <c r="O795">
        <v>10</v>
      </c>
      <c r="P795" t="b">
        <f>IF(EPe_BA_intern_assesment_Raw_data___Sheet13[[#This Row],[Customer Rating]]&gt;8,EPe_BA_intern_assesment_Raw_data___Sheet13[[#This Row],[Customer Rating]])</f>
        <v>0</v>
      </c>
      <c r="Q795" t="str">
        <f>IF(AND(EPe_BA_intern_assesment_Raw_data___Sheet13[[#This Row],[Customer Rating]]&gt;6,EPe_BA_intern_assesment_Raw_data___Sheet13[[#This Row],[Customer Rating]]&lt;9), EPe_BA_intern_assesment_Raw_data___Sheet13[[#This Row],[Customer Rating]], "")</f>
        <v/>
      </c>
      <c r="R795">
        <f>IF(EPe_BA_intern_assesment_Raw_data___Sheet13[[#This Row],[Customer Rating]]&lt;7,EPe_BA_intern_assesment_Raw_data___Sheet13[[#This Row],[Customer Rating]])</f>
        <v>1</v>
      </c>
    </row>
    <row r="796" spans="1:18" x14ac:dyDescent="0.3">
      <c r="A796" t="s">
        <v>824</v>
      </c>
      <c r="B796" t="s">
        <v>23</v>
      </c>
      <c r="C796" t="s">
        <v>32</v>
      </c>
      <c r="D796" s="1">
        <v>45940</v>
      </c>
      <c r="E796" s="1">
        <v>45945</v>
      </c>
      <c r="F796" s="1">
        <v>45949</v>
      </c>
      <c r="G796" s="1">
        <v>45954</v>
      </c>
      <c r="H796" t="s">
        <v>18</v>
      </c>
      <c r="I796" t="s">
        <v>19</v>
      </c>
      <c r="J796" s="1">
        <v>45971</v>
      </c>
      <c r="K796">
        <v>5</v>
      </c>
      <c r="L796">
        <v>4</v>
      </c>
      <c r="M796">
        <v>5</v>
      </c>
      <c r="N796">
        <v>10</v>
      </c>
      <c r="O796">
        <v>14</v>
      </c>
      <c r="P796">
        <f>IF(EPe_BA_intern_assesment_Raw_data___Sheet13[[#This Row],[Customer Rating]]&gt;8,EPe_BA_intern_assesment_Raw_data___Sheet13[[#This Row],[Customer Rating]])</f>
        <v>10</v>
      </c>
      <c r="Q796" t="str">
        <f>IF(AND(EPe_BA_intern_assesment_Raw_data___Sheet13[[#This Row],[Customer Rating]]&gt;6,EPe_BA_intern_assesment_Raw_data___Sheet13[[#This Row],[Customer Rating]]&lt;9), EPe_BA_intern_assesment_Raw_data___Sheet13[[#This Row],[Customer Rating]], "")</f>
        <v/>
      </c>
      <c r="R796" t="b">
        <f>IF(EPe_BA_intern_assesment_Raw_data___Sheet13[[#This Row],[Customer Rating]]&lt;7,EPe_BA_intern_assesment_Raw_data___Sheet13[[#This Row],[Customer Rating]])</f>
        <v>0</v>
      </c>
    </row>
    <row r="797" spans="1:18" x14ac:dyDescent="0.3">
      <c r="A797" t="s">
        <v>825</v>
      </c>
      <c r="B797" t="s">
        <v>34</v>
      </c>
      <c r="C797" t="s">
        <v>17</v>
      </c>
      <c r="D797" s="1">
        <v>45951</v>
      </c>
      <c r="E797" s="1">
        <v>45954</v>
      </c>
      <c r="F797" s="1">
        <v>45958</v>
      </c>
      <c r="G797" s="1">
        <v>45960</v>
      </c>
      <c r="H797" t="s">
        <v>18</v>
      </c>
      <c r="I797" t="s">
        <v>19</v>
      </c>
      <c r="J797" s="1">
        <v>45974</v>
      </c>
      <c r="K797">
        <v>3</v>
      </c>
      <c r="L797">
        <v>4</v>
      </c>
      <c r="M797">
        <v>2</v>
      </c>
      <c r="N797">
        <v>4</v>
      </c>
      <c r="O797">
        <v>9</v>
      </c>
      <c r="P797" t="b">
        <f>IF(EPe_BA_intern_assesment_Raw_data___Sheet13[[#This Row],[Customer Rating]]&gt;8,EPe_BA_intern_assesment_Raw_data___Sheet13[[#This Row],[Customer Rating]])</f>
        <v>0</v>
      </c>
      <c r="Q797" t="str">
        <f>IF(AND(EPe_BA_intern_assesment_Raw_data___Sheet13[[#This Row],[Customer Rating]]&gt;6,EPe_BA_intern_assesment_Raw_data___Sheet13[[#This Row],[Customer Rating]]&lt;9), EPe_BA_intern_assesment_Raw_data___Sheet13[[#This Row],[Customer Rating]], "")</f>
        <v/>
      </c>
      <c r="R797">
        <f>IF(EPe_BA_intern_assesment_Raw_data___Sheet13[[#This Row],[Customer Rating]]&lt;7,EPe_BA_intern_assesment_Raw_data___Sheet13[[#This Row],[Customer Rating]])</f>
        <v>4</v>
      </c>
    </row>
    <row r="798" spans="1:18" x14ac:dyDescent="0.3">
      <c r="A798" t="s">
        <v>826</v>
      </c>
      <c r="B798" t="s">
        <v>16</v>
      </c>
      <c r="C798" t="s">
        <v>17</v>
      </c>
      <c r="D798" s="1">
        <v>45944</v>
      </c>
      <c r="E798" s="1">
        <v>45945</v>
      </c>
      <c r="F798" s="1">
        <v>45946</v>
      </c>
      <c r="G798" s="1">
        <v>45952</v>
      </c>
      <c r="H798" t="s">
        <v>18</v>
      </c>
      <c r="I798" t="s">
        <v>19</v>
      </c>
      <c r="J798" s="1">
        <v>45968</v>
      </c>
      <c r="K798">
        <v>1</v>
      </c>
      <c r="L798">
        <v>1</v>
      </c>
      <c r="M798">
        <v>6</v>
      </c>
      <c r="N798">
        <v>8</v>
      </c>
      <c r="O798">
        <v>8</v>
      </c>
      <c r="P798" t="b">
        <f>IF(EPe_BA_intern_assesment_Raw_data___Sheet13[[#This Row],[Customer Rating]]&gt;8,EPe_BA_intern_assesment_Raw_data___Sheet13[[#This Row],[Customer Rating]])</f>
        <v>0</v>
      </c>
      <c r="Q798">
        <f>IF(AND(EPe_BA_intern_assesment_Raw_data___Sheet13[[#This Row],[Customer Rating]]&gt;6,EPe_BA_intern_assesment_Raw_data___Sheet13[[#This Row],[Customer Rating]]&lt;9), EPe_BA_intern_assesment_Raw_data___Sheet13[[#This Row],[Customer Rating]], "")</f>
        <v>8</v>
      </c>
      <c r="R798" t="b">
        <f>IF(EPe_BA_intern_assesment_Raw_data___Sheet13[[#This Row],[Customer Rating]]&lt;7,EPe_BA_intern_assesment_Raw_data___Sheet13[[#This Row],[Customer Rating]])</f>
        <v>0</v>
      </c>
    </row>
    <row r="799" spans="1:18" x14ac:dyDescent="0.3">
      <c r="A799" t="s">
        <v>827</v>
      </c>
      <c r="B799" t="s">
        <v>34</v>
      </c>
      <c r="C799" t="s">
        <v>17</v>
      </c>
      <c r="D799" s="1">
        <v>45934</v>
      </c>
      <c r="E799" s="1">
        <v>45937</v>
      </c>
      <c r="F799" s="1">
        <v>45942</v>
      </c>
      <c r="G799" s="1">
        <v>45946</v>
      </c>
      <c r="H799" t="s">
        <v>18</v>
      </c>
      <c r="I799" t="s">
        <v>19</v>
      </c>
      <c r="J799" s="1">
        <v>45956</v>
      </c>
      <c r="K799">
        <v>3</v>
      </c>
      <c r="L799">
        <v>5</v>
      </c>
      <c r="M799">
        <v>4</v>
      </c>
      <c r="N799">
        <v>7</v>
      </c>
      <c r="O799">
        <v>12</v>
      </c>
      <c r="P799" t="b">
        <f>IF(EPe_BA_intern_assesment_Raw_data___Sheet13[[#This Row],[Customer Rating]]&gt;8,EPe_BA_intern_assesment_Raw_data___Sheet13[[#This Row],[Customer Rating]])</f>
        <v>0</v>
      </c>
      <c r="Q799">
        <f>IF(AND(EPe_BA_intern_assesment_Raw_data___Sheet13[[#This Row],[Customer Rating]]&gt;6,EPe_BA_intern_assesment_Raw_data___Sheet13[[#This Row],[Customer Rating]]&lt;9), EPe_BA_intern_assesment_Raw_data___Sheet13[[#This Row],[Customer Rating]], "")</f>
        <v>7</v>
      </c>
      <c r="R799" t="b">
        <f>IF(EPe_BA_intern_assesment_Raw_data___Sheet13[[#This Row],[Customer Rating]]&lt;7,EPe_BA_intern_assesment_Raw_data___Sheet13[[#This Row],[Customer Rating]])</f>
        <v>0</v>
      </c>
    </row>
    <row r="800" spans="1:18" x14ac:dyDescent="0.3">
      <c r="A800" t="s">
        <v>828</v>
      </c>
      <c r="B800" t="s">
        <v>21</v>
      </c>
      <c r="C800" t="s">
        <v>24</v>
      </c>
      <c r="D800" s="1">
        <v>45935</v>
      </c>
      <c r="E800" s="1"/>
      <c r="F800" s="1"/>
      <c r="G800" s="1"/>
      <c r="H800" t="s">
        <v>25</v>
      </c>
      <c r="I800" t="s">
        <v>103</v>
      </c>
      <c r="J800" s="1"/>
      <c r="P800" t="b">
        <f>IF(EPe_BA_intern_assesment_Raw_data___Sheet13[[#This Row],[Customer Rating]]&gt;8,EPe_BA_intern_assesment_Raw_data___Sheet13[[#This Row],[Customer Rating]])</f>
        <v>0</v>
      </c>
      <c r="Q800" t="str">
        <f>IF(AND(EPe_BA_intern_assesment_Raw_data___Sheet13[[#This Row],[Customer Rating]]&gt;6,EPe_BA_intern_assesment_Raw_data___Sheet13[[#This Row],[Customer Rating]]&lt;9), EPe_BA_intern_assesment_Raw_data___Sheet13[[#This Row],[Customer Rating]], "")</f>
        <v/>
      </c>
      <c r="R800">
        <f>IF(EPe_BA_intern_assesment_Raw_data___Sheet13[[#This Row],[Customer Rating]]&lt;7,EPe_BA_intern_assesment_Raw_data___Sheet13[[#This Row],[Customer Rating]])</f>
        <v>0</v>
      </c>
    </row>
    <row r="801" spans="1:18" x14ac:dyDescent="0.3">
      <c r="A801" t="s">
        <v>829</v>
      </c>
      <c r="B801" t="s">
        <v>21</v>
      </c>
      <c r="C801" t="s">
        <v>24</v>
      </c>
      <c r="D801" s="1">
        <v>45932</v>
      </c>
      <c r="E801" s="1"/>
      <c r="F801" s="1"/>
      <c r="G801" s="1"/>
      <c r="H801" t="s">
        <v>25</v>
      </c>
      <c r="I801" t="s">
        <v>65</v>
      </c>
      <c r="J801" s="1"/>
      <c r="P801" t="b">
        <f>IF(EPe_BA_intern_assesment_Raw_data___Sheet13[[#This Row],[Customer Rating]]&gt;8,EPe_BA_intern_assesment_Raw_data___Sheet13[[#This Row],[Customer Rating]])</f>
        <v>0</v>
      </c>
      <c r="Q801" t="str">
        <f>IF(AND(EPe_BA_intern_assesment_Raw_data___Sheet13[[#This Row],[Customer Rating]]&gt;6,EPe_BA_intern_assesment_Raw_data___Sheet13[[#This Row],[Customer Rating]]&lt;9), EPe_BA_intern_assesment_Raw_data___Sheet13[[#This Row],[Customer Rating]], "")</f>
        <v/>
      </c>
      <c r="R801">
        <f>IF(EPe_BA_intern_assesment_Raw_data___Sheet13[[#This Row],[Customer Rating]]&lt;7,EPe_BA_intern_assesment_Raw_data___Sheet13[[#This Row],[Customer Rating]])</f>
        <v>0</v>
      </c>
    </row>
    <row r="802" spans="1:18" x14ac:dyDescent="0.3">
      <c r="A802" t="s">
        <v>830</v>
      </c>
      <c r="B802" t="s">
        <v>16</v>
      </c>
      <c r="C802" t="s">
        <v>24</v>
      </c>
      <c r="D802" s="1">
        <v>45961</v>
      </c>
      <c r="E802" s="1"/>
      <c r="F802" s="1"/>
      <c r="G802" s="1"/>
      <c r="H802" t="s">
        <v>25</v>
      </c>
      <c r="I802" t="s">
        <v>26</v>
      </c>
      <c r="J802" s="1"/>
      <c r="P802" t="b">
        <f>IF(EPe_BA_intern_assesment_Raw_data___Sheet13[[#This Row],[Customer Rating]]&gt;8,EPe_BA_intern_assesment_Raw_data___Sheet13[[#This Row],[Customer Rating]])</f>
        <v>0</v>
      </c>
      <c r="Q802" t="str">
        <f>IF(AND(EPe_BA_intern_assesment_Raw_data___Sheet13[[#This Row],[Customer Rating]]&gt;6,EPe_BA_intern_assesment_Raw_data___Sheet13[[#This Row],[Customer Rating]]&lt;9), EPe_BA_intern_assesment_Raw_data___Sheet13[[#This Row],[Customer Rating]], "")</f>
        <v/>
      </c>
      <c r="R802">
        <f>IF(EPe_BA_intern_assesment_Raw_data___Sheet13[[#This Row],[Customer Rating]]&lt;7,EPe_BA_intern_assesment_Raw_data___Sheet13[[#This Row],[Customer Rating]])</f>
        <v>0</v>
      </c>
    </row>
    <row r="803" spans="1:18" x14ac:dyDescent="0.3">
      <c r="A803" t="s">
        <v>831</v>
      </c>
      <c r="B803" t="s">
        <v>23</v>
      </c>
      <c r="C803" t="s">
        <v>17</v>
      </c>
      <c r="D803" s="1">
        <v>45932</v>
      </c>
      <c r="E803" s="1">
        <v>45934</v>
      </c>
      <c r="F803" s="1">
        <v>45936</v>
      </c>
      <c r="G803" s="1">
        <v>45939</v>
      </c>
      <c r="H803" t="s">
        <v>25</v>
      </c>
      <c r="I803" t="s">
        <v>103</v>
      </c>
      <c r="J803" s="1"/>
      <c r="K803">
        <v>2</v>
      </c>
      <c r="L803">
        <v>2</v>
      </c>
      <c r="M803">
        <v>3</v>
      </c>
      <c r="O803">
        <v>7</v>
      </c>
      <c r="P803" t="b">
        <f>IF(EPe_BA_intern_assesment_Raw_data___Sheet13[[#This Row],[Customer Rating]]&gt;8,EPe_BA_intern_assesment_Raw_data___Sheet13[[#This Row],[Customer Rating]])</f>
        <v>0</v>
      </c>
      <c r="Q803" t="str">
        <f>IF(AND(EPe_BA_intern_assesment_Raw_data___Sheet13[[#This Row],[Customer Rating]]&gt;6,EPe_BA_intern_assesment_Raw_data___Sheet13[[#This Row],[Customer Rating]]&lt;9), EPe_BA_intern_assesment_Raw_data___Sheet13[[#This Row],[Customer Rating]], "")</f>
        <v/>
      </c>
      <c r="R803">
        <f>IF(EPe_BA_intern_assesment_Raw_data___Sheet13[[#This Row],[Customer Rating]]&lt;7,EPe_BA_intern_assesment_Raw_data___Sheet13[[#This Row],[Customer Rating]])</f>
        <v>0</v>
      </c>
    </row>
    <row r="804" spans="1:18" x14ac:dyDescent="0.3">
      <c r="A804" t="s">
        <v>832</v>
      </c>
      <c r="B804" t="s">
        <v>16</v>
      </c>
      <c r="C804" t="s">
        <v>17</v>
      </c>
      <c r="D804" s="1">
        <v>45940</v>
      </c>
      <c r="E804" s="1">
        <v>45945</v>
      </c>
      <c r="F804" s="1">
        <v>45950</v>
      </c>
      <c r="G804" s="1">
        <v>45955</v>
      </c>
      <c r="H804" t="s">
        <v>18</v>
      </c>
      <c r="I804" t="s">
        <v>19</v>
      </c>
      <c r="J804" s="1">
        <v>45983</v>
      </c>
      <c r="K804">
        <v>5</v>
      </c>
      <c r="L804">
        <v>5</v>
      </c>
      <c r="M804">
        <v>5</v>
      </c>
      <c r="N804">
        <v>10</v>
      </c>
      <c r="O804">
        <v>15</v>
      </c>
      <c r="P804">
        <f>IF(EPe_BA_intern_assesment_Raw_data___Sheet13[[#This Row],[Customer Rating]]&gt;8,EPe_BA_intern_assesment_Raw_data___Sheet13[[#This Row],[Customer Rating]])</f>
        <v>10</v>
      </c>
      <c r="Q804" t="str">
        <f>IF(AND(EPe_BA_intern_assesment_Raw_data___Sheet13[[#This Row],[Customer Rating]]&gt;6,EPe_BA_intern_assesment_Raw_data___Sheet13[[#This Row],[Customer Rating]]&lt;9), EPe_BA_intern_assesment_Raw_data___Sheet13[[#This Row],[Customer Rating]], "")</f>
        <v/>
      </c>
      <c r="R804" t="b">
        <f>IF(EPe_BA_intern_assesment_Raw_data___Sheet13[[#This Row],[Customer Rating]]&lt;7,EPe_BA_intern_assesment_Raw_data___Sheet13[[#This Row],[Customer Rating]])</f>
        <v>0</v>
      </c>
    </row>
    <row r="805" spans="1:18" x14ac:dyDescent="0.3">
      <c r="A805" t="s">
        <v>833</v>
      </c>
      <c r="B805" t="s">
        <v>34</v>
      </c>
      <c r="C805" t="s">
        <v>17</v>
      </c>
      <c r="D805" s="1">
        <v>45946</v>
      </c>
      <c r="E805" s="1">
        <v>45949</v>
      </c>
      <c r="F805" s="1">
        <v>45954</v>
      </c>
      <c r="G805" s="1">
        <v>45958</v>
      </c>
      <c r="H805" t="s">
        <v>18</v>
      </c>
      <c r="I805" t="s">
        <v>19</v>
      </c>
      <c r="J805" s="1">
        <v>45984</v>
      </c>
      <c r="K805">
        <v>3</v>
      </c>
      <c r="L805">
        <v>5</v>
      </c>
      <c r="M805">
        <v>4</v>
      </c>
      <c r="N805">
        <v>1</v>
      </c>
      <c r="O805">
        <v>12</v>
      </c>
      <c r="P805" t="b">
        <f>IF(EPe_BA_intern_assesment_Raw_data___Sheet13[[#This Row],[Customer Rating]]&gt;8,EPe_BA_intern_assesment_Raw_data___Sheet13[[#This Row],[Customer Rating]])</f>
        <v>0</v>
      </c>
      <c r="Q805" t="str">
        <f>IF(AND(EPe_BA_intern_assesment_Raw_data___Sheet13[[#This Row],[Customer Rating]]&gt;6,EPe_BA_intern_assesment_Raw_data___Sheet13[[#This Row],[Customer Rating]]&lt;9), EPe_BA_intern_assesment_Raw_data___Sheet13[[#This Row],[Customer Rating]], "")</f>
        <v/>
      </c>
      <c r="R805">
        <f>IF(EPe_BA_intern_assesment_Raw_data___Sheet13[[#This Row],[Customer Rating]]&lt;7,EPe_BA_intern_assesment_Raw_data___Sheet13[[#This Row],[Customer Rating]])</f>
        <v>1</v>
      </c>
    </row>
    <row r="806" spans="1:18" x14ac:dyDescent="0.3">
      <c r="A806" t="s">
        <v>834</v>
      </c>
      <c r="B806" t="s">
        <v>23</v>
      </c>
      <c r="C806" t="s">
        <v>17</v>
      </c>
      <c r="D806" s="1">
        <v>45934</v>
      </c>
      <c r="E806" s="1">
        <v>45936</v>
      </c>
      <c r="F806" s="1">
        <v>45938</v>
      </c>
      <c r="G806" s="1">
        <v>45943</v>
      </c>
      <c r="H806" t="s">
        <v>18</v>
      </c>
      <c r="I806" t="s">
        <v>19</v>
      </c>
      <c r="J806" s="1">
        <v>45958</v>
      </c>
      <c r="K806">
        <v>2</v>
      </c>
      <c r="L806">
        <v>2</v>
      </c>
      <c r="M806">
        <v>5</v>
      </c>
      <c r="N806">
        <v>9</v>
      </c>
      <c r="O806">
        <v>9</v>
      </c>
      <c r="P806">
        <f>IF(EPe_BA_intern_assesment_Raw_data___Sheet13[[#This Row],[Customer Rating]]&gt;8,EPe_BA_intern_assesment_Raw_data___Sheet13[[#This Row],[Customer Rating]])</f>
        <v>9</v>
      </c>
      <c r="Q806" t="str">
        <f>IF(AND(EPe_BA_intern_assesment_Raw_data___Sheet13[[#This Row],[Customer Rating]]&gt;6,EPe_BA_intern_assesment_Raw_data___Sheet13[[#This Row],[Customer Rating]]&lt;9), EPe_BA_intern_assesment_Raw_data___Sheet13[[#This Row],[Customer Rating]], "")</f>
        <v/>
      </c>
      <c r="R806" t="b">
        <f>IF(EPe_BA_intern_assesment_Raw_data___Sheet13[[#This Row],[Customer Rating]]&lt;7,EPe_BA_intern_assesment_Raw_data___Sheet13[[#This Row],[Customer Rating]])</f>
        <v>0</v>
      </c>
    </row>
    <row r="807" spans="1:18" x14ac:dyDescent="0.3">
      <c r="A807" t="s">
        <v>835</v>
      </c>
      <c r="B807" t="s">
        <v>21</v>
      </c>
      <c r="C807" t="s">
        <v>24</v>
      </c>
      <c r="D807" s="1">
        <v>45934</v>
      </c>
      <c r="E807" s="1"/>
      <c r="F807" s="1"/>
      <c r="G807" s="1"/>
      <c r="H807" t="s">
        <v>25</v>
      </c>
      <c r="I807" t="s">
        <v>26</v>
      </c>
      <c r="J807" s="1"/>
      <c r="P807" t="b">
        <f>IF(EPe_BA_intern_assesment_Raw_data___Sheet13[[#This Row],[Customer Rating]]&gt;8,EPe_BA_intern_assesment_Raw_data___Sheet13[[#This Row],[Customer Rating]])</f>
        <v>0</v>
      </c>
      <c r="Q807" t="str">
        <f>IF(AND(EPe_BA_intern_assesment_Raw_data___Sheet13[[#This Row],[Customer Rating]]&gt;6,EPe_BA_intern_assesment_Raw_data___Sheet13[[#This Row],[Customer Rating]]&lt;9), EPe_BA_intern_assesment_Raw_data___Sheet13[[#This Row],[Customer Rating]], "")</f>
        <v/>
      </c>
      <c r="R807">
        <f>IF(EPe_BA_intern_assesment_Raw_data___Sheet13[[#This Row],[Customer Rating]]&lt;7,EPe_BA_intern_assesment_Raw_data___Sheet13[[#This Row],[Customer Rating]])</f>
        <v>0</v>
      </c>
    </row>
    <row r="808" spans="1:18" x14ac:dyDescent="0.3">
      <c r="A808" t="s">
        <v>836</v>
      </c>
      <c r="B808" t="s">
        <v>23</v>
      </c>
      <c r="C808" t="s">
        <v>32</v>
      </c>
      <c r="D808" s="1">
        <v>45938</v>
      </c>
      <c r="E808" s="1">
        <v>45941</v>
      </c>
      <c r="F808" s="1">
        <v>45945</v>
      </c>
      <c r="G808" s="1">
        <v>45949</v>
      </c>
      <c r="H808" t="s">
        <v>18</v>
      </c>
      <c r="I808" t="s">
        <v>19</v>
      </c>
      <c r="J808" s="1">
        <v>45962</v>
      </c>
      <c r="K808">
        <v>3</v>
      </c>
      <c r="L808">
        <v>4</v>
      </c>
      <c r="M808">
        <v>4</v>
      </c>
      <c r="N808">
        <v>3</v>
      </c>
      <c r="O808">
        <v>11</v>
      </c>
      <c r="P808" t="b">
        <f>IF(EPe_BA_intern_assesment_Raw_data___Sheet13[[#This Row],[Customer Rating]]&gt;8,EPe_BA_intern_assesment_Raw_data___Sheet13[[#This Row],[Customer Rating]])</f>
        <v>0</v>
      </c>
      <c r="Q808" t="str">
        <f>IF(AND(EPe_BA_intern_assesment_Raw_data___Sheet13[[#This Row],[Customer Rating]]&gt;6,EPe_BA_intern_assesment_Raw_data___Sheet13[[#This Row],[Customer Rating]]&lt;9), EPe_BA_intern_assesment_Raw_data___Sheet13[[#This Row],[Customer Rating]], "")</f>
        <v/>
      </c>
      <c r="R808">
        <f>IF(EPe_BA_intern_assesment_Raw_data___Sheet13[[#This Row],[Customer Rating]]&lt;7,EPe_BA_intern_assesment_Raw_data___Sheet13[[#This Row],[Customer Rating]])</f>
        <v>3</v>
      </c>
    </row>
    <row r="809" spans="1:18" x14ac:dyDescent="0.3">
      <c r="A809" t="s">
        <v>837</v>
      </c>
      <c r="B809" t="s">
        <v>21</v>
      </c>
      <c r="C809" t="s">
        <v>17</v>
      </c>
      <c r="D809" s="1">
        <v>45959</v>
      </c>
      <c r="E809" s="1">
        <v>45964</v>
      </c>
      <c r="F809" s="1">
        <v>45966</v>
      </c>
      <c r="G809" s="1">
        <v>45968</v>
      </c>
      <c r="H809" t="s">
        <v>18</v>
      </c>
      <c r="I809" t="s">
        <v>19</v>
      </c>
      <c r="J809" s="1">
        <v>45989</v>
      </c>
      <c r="K809">
        <v>5</v>
      </c>
      <c r="L809">
        <v>2</v>
      </c>
      <c r="M809">
        <v>2</v>
      </c>
      <c r="N809">
        <v>2</v>
      </c>
      <c r="O809">
        <v>9</v>
      </c>
      <c r="P809" t="b">
        <f>IF(EPe_BA_intern_assesment_Raw_data___Sheet13[[#This Row],[Customer Rating]]&gt;8,EPe_BA_intern_assesment_Raw_data___Sheet13[[#This Row],[Customer Rating]])</f>
        <v>0</v>
      </c>
      <c r="Q809" t="str">
        <f>IF(AND(EPe_BA_intern_assesment_Raw_data___Sheet13[[#This Row],[Customer Rating]]&gt;6,EPe_BA_intern_assesment_Raw_data___Sheet13[[#This Row],[Customer Rating]]&lt;9), EPe_BA_intern_assesment_Raw_data___Sheet13[[#This Row],[Customer Rating]], "")</f>
        <v/>
      </c>
      <c r="R809">
        <f>IF(EPe_BA_intern_assesment_Raw_data___Sheet13[[#This Row],[Customer Rating]]&lt;7,EPe_BA_intern_assesment_Raw_data___Sheet13[[#This Row],[Customer Rating]])</f>
        <v>2</v>
      </c>
    </row>
    <row r="810" spans="1:18" x14ac:dyDescent="0.3">
      <c r="A810" t="s">
        <v>838</v>
      </c>
      <c r="B810" t="s">
        <v>23</v>
      </c>
      <c r="C810" t="s">
        <v>32</v>
      </c>
      <c r="D810" s="1">
        <v>45948</v>
      </c>
      <c r="E810" s="1">
        <v>45953</v>
      </c>
      <c r="F810" s="1">
        <v>45955</v>
      </c>
      <c r="G810" s="1">
        <v>45957</v>
      </c>
      <c r="H810" t="s">
        <v>18</v>
      </c>
      <c r="I810" t="s">
        <v>19</v>
      </c>
      <c r="J810" s="1">
        <v>45987</v>
      </c>
      <c r="K810">
        <v>5</v>
      </c>
      <c r="L810">
        <v>2</v>
      </c>
      <c r="M810">
        <v>2</v>
      </c>
      <c r="N810">
        <v>5</v>
      </c>
      <c r="O810">
        <v>9</v>
      </c>
      <c r="P810" t="b">
        <f>IF(EPe_BA_intern_assesment_Raw_data___Sheet13[[#This Row],[Customer Rating]]&gt;8,EPe_BA_intern_assesment_Raw_data___Sheet13[[#This Row],[Customer Rating]])</f>
        <v>0</v>
      </c>
      <c r="Q810" t="str">
        <f>IF(AND(EPe_BA_intern_assesment_Raw_data___Sheet13[[#This Row],[Customer Rating]]&gt;6,EPe_BA_intern_assesment_Raw_data___Sheet13[[#This Row],[Customer Rating]]&lt;9), EPe_BA_intern_assesment_Raw_data___Sheet13[[#This Row],[Customer Rating]], "")</f>
        <v/>
      </c>
      <c r="R810">
        <f>IF(EPe_BA_intern_assesment_Raw_data___Sheet13[[#This Row],[Customer Rating]]&lt;7,EPe_BA_intern_assesment_Raw_data___Sheet13[[#This Row],[Customer Rating]])</f>
        <v>5</v>
      </c>
    </row>
    <row r="811" spans="1:18" x14ac:dyDescent="0.3">
      <c r="A811" t="s">
        <v>839</v>
      </c>
      <c r="B811" t="s">
        <v>23</v>
      </c>
      <c r="C811" t="s">
        <v>17</v>
      </c>
      <c r="D811" s="1">
        <v>45935</v>
      </c>
      <c r="E811" s="1">
        <v>45936</v>
      </c>
      <c r="F811" s="1">
        <v>45939</v>
      </c>
      <c r="G811" s="1">
        <v>45942</v>
      </c>
      <c r="H811" t="s">
        <v>18</v>
      </c>
      <c r="I811" t="s">
        <v>19</v>
      </c>
      <c r="J811" s="1">
        <v>45953</v>
      </c>
      <c r="K811">
        <v>1</v>
      </c>
      <c r="L811">
        <v>3</v>
      </c>
      <c r="M811">
        <v>3</v>
      </c>
      <c r="N811">
        <v>1</v>
      </c>
      <c r="O811">
        <v>7</v>
      </c>
      <c r="P811" t="b">
        <f>IF(EPe_BA_intern_assesment_Raw_data___Sheet13[[#This Row],[Customer Rating]]&gt;8,EPe_BA_intern_assesment_Raw_data___Sheet13[[#This Row],[Customer Rating]])</f>
        <v>0</v>
      </c>
      <c r="Q811" t="str">
        <f>IF(AND(EPe_BA_intern_assesment_Raw_data___Sheet13[[#This Row],[Customer Rating]]&gt;6,EPe_BA_intern_assesment_Raw_data___Sheet13[[#This Row],[Customer Rating]]&lt;9), EPe_BA_intern_assesment_Raw_data___Sheet13[[#This Row],[Customer Rating]], "")</f>
        <v/>
      </c>
      <c r="R811">
        <f>IF(EPe_BA_intern_assesment_Raw_data___Sheet13[[#This Row],[Customer Rating]]&lt;7,EPe_BA_intern_assesment_Raw_data___Sheet13[[#This Row],[Customer Rating]])</f>
        <v>1</v>
      </c>
    </row>
    <row r="812" spans="1:18" x14ac:dyDescent="0.3">
      <c r="A812" t="s">
        <v>840</v>
      </c>
      <c r="B812" t="s">
        <v>23</v>
      </c>
      <c r="C812" t="s">
        <v>24</v>
      </c>
      <c r="D812" s="1">
        <v>45943</v>
      </c>
      <c r="E812" s="1"/>
      <c r="F812" s="1"/>
      <c r="G812" s="1"/>
      <c r="H812" t="s">
        <v>25</v>
      </c>
      <c r="I812" t="s">
        <v>65</v>
      </c>
      <c r="J812" s="1"/>
      <c r="P812" t="b">
        <f>IF(EPe_BA_intern_assesment_Raw_data___Sheet13[[#This Row],[Customer Rating]]&gt;8,EPe_BA_intern_assesment_Raw_data___Sheet13[[#This Row],[Customer Rating]])</f>
        <v>0</v>
      </c>
      <c r="Q812" t="str">
        <f>IF(AND(EPe_BA_intern_assesment_Raw_data___Sheet13[[#This Row],[Customer Rating]]&gt;6,EPe_BA_intern_assesment_Raw_data___Sheet13[[#This Row],[Customer Rating]]&lt;9), EPe_BA_intern_assesment_Raw_data___Sheet13[[#This Row],[Customer Rating]], "")</f>
        <v/>
      </c>
      <c r="R812">
        <f>IF(EPe_BA_intern_assesment_Raw_data___Sheet13[[#This Row],[Customer Rating]]&lt;7,EPe_BA_intern_assesment_Raw_data___Sheet13[[#This Row],[Customer Rating]])</f>
        <v>0</v>
      </c>
    </row>
    <row r="813" spans="1:18" x14ac:dyDescent="0.3">
      <c r="A813" t="s">
        <v>841</v>
      </c>
      <c r="B813" t="s">
        <v>34</v>
      </c>
      <c r="C813" t="s">
        <v>17</v>
      </c>
      <c r="D813" s="1">
        <v>45945</v>
      </c>
      <c r="E813" s="1">
        <v>45950</v>
      </c>
      <c r="F813" s="1">
        <v>45953</v>
      </c>
      <c r="G813" s="1">
        <v>45960</v>
      </c>
      <c r="H813" t="s">
        <v>18</v>
      </c>
      <c r="I813" t="s">
        <v>19</v>
      </c>
      <c r="J813" s="1">
        <v>45982</v>
      </c>
      <c r="K813">
        <v>5</v>
      </c>
      <c r="L813">
        <v>3</v>
      </c>
      <c r="M813">
        <v>7</v>
      </c>
      <c r="N813">
        <v>7</v>
      </c>
      <c r="O813">
        <v>15</v>
      </c>
      <c r="P813" t="b">
        <f>IF(EPe_BA_intern_assesment_Raw_data___Sheet13[[#This Row],[Customer Rating]]&gt;8,EPe_BA_intern_assesment_Raw_data___Sheet13[[#This Row],[Customer Rating]])</f>
        <v>0</v>
      </c>
      <c r="Q813">
        <f>IF(AND(EPe_BA_intern_assesment_Raw_data___Sheet13[[#This Row],[Customer Rating]]&gt;6,EPe_BA_intern_assesment_Raw_data___Sheet13[[#This Row],[Customer Rating]]&lt;9), EPe_BA_intern_assesment_Raw_data___Sheet13[[#This Row],[Customer Rating]], "")</f>
        <v>7</v>
      </c>
      <c r="R813" t="b">
        <f>IF(EPe_BA_intern_assesment_Raw_data___Sheet13[[#This Row],[Customer Rating]]&lt;7,EPe_BA_intern_assesment_Raw_data___Sheet13[[#This Row],[Customer Rating]])</f>
        <v>0</v>
      </c>
    </row>
    <row r="814" spans="1:18" x14ac:dyDescent="0.3">
      <c r="A814" t="s">
        <v>842</v>
      </c>
      <c r="B814" t="s">
        <v>34</v>
      </c>
      <c r="C814" t="s">
        <v>32</v>
      </c>
      <c r="D814" s="1">
        <v>45942</v>
      </c>
      <c r="E814" s="1">
        <v>45944</v>
      </c>
      <c r="F814" s="1">
        <v>45947</v>
      </c>
      <c r="G814" s="1">
        <v>45951</v>
      </c>
      <c r="H814" t="s">
        <v>18</v>
      </c>
      <c r="I814" t="s">
        <v>19</v>
      </c>
      <c r="J814" s="1">
        <v>45981</v>
      </c>
      <c r="K814">
        <v>2</v>
      </c>
      <c r="L814">
        <v>3</v>
      </c>
      <c r="M814">
        <v>4</v>
      </c>
      <c r="N814">
        <v>3</v>
      </c>
      <c r="O814">
        <v>9</v>
      </c>
      <c r="P814" t="b">
        <f>IF(EPe_BA_intern_assesment_Raw_data___Sheet13[[#This Row],[Customer Rating]]&gt;8,EPe_BA_intern_assesment_Raw_data___Sheet13[[#This Row],[Customer Rating]])</f>
        <v>0</v>
      </c>
      <c r="Q814" t="str">
        <f>IF(AND(EPe_BA_intern_assesment_Raw_data___Sheet13[[#This Row],[Customer Rating]]&gt;6,EPe_BA_intern_assesment_Raw_data___Sheet13[[#This Row],[Customer Rating]]&lt;9), EPe_BA_intern_assesment_Raw_data___Sheet13[[#This Row],[Customer Rating]], "")</f>
        <v/>
      </c>
      <c r="R814">
        <f>IF(EPe_BA_intern_assesment_Raw_data___Sheet13[[#This Row],[Customer Rating]]&lt;7,EPe_BA_intern_assesment_Raw_data___Sheet13[[#This Row],[Customer Rating]])</f>
        <v>3</v>
      </c>
    </row>
    <row r="815" spans="1:18" x14ac:dyDescent="0.3">
      <c r="A815" t="s">
        <v>843</v>
      </c>
      <c r="B815" t="s">
        <v>16</v>
      </c>
      <c r="C815" t="s">
        <v>24</v>
      </c>
      <c r="D815" s="1">
        <v>45952</v>
      </c>
      <c r="E815" s="1"/>
      <c r="F815" s="1"/>
      <c r="G815" s="1"/>
      <c r="H815" t="s">
        <v>25</v>
      </c>
      <c r="I815" t="s">
        <v>26</v>
      </c>
      <c r="J815" s="1"/>
      <c r="P815" t="b">
        <f>IF(EPe_BA_intern_assesment_Raw_data___Sheet13[[#This Row],[Customer Rating]]&gt;8,EPe_BA_intern_assesment_Raw_data___Sheet13[[#This Row],[Customer Rating]])</f>
        <v>0</v>
      </c>
      <c r="Q815" t="str">
        <f>IF(AND(EPe_BA_intern_assesment_Raw_data___Sheet13[[#This Row],[Customer Rating]]&gt;6,EPe_BA_intern_assesment_Raw_data___Sheet13[[#This Row],[Customer Rating]]&lt;9), EPe_BA_intern_assesment_Raw_data___Sheet13[[#This Row],[Customer Rating]], "")</f>
        <v/>
      </c>
      <c r="R815">
        <f>IF(EPe_BA_intern_assesment_Raw_data___Sheet13[[#This Row],[Customer Rating]]&lt;7,EPe_BA_intern_assesment_Raw_data___Sheet13[[#This Row],[Customer Rating]])</f>
        <v>0</v>
      </c>
    </row>
    <row r="816" spans="1:18" x14ac:dyDescent="0.3">
      <c r="A816" t="s">
        <v>844</v>
      </c>
      <c r="B816" t="s">
        <v>16</v>
      </c>
      <c r="C816" t="s">
        <v>17</v>
      </c>
      <c r="D816" s="1">
        <v>45961</v>
      </c>
      <c r="E816" s="1">
        <v>45966</v>
      </c>
      <c r="F816" s="1">
        <v>45970</v>
      </c>
      <c r="G816" s="1">
        <v>45977</v>
      </c>
      <c r="H816" t="s">
        <v>18</v>
      </c>
      <c r="I816" t="s">
        <v>19</v>
      </c>
      <c r="J816" s="1">
        <v>45995</v>
      </c>
      <c r="K816">
        <v>5</v>
      </c>
      <c r="L816">
        <v>4</v>
      </c>
      <c r="M816">
        <v>7</v>
      </c>
      <c r="N816">
        <v>2</v>
      </c>
      <c r="O816">
        <v>16</v>
      </c>
      <c r="P816" t="b">
        <f>IF(EPe_BA_intern_assesment_Raw_data___Sheet13[[#This Row],[Customer Rating]]&gt;8,EPe_BA_intern_assesment_Raw_data___Sheet13[[#This Row],[Customer Rating]])</f>
        <v>0</v>
      </c>
      <c r="Q816" t="str">
        <f>IF(AND(EPe_BA_intern_assesment_Raw_data___Sheet13[[#This Row],[Customer Rating]]&gt;6,EPe_BA_intern_assesment_Raw_data___Sheet13[[#This Row],[Customer Rating]]&lt;9), EPe_BA_intern_assesment_Raw_data___Sheet13[[#This Row],[Customer Rating]], "")</f>
        <v/>
      </c>
      <c r="R816">
        <f>IF(EPe_BA_intern_assesment_Raw_data___Sheet13[[#This Row],[Customer Rating]]&lt;7,EPe_BA_intern_assesment_Raw_data___Sheet13[[#This Row],[Customer Rating]])</f>
        <v>2</v>
      </c>
    </row>
    <row r="817" spans="1:18" x14ac:dyDescent="0.3">
      <c r="A817" t="s">
        <v>845</v>
      </c>
      <c r="B817" t="s">
        <v>21</v>
      </c>
      <c r="C817" t="s">
        <v>32</v>
      </c>
      <c r="D817" s="1">
        <v>45954</v>
      </c>
      <c r="E817" s="1">
        <v>45959</v>
      </c>
      <c r="F817" s="1">
        <v>45961</v>
      </c>
      <c r="G817" s="1">
        <v>45968</v>
      </c>
      <c r="H817" t="s">
        <v>18</v>
      </c>
      <c r="I817" t="s">
        <v>19</v>
      </c>
      <c r="J817" s="1">
        <v>45995</v>
      </c>
      <c r="K817">
        <v>5</v>
      </c>
      <c r="L817">
        <v>2</v>
      </c>
      <c r="M817">
        <v>7</v>
      </c>
      <c r="N817">
        <v>5</v>
      </c>
      <c r="O817">
        <v>14</v>
      </c>
      <c r="P817" t="b">
        <f>IF(EPe_BA_intern_assesment_Raw_data___Sheet13[[#This Row],[Customer Rating]]&gt;8,EPe_BA_intern_assesment_Raw_data___Sheet13[[#This Row],[Customer Rating]])</f>
        <v>0</v>
      </c>
      <c r="Q817" t="str">
        <f>IF(AND(EPe_BA_intern_assesment_Raw_data___Sheet13[[#This Row],[Customer Rating]]&gt;6,EPe_BA_intern_assesment_Raw_data___Sheet13[[#This Row],[Customer Rating]]&lt;9), EPe_BA_intern_assesment_Raw_data___Sheet13[[#This Row],[Customer Rating]], "")</f>
        <v/>
      </c>
      <c r="R817">
        <f>IF(EPe_BA_intern_assesment_Raw_data___Sheet13[[#This Row],[Customer Rating]]&lt;7,EPe_BA_intern_assesment_Raw_data___Sheet13[[#This Row],[Customer Rating]])</f>
        <v>5</v>
      </c>
    </row>
    <row r="818" spans="1:18" x14ac:dyDescent="0.3">
      <c r="A818" t="s">
        <v>846</v>
      </c>
      <c r="B818" t="s">
        <v>34</v>
      </c>
      <c r="C818" t="s">
        <v>32</v>
      </c>
      <c r="D818" s="1">
        <v>45953</v>
      </c>
      <c r="E818" s="1">
        <v>45955</v>
      </c>
      <c r="F818" s="1">
        <v>45956</v>
      </c>
      <c r="G818" s="1">
        <v>45962</v>
      </c>
      <c r="H818" t="s">
        <v>25</v>
      </c>
      <c r="I818" t="s">
        <v>65</v>
      </c>
      <c r="J818" s="1"/>
      <c r="K818">
        <v>2</v>
      </c>
      <c r="L818">
        <v>1</v>
      </c>
      <c r="M818">
        <v>6</v>
      </c>
      <c r="O818">
        <v>9</v>
      </c>
      <c r="P818" t="b">
        <f>IF(EPe_BA_intern_assesment_Raw_data___Sheet13[[#This Row],[Customer Rating]]&gt;8,EPe_BA_intern_assesment_Raw_data___Sheet13[[#This Row],[Customer Rating]])</f>
        <v>0</v>
      </c>
      <c r="Q818" t="str">
        <f>IF(AND(EPe_BA_intern_assesment_Raw_data___Sheet13[[#This Row],[Customer Rating]]&gt;6,EPe_BA_intern_assesment_Raw_data___Sheet13[[#This Row],[Customer Rating]]&lt;9), EPe_BA_intern_assesment_Raw_data___Sheet13[[#This Row],[Customer Rating]], "")</f>
        <v/>
      </c>
      <c r="R818">
        <f>IF(EPe_BA_intern_assesment_Raw_data___Sheet13[[#This Row],[Customer Rating]]&lt;7,EPe_BA_intern_assesment_Raw_data___Sheet13[[#This Row],[Customer Rating]])</f>
        <v>0</v>
      </c>
    </row>
    <row r="819" spans="1:18" x14ac:dyDescent="0.3">
      <c r="A819" t="s">
        <v>847</v>
      </c>
      <c r="B819" t="s">
        <v>21</v>
      </c>
      <c r="C819" t="s">
        <v>32</v>
      </c>
      <c r="D819" s="1">
        <v>45961</v>
      </c>
      <c r="E819" s="1">
        <v>45963</v>
      </c>
      <c r="F819" s="1">
        <v>45965</v>
      </c>
      <c r="G819" s="1">
        <v>45967</v>
      </c>
      <c r="H819" t="s">
        <v>18</v>
      </c>
      <c r="I819" t="s">
        <v>19</v>
      </c>
      <c r="J819" s="1">
        <v>45996</v>
      </c>
      <c r="K819">
        <v>2</v>
      </c>
      <c r="L819">
        <v>2</v>
      </c>
      <c r="M819">
        <v>2</v>
      </c>
      <c r="N819">
        <v>8</v>
      </c>
      <c r="O819">
        <v>6</v>
      </c>
      <c r="P819" t="b">
        <f>IF(EPe_BA_intern_assesment_Raw_data___Sheet13[[#This Row],[Customer Rating]]&gt;8,EPe_BA_intern_assesment_Raw_data___Sheet13[[#This Row],[Customer Rating]])</f>
        <v>0</v>
      </c>
      <c r="Q819">
        <f>IF(AND(EPe_BA_intern_assesment_Raw_data___Sheet13[[#This Row],[Customer Rating]]&gt;6,EPe_BA_intern_assesment_Raw_data___Sheet13[[#This Row],[Customer Rating]]&lt;9), EPe_BA_intern_assesment_Raw_data___Sheet13[[#This Row],[Customer Rating]], "")</f>
        <v>8</v>
      </c>
      <c r="R819" t="b">
        <f>IF(EPe_BA_intern_assesment_Raw_data___Sheet13[[#This Row],[Customer Rating]]&lt;7,EPe_BA_intern_assesment_Raw_data___Sheet13[[#This Row],[Customer Rating]])</f>
        <v>0</v>
      </c>
    </row>
    <row r="820" spans="1:18" x14ac:dyDescent="0.3">
      <c r="A820" t="s">
        <v>848</v>
      </c>
      <c r="B820" t="s">
        <v>16</v>
      </c>
      <c r="C820" t="s">
        <v>32</v>
      </c>
      <c r="D820" s="1">
        <v>45948</v>
      </c>
      <c r="E820" s="1">
        <v>45953</v>
      </c>
      <c r="F820" s="1">
        <v>45957</v>
      </c>
      <c r="G820" s="1">
        <v>45960</v>
      </c>
      <c r="H820" t="s">
        <v>18</v>
      </c>
      <c r="I820" t="s">
        <v>19</v>
      </c>
      <c r="J820" s="1">
        <v>45971</v>
      </c>
      <c r="K820">
        <v>5</v>
      </c>
      <c r="L820">
        <v>4</v>
      </c>
      <c r="M820">
        <v>3</v>
      </c>
      <c r="N820">
        <v>8</v>
      </c>
      <c r="O820">
        <v>12</v>
      </c>
      <c r="P820" t="b">
        <f>IF(EPe_BA_intern_assesment_Raw_data___Sheet13[[#This Row],[Customer Rating]]&gt;8,EPe_BA_intern_assesment_Raw_data___Sheet13[[#This Row],[Customer Rating]])</f>
        <v>0</v>
      </c>
      <c r="Q820">
        <f>IF(AND(EPe_BA_intern_assesment_Raw_data___Sheet13[[#This Row],[Customer Rating]]&gt;6,EPe_BA_intern_assesment_Raw_data___Sheet13[[#This Row],[Customer Rating]]&lt;9), EPe_BA_intern_assesment_Raw_data___Sheet13[[#This Row],[Customer Rating]], "")</f>
        <v>8</v>
      </c>
      <c r="R820" t="b">
        <f>IF(EPe_BA_intern_assesment_Raw_data___Sheet13[[#This Row],[Customer Rating]]&lt;7,EPe_BA_intern_assesment_Raw_data___Sheet13[[#This Row],[Customer Rating]])</f>
        <v>0</v>
      </c>
    </row>
    <row r="821" spans="1:18" x14ac:dyDescent="0.3">
      <c r="A821" t="s">
        <v>849</v>
      </c>
      <c r="B821" t="s">
        <v>21</v>
      </c>
      <c r="C821" t="s">
        <v>24</v>
      </c>
      <c r="D821" s="1">
        <v>45944</v>
      </c>
      <c r="E821" s="1"/>
      <c r="F821" s="1"/>
      <c r="G821" s="1"/>
      <c r="H821" t="s">
        <v>25</v>
      </c>
      <c r="I821" t="s">
        <v>65</v>
      </c>
      <c r="J821" s="1"/>
      <c r="P821" t="b">
        <f>IF(EPe_BA_intern_assesment_Raw_data___Sheet13[[#This Row],[Customer Rating]]&gt;8,EPe_BA_intern_assesment_Raw_data___Sheet13[[#This Row],[Customer Rating]])</f>
        <v>0</v>
      </c>
      <c r="Q821" t="str">
        <f>IF(AND(EPe_BA_intern_assesment_Raw_data___Sheet13[[#This Row],[Customer Rating]]&gt;6,EPe_BA_intern_assesment_Raw_data___Sheet13[[#This Row],[Customer Rating]]&lt;9), EPe_BA_intern_assesment_Raw_data___Sheet13[[#This Row],[Customer Rating]], "")</f>
        <v/>
      </c>
      <c r="R821">
        <f>IF(EPe_BA_intern_assesment_Raw_data___Sheet13[[#This Row],[Customer Rating]]&lt;7,EPe_BA_intern_assesment_Raw_data___Sheet13[[#This Row],[Customer Rating]])</f>
        <v>0</v>
      </c>
    </row>
    <row r="822" spans="1:18" x14ac:dyDescent="0.3">
      <c r="A822" t="s">
        <v>850</v>
      </c>
      <c r="B822" t="s">
        <v>16</v>
      </c>
      <c r="C822" t="s">
        <v>17</v>
      </c>
      <c r="D822" s="1">
        <v>45949</v>
      </c>
      <c r="E822" s="1">
        <v>45954</v>
      </c>
      <c r="F822" s="1">
        <v>45957</v>
      </c>
      <c r="G822" s="1">
        <v>45961</v>
      </c>
      <c r="H822" t="s">
        <v>18</v>
      </c>
      <c r="I822" t="s">
        <v>19</v>
      </c>
      <c r="J822" s="1">
        <v>45990</v>
      </c>
      <c r="K822">
        <v>5</v>
      </c>
      <c r="L822">
        <v>3</v>
      </c>
      <c r="M822">
        <v>4</v>
      </c>
      <c r="N822">
        <v>2</v>
      </c>
      <c r="O822">
        <v>12</v>
      </c>
      <c r="P822" t="b">
        <f>IF(EPe_BA_intern_assesment_Raw_data___Sheet13[[#This Row],[Customer Rating]]&gt;8,EPe_BA_intern_assesment_Raw_data___Sheet13[[#This Row],[Customer Rating]])</f>
        <v>0</v>
      </c>
      <c r="Q822" t="str">
        <f>IF(AND(EPe_BA_intern_assesment_Raw_data___Sheet13[[#This Row],[Customer Rating]]&gt;6,EPe_BA_intern_assesment_Raw_data___Sheet13[[#This Row],[Customer Rating]]&lt;9), EPe_BA_intern_assesment_Raw_data___Sheet13[[#This Row],[Customer Rating]], "")</f>
        <v/>
      </c>
      <c r="R822">
        <f>IF(EPe_BA_intern_assesment_Raw_data___Sheet13[[#This Row],[Customer Rating]]&lt;7,EPe_BA_intern_assesment_Raw_data___Sheet13[[#This Row],[Customer Rating]])</f>
        <v>2</v>
      </c>
    </row>
    <row r="823" spans="1:18" x14ac:dyDescent="0.3">
      <c r="A823" t="s">
        <v>851</v>
      </c>
      <c r="B823" t="s">
        <v>34</v>
      </c>
      <c r="C823" t="s">
        <v>24</v>
      </c>
      <c r="D823" s="1">
        <v>45954</v>
      </c>
      <c r="E823" s="1"/>
      <c r="F823" s="1"/>
      <c r="G823" s="1"/>
      <c r="H823" t="s">
        <v>25</v>
      </c>
      <c r="I823" t="s">
        <v>35</v>
      </c>
      <c r="J823" s="1"/>
      <c r="P823" t="b">
        <f>IF(EPe_BA_intern_assesment_Raw_data___Sheet13[[#This Row],[Customer Rating]]&gt;8,EPe_BA_intern_assesment_Raw_data___Sheet13[[#This Row],[Customer Rating]])</f>
        <v>0</v>
      </c>
      <c r="Q823" t="str">
        <f>IF(AND(EPe_BA_intern_assesment_Raw_data___Sheet13[[#This Row],[Customer Rating]]&gt;6,EPe_BA_intern_assesment_Raw_data___Sheet13[[#This Row],[Customer Rating]]&lt;9), EPe_BA_intern_assesment_Raw_data___Sheet13[[#This Row],[Customer Rating]], "")</f>
        <v/>
      </c>
      <c r="R823">
        <f>IF(EPe_BA_intern_assesment_Raw_data___Sheet13[[#This Row],[Customer Rating]]&lt;7,EPe_BA_intern_assesment_Raw_data___Sheet13[[#This Row],[Customer Rating]])</f>
        <v>0</v>
      </c>
    </row>
    <row r="824" spans="1:18" x14ac:dyDescent="0.3">
      <c r="A824" t="s">
        <v>852</v>
      </c>
      <c r="B824" t="s">
        <v>23</v>
      </c>
      <c r="C824" t="s">
        <v>17</v>
      </c>
      <c r="D824" s="1">
        <v>45954</v>
      </c>
      <c r="E824" s="1">
        <v>45957</v>
      </c>
      <c r="F824" s="1">
        <v>45961</v>
      </c>
      <c r="G824" s="1">
        <v>45964</v>
      </c>
      <c r="H824" t="s">
        <v>18</v>
      </c>
      <c r="I824" t="s">
        <v>19</v>
      </c>
      <c r="J824" s="1">
        <v>45975</v>
      </c>
      <c r="K824">
        <v>3</v>
      </c>
      <c r="L824">
        <v>4</v>
      </c>
      <c r="M824">
        <v>3</v>
      </c>
      <c r="N824">
        <v>3</v>
      </c>
      <c r="O824">
        <v>10</v>
      </c>
      <c r="P824" t="b">
        <f>IF(EPe_BA_intern_assesment_Raw_data___Sheet13[[#This Row],[Customer Rating]]&gt;8,EPe_BA_intern_assesment_Raw_data___Sheet13[[#This Row],[Customer Rating]])</f>
        <v>0</v>
      </c>
      <c r="Q824" t="str">
        <f>IF(AND(EPe_BA_intern_assesment_Raw_data___Sheet13[[#This Row],[Customer Rating]]&gt;6,EPe_BA_intern_assesment_Raw_data___Sheet13[[#This Row],[Customer Rating]]&lt;9), EPe_BA_intern_assesment_Raw_data___Sheet13[[#This Row],[Customer Rating]], "")</f>
        <v/>
      </c>
      <c r="R824">
        <f>IF(EPe_BA_intern_assesment_Raw_data___Sheet13[[#This Row],[Customer Rating]]&lt;7,EPe_BA_intern_assesment_Raw_data___Sheet13[[#This Row],[Customer Rating]])</f>
        <v>3</v>
      </c>
    </row>
    <row r="825" spans="1:18" x14ac:dyDescent="0.3">
      <c r="A825" t="s">
        <v>853</v>
      </c>
      <c r="B825" t="s">
        <v>34</v>
      </c>
      <c r="C825" t="s">
        <v>32</v>
      </c>
      <c r="D825" s="1">
        <v>45935</v>
      </c>
      <c r="E825" s="1">
        <v>45940</v>
      </c>
      <c r="F825" s="1">
        <v>45943</v>
      </c>
      <c r="G825" s="1">
        <v>45945</v>
      </c>
      <c r="H825" t="s">
        <v>18</v>
      </c>
      <c r="I825" t="s">
        <v>19</v>
      </c>
      <c r="J825" s="1">
        <v>45958</v>
      </c>
      <c r="K825">
        <v>5</v>
      </c>
      <c r="L825">
        <v>3</v>
      </c>
      <c r="M825">
        <v>2</v>
      </c>
      <c r="N825">
        <v>4</v>
      </c>
      <c r="O825">
        <v>10</v>
      </c>
      <c r="P825" t="b">
        <f>IF(EPe_BA_intern_assesment_Raw_data___Sheet13[[#This Row],[Customer Rating]]&gt;8,EPe_BA_intern_assesment_Raw_data___Sheet13[[#This Row],[Customer Rating]])</f>
        <v>0</v>
      </c>
      <c r="Q825" t="str">
        <f>IF(AND(EPe_BA_intern_assesment_Raw_data___Sheet13[[#This Row],[Customer Rating]]&gt;6,EPe_BA_intern_assesment_Raw_data___Sheet13[[#This Row],[Customer Rating]]&lt;9), EPe_BA_intern_assesment_Raw_data___Sheet13[[#This Row],[Customer Rating]], "")</f>
        <v/>
      </c>
      <c r="R825">
        <f>IF(EPe_BA_intern_assesment_Raw_data___Sheet13[[#This Row],[Customer Rating]]&lt;7,EPe_BA_intern_assesment_Raw_data___Sheet13[[#This Row],[Customer Rating]])</f>
        <v>4</v>
      </c>
    </row>
    <row r="826" spans="1:18" x14ac:dyDescent="0.3">
      <c r="A826" t="s">
        <v>854</v>
      </c>
      <c r="B826" t="s">
        <v>21</v>
      </c>
      <c r="C826" t="s">
        <v>17</v>
      </c>
      <c r="D826" s="1">
        <v>45959</v>
      </c>
      <c r="E826" s="1">
        <v>45960</v>
      </c>
      <c r="F826" s="1">
        <v>45964</v>
      </c>
      <c r="G826" s="1">
        <v>45971</v>
      </c>
      <c r="H826" t="s">
        <v>25</v>
      </c>
      <c r="I826" t="s">
        <v>65</v>
      </c>
      <c r="J826" s="1"/>
      <c r="K826">
        <v>1</v>
      </c>
      <c r="L826">
        <v>4</v>
      </c>
      <c r="M826">
        <v>7</v>
      </c>
      <c r="O826">
        <v>12</v>
      </c>
      <c r="P826" t="b">
        <f>IF(EPe_BA_intern_assesment_Raw_data___Sheet13[[#This Row],[Customer Rating]]&gt;8,EPe_BA_intern_assesment_Raw_data___Sheet13[[#This Row],[Customer Rating]])</f>
        <v>0</v>
      </c>
      <c r="Q826" t="str">
        <f>IF(AND(EPe_BA_intern_assesment_Raw_data___Sheet13[[#This Row],[Customer Rating]]&gt;6,EPe_BA_intern_assesment_Raw_data___Sheet13[[#This Row],[Customer Rating]]&lt;9), EPe_BA_intern_assesment_Raw_data___Sheet13[[#This Row],[Customer Rating]], "")</f>
        <v/>
      </c>
      <c r="R826">
        <f>IF(EPe_BA_intern_assesment_Raw_data___Sheet13[[#This Row],[Customer Rating]]&lt;7,EPe_BA_intern_assesment_Raw_data___Sheet13[[#This Row],[Customer Rating]])</f>
        <v>0</v>
      </c>
    </row>
    <row r="827" spans="1:18" x14ac:dyDescent="0.3">
      <c r="A827" t="s">
        <v>855</v>
      </c>
      <c r="B827" t="s">
        <v>21</v>
      </c>
      <c r="C827" t="s">
        <v>32</v>
      </c>
      <c r="D827" s="1">
        <v>45944</v>
      </c>
      <c r="E827" s="1">
        <v>45945</v>
      </c>
      <c r="F827" s="1">
        <v>45946</v>
      </c>
      <c r="G827" s="1">
        <v>45949</v>
      </c>
      <c r="H827" t="s">
        <v>18</v>
      </c>
      <c r="I827" t="s">
        <v>19</v>
      </c>
      <c r="J827" s="1">
        <v>45979</v>
      </c>
      <c r="K827">
        <v>1</v>
      </c>
      <c r="L827">
        <v>1</v>
      </c>
      <c r="M827">
        <v>3</v>
      </c>
      <c r="N827">
        <v>3</v>
      </c>
      <c r="O827">
        <v>5</v>
      </c>
      <c r="P827" t="b">
        <f>IF(EPe_BA_intern_assesment_Raw_data___Sheet13[[#This Row],[Customer Rating]]&gt;8,EPe_BA_intern_assesment_Raw_data___Sheet13[[#This Row],[Customer Rating]])</f>
        <v>0</v>
      </c>
      <c r="Q827" t="str">
        <f>IF(AND(EPe_BA_intern_assesment_Raw_data___Sheet13[[#This Row],[Customer Rating]]&gt;6,EPe_BA_intern_assesment_Raw_data___Sheet13[[#This Row],[Customer Rating]]&lt;9), EPe_BA_intern_assesment_Raw_data___Sheet13[[#This Row],[Customer Rating]], "")</f>
        <v/>
      </c>
      <c r="R827">
        <f>IF(EPe_BA_intern_assesment_Raw_data___Sheet13[[#This Row],[Customer Rating]]&lt;7,EPe_BA_intern_assesment_Raw_data___Sheet13[[#This Row],[Customer Rating]])</f>
        <v>3</v>
      </c>
    </row>
    <row r="828" spans="1:18" x14ac:dyDescent="0.3">
      <c r="A828" t="s">
        <v>856</v>
      </c>
      <c r="B828" t="s">
        <v>34</v>
      </c>
      <c r="C828" t="s">
        <v>17</v>
      </c>
      <c r="D828" s="1">
        <v>45951</v>
      </c>
      <c r="E828" s="1">
        <v>45952</v>
      </c>
      <c r="F828" s="1">
        <v>45955</v>
      </c>
      <c r="G828" s="1">
        <v>45959</v>
      </c>
      <c r="H828" t="s">
        <v>18</v>
      </c>
      <c r="I828" t="s">
        <v>19</v>
      </c>
      <c r="J828" s="1">
        <v>45969</v>
      </c>
      <c r="K828">
        <v>1</v>
      </c>
      <c r="L828">
        <v>3</v>
      </c>
      <c r="M828">
        <v>4</v>
      </c>
      <c r="N828">
        <v>6</v>
      </c>
      <c r="O828">
        <v>8</v>
      </c>
      <c r="P828" t="b">
        <f>IF(EPe_BA_intern_assesment_Raw_data___Sheet13[[#This Row],[Customer Rating]]&gt;8,EPe_BA_intern_assesment_Raw_data___Sheet13[[#This Row],[Customer Rating]])</f>
        <v>0</v>
      </c>
      <c r="Q828" t="str">
        <f>IF(AND(EPe_BA_intern_assesment_Raw_data___Sheet13[[#This Row],[Customer Rating]]&gt;6,EPe_BA_intern_assesment_Raw_data___Sheet13[[#This Row],[Customer Rating]]&lt;9), EPe_BA_intern_assesment_Raw_data___Sheet13[[#This Row],[Customer Rating]], "")</f>
        <v/>
      </c>
      <c r="R828">
        <f>IF(EPe_BA_intern_assesment_Raw_data___Sheet13[[#This Row],[Customer Rating]]&lt;7,EPe_BA_intern_assesment_Raw_data___Sheet13[[#This Row],[Customer Rating]])</f>
        <v>6</v>
      </c>
    </row>
    <row r="829" spans="1:18" x14ac:dyDescent="0.3">
      <c r="A829" t="s">
        <v>857</v>
      </c>
      <c r="B829" t="s">
        <v>34</v>
      </c>
      <c r="C829" t="s">
        <v>24</v>
      </c>
      <c r="D829" s="1">
        <v>45934</v>
      </c>
      <c r="E829" s="1"/>
      <c r="F829" s="1"/>
      <c r="G829" s="1"/>
      <c r="H829" t="s">
        <v>25</v>
      </c>
      <c r="I829" t="s">
        <v>65</v>
      </c>
      <c r="J829" s="1"/>
      <c r="P829" t="b">
        <f>IF(EPe_BA_intern_assesment_Raw_data___Sheet13[[#This Row],[Customer Rating]]&gt;8,EPe_BA_intern_assesment_Raw_data___Sheet13[[#This Row],[Customer Rating]])</f>
        <v>0</v>
      </c>
      <c r="Q829" t="str">
        <f>IF(AND(EPe_BA_intern_assesment_Raw_data___Sheet13[[#This Row],[Customer Rating]]&gt;6,EPe_BA_intern_assesment_Raw_data___Sheet13[[#This Row],[Customer Rating]]&lt;9), EPe_BA_intern_assesment_Raw_data___Sheet13[[#This Row],[Customer Rating]], "")</f>
        <v/>
      </c>
      <c r="R829">
        <f>IF(EPe_BA_intern_assesment_Raw_data___Sheet13[[#This Row],[Customer Rating]]&lt;7,EPe_BA_intern_assesment_Raw_data___Sheet13[[#This Row],[Customer Rating]])</f>
        <v>0</v>
      </c>
    </row>
    <row r="830" spans="1:18" x14ac:dyDescent="0.3">
      <c r="A830" t="s">
        <v>858</v>
      </c>
      <c r="B830" t="s">
        <v>16</v>
      </c>
      <c r="C830" t="s">
        <v>17</v>
      </c>
      <c r="D830" s="1">
        <v>45957</v>
      </c>
      <c r="E830" s="1">
        <v>45958</v>
      </c>
      <c r="F830" s="1">
        <v>45961</v>
      </c>
      <c r="G830" s="1">
        <v>45966</v>
      </c>
      <c r="H830" t="s">
        <v>18</v>
      </c>
      <c r="I830" t="s">
        <v>19</v>
      </c>
      <c r="J830" s="1">
        <v>45977</v>
      </c>
      <c r="K830">
        <v>1</v>
      </c>
      <c r="L830">
        <v>3</v>
      </c>
      <c r="M830">
        <v>5</v>
      </c>
      <c r="N830">
        <v>2</v>
      </c>
      <c r="O830">
        <v>9</v>
      </c>
      <c r="P830" t="b">
        <f>IF(EPe_BA_intern_assesment_Raw_data___Sheet13[[#This Row],[Customer Rating]]&gt;8,EPe_BA_intern_assesment_Raw_data___Sheet13[[#This Row],[Customer Rating]])</f>
        <v>0</v>
      </c>
      <c r="Q830" t="str">
        <f>IF(AND(EPe_BA_intern_assesment_Raw_data___Sheet13[[#This Row],[Customer Rating]]&gt;6,EPe_BA_intern_assesment_Raw_data___Sheet13[[#This Row],[Customer Rating]]&lt;9), EPe_BA_intern_assesment_Raw_data___Sheet13[[#This Row],[Customer Rating]], "")</f>
        <v/>
      </c>
      <c r="R830">
        <f>IF(EPe_BA_intern_assesment_Raw_data___Sheet13[[#This Row],[Customer Rating]]&lt;7,EPe_BA_intern_assesment_Raw_data___Sheet13[[#This Row],[Customer Rating]])</f>
        <v>2</v>
      </c>
    </row>
    <row r="831" spans="1:18" x14ac:dyDescent="0.3">
      <c r="A831" t="s">
        <v>859</v>
      </c>
      <c r="B831" t="s">
        <v>21</v>
      </c>
      <c r="C831" t="s">
        <v>17</v>
      </c>
      <c r="D831" s="1">
        <v>45946</v>
      </c>
      <c r="E831" s="1">
        <v>45951</v>
      </c>
      <c r="F831" s="1">
        <v>45953</v>
      </c>
      <c r="G831" s="1">
        <v>45959</v>
      </c>
      <c r="H831" t="s">
        <v>25</v>
      </c>
      <c r="I831" t="s">
        <v>28</v>
      </c>
      <c r="J831" s="1"/>
      <c r="K831">
        <v>5</v>
      </c>
      <c r="L831">
        <v>2</v>
      </c>
      <c r="M831">
        <v>6</v>
      </c>
      <c r="O831">
        <v>13</v>
      </c>
      <c r="P831" t="b">
        <f>IF(EPe_BA_intern_assesment_Raw_data___Sheet13[[#This Row],[Customer Rating]]&gt;8,EPe_BA_intern_assesment_Raw_data___Sheet13[[#This Row],[Customer Rating]])</f>
        <v>0</v>
      </c>
      <c r="Q831" t="str">
        <f>IF(AND(EPe_BA_intern_assesment_Raw_data___Sheet13[[#This Row],[Customer Rating]]&gt;6,EPe_BA_intern_assesment_Raw_data___Sheet13[[#This Row],[Customer Rating]]&lt;9), EPe_BA_intern_assesment_Raw_data___Sheet13[[#This Row],[Customer Rating]], "")</f>
        <v/>
      </c>
      <c r="R831">
        <f>IF(EPe_BA_intern_assesment_Raw_data___Sheet13[[#This Row],[Customer Rating]]&lt;7,EPe_BA_intern_assesment_Raw_data___Sheet13[[#This Row],[Customer Rating]])</f>
        <v>0</v>
      </c>
    </row>
    <row r="832" spans="1:18" x14ac:dyDescent="0.3">
      <c r="A832" t="s">
        <v>860</v>
      </c>
      <c r="B832" t="s">
        <v>21</v>
      </c>
      <c r="C832" t="s">
        <v>32</v>
      </c>
      <c r="D832" s="1">
        <v>45950</v>
      </c>
      <c r="E832" s="1">
        <v>45953</v>
      </c>
      <c r="F832" s="1">
        <v>45957</v>
      </c>
      <c r="G832" s="1">
        <v>45959</v>
      </c>
      <c r="H832" t="s">
        <v>25</v>
      </c>
      <c r="I832" t="s">
        <v>103</v>
      </c>
      <c r="J832" s="1"/>
      <c r="K832">
        <v>3</v>
      </c>
      <c r="L832">
        <v>4</v>
      </c>
      <c r="M832">
        <v>2</v>
      </c>
      <c r="O832">
        <v>9</v>
      </c>
      <c r="P832" t="b">
        <f>IF(EPe_BA_intern_assesment_Raw_data___Sheet13[[#This Row],[Customer Rating]]&gt;8,EPe_BA_intern_assesment_Raw_data___Sheet13[[#This Row],[Customer Rating]])</f>
        <v>0</v>
      </c>
      <c r="Q832" t="str">
        <f>IF(AND(EPe_BA_intern_assesment_Raw_data___Sheet13[[#This Row],[Customer Rating]]&gt;6,EPe_BA_intern_assesment_Raw_data___Sheet13[[#This Row],[Customer Rating]]&lt;9), EPe_BA_intern_assesment_Raw_data___Sheet13[[#This Row],[Customer Rating]], "")</f>
        <v/>
      </c>
      <c r="R832">
        <f>IF(EPe_BA_intern_assesment_Raw_data___Sheet13[[#This Row],[Customer Rating]]&lt;7,EPe_BA_intern_assesment_Raw_data___Sheet13[[#This Row],[Customer Rating]])</f>
        <v>0</v>
      </c>
    </row>
    <row r="833" spans="1:18" x14ac:dyDescent="0.3">
      <c r="A833" t="s">
        <v>861</v>
      </c>
      <c r="B833" t="s">
        <v>34</v>
      </c>
      <c r="C833" t="s">
        <v>32</v>
      </c>
      <c r="D833" s="1">
        <v>45944</v>
      </c>
      <c r="E833" s="1">
        <v>45946</v>
      </c>
      <c r="F833" s="1">
        <v>45951</v>
      </c>
      <c r="G833" s="1">
        <v>45958</v>
      </c>
      <c r="H833" t="s">
        <v>18</v>
      </c>
      <c r="I833" t="s">
        <v>19</v>
      </c>
      <c r="J833" s="1">
        <v>45971</v>
      </c>
      <c r="K833">
        <v>2</v>
      </c>
      <c r="L833">
        <v>5</v>
      </c>
      <c r="M833">
        <v>7</v>
      </c>
      <c r="N833">
        <v>9</v>
      </c>
      <c r="O833">
        <v>14</v>
      </c>
      <c r="P833">
        <f>IF(EPe_BA_intern_assesment_Raw_data___Sheet13[[#This Row],[Customer Rating]]&gt;8,EPe_BA_intern_assesment_Raw_data___Sheet13[[#This Row],[Customer Rating]])</f>
        <v>9</v>
      </c>
      <c r="Q833" t="str">
        <f>IF(AND(EPe_BA_intern_assesment_Raw_data___Sheet13[[#This Row],[Customer Rating]]&gt;6,EPe_BA_intern_assesment_Raw_data___Sheet13[[#This Row],[Customer Rating]]&lt;9), EPe_BA_intern_assesment_Raw_data___Sheet13[[#This Row],[Customer Rating]], "")</f>
        <v/>
      </c>
      <c r="R833" t="b">
        <f>IF(EPe_BA_intern_assesment_Raw_data___Sheet13[[#This Row],[Customer Rating]]&lt;7,EPe_BA_intern_assesment_Raw_data___Sheet13[[#This Row],[Customer Rating]])</f>
        <v>0</v>
      </c>
    </row>
    <row r="834" spans="1:18" x14ac:dyDescent="0.3">
      <c r="A834" t="s">
        <v>862</v>
      </c>
      <c r="B834" t="s">
        <v>23</v>
      </c>
      <c r="C834" t="s">
        <v>32</v>
      </c>
      <c r="D834" s="1">
        <v>45961</v>
      </c>
      <c r="E834" s="1">
        <v>45966</v>
      </c>
      <c r="F834" s="1">
        <v>45971</v>
      </c>
      <c r="G834" s="1">
        <v>45975</v>
      </c>
      <c r="H834" t="s">
        <v>18</v>
      </c>
      <c r="I834" t="s">
        <v>19</v>
      </c>
      <c r="J834" s="1">
        <v>45998</v>
      </c>
      <c r="K834">
        <v>5</v>
      </c>
      <c r="L834">
        <v>5</v>
      </c>
      <c r="M834">
        <v>4</v>
      </c>
      <c r="N834">
        <v>9</v>
      </c>
      <c r="O834">
        <v>14</v>
      </c>
      <c r="P834">
        <f>IF(EPe_BA_intern_assesment_Raw_data___Sheet13[[#This Row],[Customer Rating]]&gt;8,EPe_BA_intern_assesment_Raw_data___Sheet13[[#This Row],[Customer Rating]])</f>
        <v>9</v>
      </c>
      <c r="Q834" t="str">
        <f>IF(AND(EPe_BA_intern_assesment_Raw_data___Sheet13[[#This Row],[Customer Rating]]&gt;6,EPe_BA_intern_assesment_Raw_data___Sheet13[[#This Row],[Customer Rating]]&lt;9), EPe_BA_intern_assesment_Raw_data___Sheet13[[#This Row],[Customer Rating]], "")</f>
        <v/>
      </c>
      <c r="R834" t="b">
        <f>IF(EPe_BA_intern_assesment_Raw_data___Sheet13[[#This Row],[Customer Rating]]&lt;7,EPe_BA_intern_assesment_Raw_data___Sheet13[[#This Row],[Customer Rating]])</f>
        <v>0</v>
      </c>
    </row>
    <row r="835" spans="1:18" x14ac:dyDescent="0.3">
      <c r="A835" t="s">
        <v>863</v>
      </c>
      <c r="B835" t="s">
        <v>21</v>
      </c>
      <c r="C835" t="s">
        <v>17</v>
      </c>
      <c r="D835" s="1">
        <v>45961</v>
      </c>
      <c r="E835" s="1">
        <v>45965</v>
      </c>
      <c r="F835" s="1">
        <v>45967</v>
      </c>
      <c r="G835" s="1">
        <v>45971</v>
      </c>
      <c r="H835" t="s">
        <v>18</v>
      </c>
      <c r="I835" t="s">
        <v>19</v>
      </c>
      <c r="J835" s="1">
        <v>45995</v>
      </c>
      <c r="K835">
        <v>4</v>
      </c>
      <c r="L835">
        <v>2</v>
      </c>
      <c r="M835">
        <v>4</v>
      </c>
      <c r="N835">
        <v>6</v>
      </c>
      <c r="O835">
        <v>10</v>
      </c>
      <c r="P835" t="b">
        <f>IF(EPe_BA_intern_assesment_Raw_data___Sheet13[[#This Row],[Customer Rating]]&gt;8,EPe_BA_intern_assesment_Raw_data___Sheet13[[#This Row],[Customer Rating]])</f>
        <v>0</v>
      </c>
      <c r="Q835" t="str">
        <f>IF(AND(EPe_BA_intern_assesment_Raw_data___Sheet13[[#This Row],[Customer Rating]]&gt;6,EPe_BA_intern_assesment_Raw_data___Sheet13[[#This Row],[Customer Rating]]&lt;9), EPe_BA_intern_assesment_Raw_data___Sheet13[[#This Row],[Customer Rating]], "")</f>
        <v/>
      </c>
      <c r="R835">
        <f>IF(EPe_BA_intern_assesment_Raw_data___Sheet13[[#This Row],[Customer Rating]]&lt;7,EPe_BA_intern_assesment_Raw_data___Sheet13[[#This Row],[Customer Rating]])</f>
        <v>6</v>
      </c>
    </row>
    <row r="836" spans="1:18" x14ac:dyDescent="0.3">
      <c r="A836" t="s">
        <v>864</v>
      </c>
      <c r="B836" t="s">
        <v>23</v>
      </c>
      <c r="C836" t="s">
        <v>32</v>
      </c>
      <c r="D836" s="1">
        <v>45939</v>
      </c>
      <c r="E836" s="1">
        <v>45944</v>
      </c>
      <c r="F836" s="1">
        <v>45948</v>
      </c>
      <c r="G836" s="1">
        <v>45951</v>
      </c>
      <c r="H836" t="s">
        <v>18</v>
      </c>
      <c r="I836" t="s">
        <v>19</v>
      </c>
      <c r="J836" s="1">
        <v>45973</v>
      </c>
      <c r="K836">
        <v>5</v>
      </c>
      <c r="L836">
        <v>4</v>
      </c>
      <c r="M836">
        <v>3</v>
      </c>
      <c r="N836">
        <v>8</v>
      </c>
      <c r="O836">
        <v>12</v>
      </c>
      <c r="P836" t="b">
        <f>IF(EPe_BA_intern_assesment_Raw_data___Sheet13[[#This Row],[Customer Rating]]&gt;8,EPe_BA_intern_assesment_Raw_data___Sheet13[[#This Row],[Customer Rating]])</f>
        <v>0</v>
      </c>
      <c r="Q836">
        <f>IF(AND(EPe_BA_intern_assesment_Raw_data___Sheet13[[#This Row],[Customer Rating]]&gt;6,EPe_BA_intern_assesment_Raw_data___Sheet13[[#This Row],[Customer Rating]]&lt;9), EPe_BA_intern_assesment_Raw_data___Sheet13[[#This Row],[Customer Rating]], "")</f>
        <v>8</v>
      </c>
      <c r="R836" t="b">
        <f>IF(EPe_BA_intern_assesment_Raw_data___Sheet13[[#This Row],[Customer Rating]]&lt;7,EPe_BA_intern_assesment_Raw_data___Sheet13[[#This Row],[Customer Rating]])</f>
        <v>0</v>
      </c>
    </row>
    <row r="837" spans="1:18" x14ac:dyDescent="0.3">
      <c r="A837" t="s">
        <v>865</v>
      </c>
      <c r="B837" t="s">
        <v>34</v>
      </c>
      <c r="C837" t="s">
        <v>17</v>
      </c>
      <c r="D837" s="1">
        <v>45932</v>
      </c>
      <c r="E837" s="1">
        <v>45933</v>
      </c>
      <c r="F837" s="1">
        <v>45934</v>
      </c>
      <c r="G837" s="1">
        <v>45936</v>
      </c>
      <c r="H837" t="s">
        <v>25</v>
      </c>
      <c r="I837" t="s">
        <v>35</v>
      </c>
      <c r="J837" s="1"/>
      <c r="K837">
        <v>1</v>
      </c>
      <c r="L837">
        <v>1</v>
      </c>
      <c r="M837">
        <v>2</v>
      </c>
      <c r="O837">
        <v>4</v>
      </c>
      <c r="P837" t="b">
        <f>IF(EPe_BA_intern_assesment_Raw_data___Sheet13[[#This Row],[Customer Rating]]&gt;8,EPe_BA_intern_assesment_Raw_data___Sheet13[[#This Row],[Customer Rating]])</f>
        <v>0</v>
      </c>
      <c r="Q837" t="str">
        <f>IF(AND(EPe_BA_intern_assesment_Raw_data___Sheet13[[#This Row],[Customer Rating]]&gt;6,EPe_BA_intern_assesment_Raw_data___Sheet13[[#This Row],[Customer Rating]]&lt;9), EPe_BA_intern_assesment_Raw_data___Sheet13[[#This Row],[Customer Rating]], "")</f>
        <v/>
      </c>
      <c r="R837">
        <f>IF(EPe_BA_intern_assesment_Raw_data___Sheet13[[#This Row],[Customer Rating]]&lt;7,EPe_BA_intern_assesment_Raw_data___Sheet13[[#This Row],[Customer Rating]])</f>
        <v>0</v>
      </c>
    </row>
    <row r="838" spans="1:18" x14ac:dyDescent="0.3">
      <c r="A838" t="s">
        <v>866</v>
      </c>
      <c r="B838" t="s">
        <v>34</v>
      </c>
      <c r="C838" t="s">
        <v>17</v>
      </c>
      <c r="D838" s="1">
        <v>45953</v>
      </c>
      <c r="E838" s="1">
        <v>45957</v>
      </c>
      <c r="F838" s="1">
        <v>45959</v>
      </c>
      <c r="G838" s="1">
        <v>45964</v>
      </c>
      <c r="H838" t="s">
        <v>18</v>
      </c>
      <c r="I838" t="s">
        <v>19</v>
      </c>
      <c r="J838" s="1">
        <v>45977</v>
      </c>
      <c r="K838">
        <v>4</v>
      </c>
      <c r="L838">
        <v>2</v>
      </c>
      <c r="M838">
        <v>5</v>
      </c>
      <c r="N838">
        <v>2</v>
      </c>
      <c r="O838">
        <v>11</v>
      </c>
      <c r="P838" t="b">
        <f>IF(EPe_BA_intern_assesment_Raw_data___Sheet13[[#This Row],[Customer Rating]]&gt;8,EPe_BA_intern_assesment_Raw_data___Sheet13[[#This Row],[Customer Rating]])</f>
        <v>0</v>
      </c>
      <c r="Q838" t="str">
        <f>IF(AND(EPe_BA_intern_assesment_Raw_data___Sheet13[[#This Row],[Customer Rating]]&gt;6,EPe_BA_intern_assesment_Raw_data___Sheet13[[#This Row],[Customer Rating]]&lt;9), EPe_BA_intern_assesment_Raw_data___Sheet13[[#This Row],[Customer Rating]], "")</f>
        <v/>
      </c>
      <c r="R838">
        <f>IF(EPe_BA_intern_assesment_Raw_data___Sheet13[[#This Row],[Customer Rating]]&lt;7,EPe_BA_intern_assesment_Raw_data___Sheet13[[#This Row],[Customer Rating]])</f>
        <v>2</v>
      </c>
    </row>
    <row r="839" spans="1:18" x14ac:dyDescent="0.3">
      <c r="A839" t="s">
        <v>867</v>
      </c>
      <c r="B839" t="s">
        <v>16</v>
      </c>
      <c r="C839" t="s">
        <v>17</v>
      </c>
      <c r="D839" s="1">
        <v>45942</v>
      </c>
      <c r="E839" s="1">
        <v>45947</v>
      </c>
      <c r="F839" s="1">
        <v>45950</v>
      </c>
      <c r="G839" s="1">
        <v>45955</v>
      </c>
      <c r="H839" t="s">
        <v>18</v>
      </c>
      <c r="I839" t="s">
        <v>19</v>
      </c>
      <c r="J839" s="1">
        <v>45982</v>
      </c>
      <c r="K839">
        <v>5</v>
      </c>
      <c r="L839">
        <v>3</v>
      </c>
      <c r="M839">
        <v>5</v>
      </c>
      <c r="N839">
        <v>6</v>
      </c>
      <c r="O839">
        <v>13</v>
      </c>
      <c r="P839" t="b">
        <f>IF(EPe_BA_intern_assesment_Raw_data___Sheet13[[#This Row],[Customer Rating]]&gt;8,EPe_BA_intern_assesment_Raw_data___Sheet13[[#This Row],[Customer Rating]])</f>
        <v>0</v>
      </c>
      <c r="Q839" t="str">
        <f>IF(AND(EPe_BA_intern_assesment_Raw_data___Sheet13[[#This Row],[Customer Rating]]&gt;6,EPe_BA_intern_assesment_Raw_data___Sheet13[[#This Row],[Customer Rating]]&lt;9), EPe_BA_intern_assesment_Raw_data___Sheet13[[#This Row],[Customer Rating]], "")</f>
        <v/>
      </c>
      <c r="R839">
        <f>IF(EPe_BA_intern_assesment_Raw_data___Sheet13[[#This Row],[Customer Rating]]&lt;7,EPe_BA_intern_assesment_Raw_data___Sheet13[[#This Row],[Customer Rating]])</f>
        <v>6</v>
      </c>
    </row>
    <row r="840" spans="1:18" x14ac:dyDescent="0.3">
      <c r="A840" t="s">
        <v>868</v>
      </c>
      <c r="B840" t="s">
        <v>21</v>
      </c>
      <c r="C840" t="s">
        <v>32</v>
      </c>
      <c r="D840" s="1">
        <v>45937</v>
      </c>
      <c r="E840" s="1">
        <v>45940</v>
      </c>
      <c r="F840" s="1">
        <v>45941</v>
      </c>
      <c r="G840" s="1">
        <v>45947</v>
      </c>
      <c r="H840" t="s">
        <v>18</v>
      </c>
      <c r="I840" t="s">
        <v>19</v>
      </c>
      <c r="J840" s="1">
        <v>45965</v>
      </c>
      <c r="K840">
        <v>3</v>
      </c>
      <c r="L840">
        <v>1</v>
      </c>
      <c r="M840">
        <v>6</v>
      </c>
      <c r="N840">
        <v>6</v>
      </c>
      <c r="O840">
        <v>10</v>
      </c>
      <c r="P840" t="b">
        <f>IF(EPe_BA_intern_assesment_Raw_data___Sheet13[[#This Row],[Customer Rating]]&gt;8,EPe_BA_intern_assesment_Raw_data___Sheet13[[#This Row],[Customer Rating]])</f>
        <v>0</v>
      </c>
      <c r="Q840" t="str">
        <f>IF(AND(EPe_BA_intern_assesment_Raw_data___Sheet13[[#This Row],[Customer Rating]]&gt;6,EPe_BA_intern_assesment_Raw_data___Sheet13[[#This Row],[Customer Rating]]&lt;9), EPe_BA_intern_assesment_Raw_data___Sheet13[[#This Row],[Customer Rating]], "")</f>
        <v/>
      </c>
      <c r="R840">
        <f>IF(EPe_BA_intern_assesment_Raw_data___Sheet13[[#This Row],[Customer Rating]]&lt;7,EPe_BA_intern_assesment_Raw_data___Sheet13[[#This Row],[Customer Rating]])</f>
        <v>6</v>
      </c>
    </row>
    <row r="841" spans="1:18" x14ac:dyDescent="0.3">
      <c r="A841" t="s">
        <v>869</v>
      </c>
      <c r="B841" t="s">
        <v>23</v>
      </c>
      <c r="C841" t="s">
        <v>32</v>
      </c>
      <c r="D841" s="1">
        <v>45945</v>
      </c>
      <c r="E841" s="1">
        <v>45948</v>
      </c>
      <c r="F841" s="1">
        <v>45952</v>
      </c>
      <c r="G841" s="1">
        <v>45959</v>
      </c>
      <c r="H841" t="s">
        <v>18</v>
      </c>
      <c r="I841" t="s">
        <v>19</v>
      </c>
      <c r="J841" s="1">
        <v>45984</v>
      </c>
      <c r="K841">
        <v>3</v>
      </c>
      <c r="L841">
        <v>4</v>
      </c>
      <c r="M841">
        <v>7</v>
      </c>
      <c r="N841">
        <v>9</v>
      </c>
      <c r="O841">
        <v>14</v>
      </c>
      <c r="P841">
        <f>IF(EPe_BA_intern_assesment_Raw_data___Sheet13[[#This Row],[Customer Rating]]&gt;8,EPe_BA_intern_assesment_Raw_data___Sheet13[[#This Row],[Customer Rating]])</f>
        <v>9</v>
      </c>
      <c r="Q841" t="str">
        <f>IF(AND(EPe_BA_intern_assesment_Raw_data___Sheet13[[#This Row],[Customer Rating]]&gt;6,EPe_BA_intern_assesment_Raw_data___Sheet13[[#This Row],[Customer Rating]]&lt;9), EPe_BA_intern_assesment_Raw_data___Sheet13[[#This Row],[Customer Rating]], "")</f>
        <v/>
      </c>
      <c r="R841" t="b">
        <f>IF(EPe_BA_intern_assesment_Raw_data___Sheet13[[#This Row],[Customer Rating]]&lt;7,EPe_BA_intern_assesment_Raw_data___Sheet13[[#This Row],[Customer Rating]])</f>
        <v>0</v>
      </c>
    </row>
    <row r="842" spans="1:18" x14ac:dyDescent="0.3">
      <c r="A842" t="s">
        <v>870</v>
      </c>
      <c r="B842" t="s">
        <v>16</v>
      </c>
      <c r="C842" t="s">
        <v>24</v>
      </c>
      <c r="D842" s="1">
        <v>45945</v>
      </c>
      <c r="E842" s="1"/>
      <c r="F842" s="1"/>
      <c r="G842" s="1"/>
      <c r="H842" t="s">
        <v>25</v>
      </c>
      <c r="I842" t="s">
        <v>35</v>
      </c>
      <c r="J842" s="1"/>
      <c r="P842" t="b">
        <f>IF(EPe_BA_intern_assesment_Raw_data___Sheet13[[#This Row],[Customer Rating]]&gt;8,EPe_BA_intern_assesment_Raw_data___Sheet13[[#This Row],[Customer Rating]])</f>
        <v>0</v>
      </c>
      <c r="Q842" t="str">
        <f>IF(AND(EPe_BA_intern_assesment_Raw_data___Sheet13[[#This Row],[Customer Rating]]&gt;6,EPe_BA_intern_assesment_Raw_data___Sheet13[[#This Row],[Customer Rating]]&lt;9), EPe_BA_intern_assesment_Raw_data___Sheet13[[#This Row],[Customer Rating]], "")</f>
        <v/>
      </c>
      <c r="R842">
        <f>IF(EPe_BA_intern_assesment_Raw_data___Sheet13[[#This Row],[Customer Rating]]&lt;7,EPe_BA_intern_assesment_Raw_data___Sheet13[[#This Row],[Customer Rating]])</f>
        <v>0</v>
      </c>
    </row>
    <row r="843" spans="1:18" x14ac:dyDescent="0.3">
      <c r="A843" t="s">
        <v>871</v>
      </c>
      <c r="B843" t="s">
        <v>21</v>
      </c>
      <c r="C843" t="s">
        <v>17</v>
      </c>
      <c r="D843" s="1">
        <v>45961</v>
      </c>
      <c r="E843" s="1">
        <v>45965</v>
      </c>
      <c r="F843" s="1">
        <v>45968</v>
      </c>
      <c r="G843" s="1">
        <v>45974</v>
      </c>
      <c r="H843" t="s">
        <v>18</v>
      </c>
      <c r="I843" t="s">
        <v>19</v>
      </c>
      <c r="J843" s="1">
        <v>45988</v>
      </c>
      <c r="K843">
        <v>4</v>
      </c>
      <c r="L843">
        <v>3</v>
      </c>
      <c r="M843">
        <v>6</v>
      </c>
      <c r="N843">
        <v>9</v>
      </c>
      <c r="O843">
        <v>13</v>
      </c>
      <c r="P843">
        <f>IF(EPe_BA_intern_assesment_Raw_data___Sheet13[[#This Row],[Customer Rating]]&gt;8,EPe_BA_intern_assesment_Raw_data___Sheet13[[#This Row],[Customer Rating]])</f>
        <v>9</v>
      </c>
      <c r="Q843" t="str">
        <f>IF(AND(EPe_BA_intern_assesment_Raw_data___Sheet13[[#This Row],[Customer Rating]]&gt;6,EPe_BA_intern_assesment_Raw_data___Sheet13[[#This Row],[Customer Rating]]&lt;9), EPe_BA_intern_assesment_Raw_data___Sheet13[[#This Row],[Customer Rating]], "")</f>
        <v/>
      </c>
      <c r="R843" t="b">
        <f>IF(EPe_BA_intern_assesment_Raw_data___Sheet13[[#This Row],[Customer Rating]]&lt;7,EPe_BA_intern_assesment_Raw_data___Sheet13[[#This Row],[Customer Rating]])</f>
        <v>0</v>
      </c>
    </row>
    <row r="844" spans="1:18" x14ac:dyDescent="0.3">
      <c r="A844" t="s">
        <v>872</v>
      </c>
      <c r="B844" t="s">
        <v>16</v>
      </c>
      <c r="C844" t="s">
        <v>17</v>
      </c>
      <c r="D844" s="1">
        <v>45938</v>
      </c>
      <c r="E844" s="1">
        <v>45940</v>
      </c>
      <c r="F844" s="1">
        <v>45945</v>
      </c>
      <c r="G844" s="1">
        <v>45948</v>
      </c>
      <c r="H844" t="s">
        <v>18</v>
      </c>
      <c r="I844" t="s">
        <v>19</v>
      </c>
      <c r="J844" s="1">
        <v>45964</v>
      </c>
      <c r="K844">
        <v>2</v>
      </c>
      <c r="L844">
        <v>5</v>
      </c>
      <c r="M844">
        <v>3</v>
      </c>
      <c r="N844">
        <v>0</v>
      </c>
      <c r="O844">
        <v>10</v>
      </c>
      <c r="P844" t="b">
        <f>IF(EPe_BA_intern_assesment_Raw_data___Sheet13[[#This Row],[Customer Rating]]&gt;8,EPe_BA_intern_assesment_Raw_data___Sheet13[[#This Row],[Customer Rating]])</f>
        <v>0</v>
      </c>
      <c r="Q844" t="str">
        <f>IF(AND(EPe_BA_intern_assesment_Raw_data___Sheet13[[#This Row],[Customer Rating]]&gt;6,EPe_BA_intern_assesment_Raw_data___Sheet13[[#This Row],[Customer Rating]]&lt;9), EPe_BA_intern_assesment_Raw_data___Sheet13[[#This Row],[Customer Rating]], "")</f>
        <v/>
      </c>
      <c r="R844">
        <f>IF(EPe_BA_intern_assesment_Raw_data___Sheet13[[#This Row],[Customer Rating]]&lt;7,EPe_BA_intern_assesment_Raw_data___Sheet13[[#This Row],[Customer Rating]])</f>
        <v>0</v>
      </c>
    </row>
    <row r="845" spans="1:18" x14ac:dyDescent="0.3">
      <c r="A845" t="s">
        <v>873</v>
      </c>
      <c r="B845" t="s">
        <v>34</v>
      </c>
      <c r="C845" t="s">
        <v>32</v>
      </c>
      <c r="D845" s="1">
        <v>45958</v>
      </c>
      <c r="E845" s="1">
        <v>45962</v>
      </c>
      <c r="F845" s="1">
        <v>45966</v>
      </c>
      <c r="G845" s="1">
        <v>45968</v>
      </c>
      <c r="H845" t="s">
        <v>25</v>
      </c>
      <c r="I845" t="s">
        <v>35</v>
      </c>
      <c r="J845" s="1"/>
      <c r="K845">
        <v>4</v>
      </c>
      <c r="L845">
        <v>4</v>
      </c>
      <c r="M845">
        <v>2</v>
      </c>
      <c r="O845">
        <v>10</v>
      </c>
      <c r="P845" t="b">
        <f>IF(EPe_BA_intern_assesment_Raw_data___Sheet13[[#This Row],[Customer Rating]]&gt;8,EPe_BA_intern_assesment_Raw_data___Sheet13[[#This Row],[Customer Rating]])</f>
        <v>0</v>
      </c>
      <c r="Q845" t="str">
        <f>IF(AND(EPe_BA_intern_assesment_Raw_data___Sheet13[[#This Row],[Customer Rating]]&gt;6,EPe_BA_intern_assesment_Raw_data___Sheet13[[#This Row],[Customer Rating]]&lt;9), EPe_BA_intern_assesment_Raw_data___Sheet13[[#This Row],[Customer Rating]], "")</f>
        <v/>
      </c>
      <c r="R845">
        <f>IF(EPe_BA_intern_assesment_Raw_data___Sheet13[[#This Row],[Customer Rating]]&lt;7,EPe_BA_intern_assesment_Raw_data___Sheet13[[#This Row],[Customer Rating]])</f>
        <v>0</v>
      </c>
    </row>
    <row r="846" spans="1:18" x14ac:dyDescent="0.3">
      <c r="A846" t="s">
        <v>874</v>
      </c>
      <c r="B846" t="s">
        <v>21</v>
      </c>
      <c r="C846" t="s">
        <v>24</v>
      </c>
      <c r="D846" s="1">
        <v>45942</v>
      </c>
      <c r="E846" s="1"/>
      <c r="F846" s="1"/>
      <c r="G846" s="1"/>
      <c r="H846" t="s">
        <v>25</v>
      </c>
      <c r="I846" t="s">
        <v>28</v>
      </c>
      <c r="J846" s="1"/>
      <c r="P846" t="b">
        <f>IF(EPe_BA_intern_assesment_Raw_data___Sheet13[[#This Row],[Customer Rating]]&gt;8,EPe_BA_intern_assesment_Raw_data___Sheet13[[#This Row],[Customer Rating]])</f>
        <v>0</v>
      </c>
      <c r="Q846" t="str">
        <f>IF(AND(EPe_BA_intern_assesment_Raw_data___Sheet13[[#This Row],[Customer Rating]]&gt;6,EPe_BA_intern_assesment_Raw_data___Sheet13[[#This Row],[Customer Rating]]&lt;9), EPe_BA_intern_assesment_Raw_data___Sheet13[[#This Row],[Customer Rating]], "")</f>
        <v/>
      </c>
      <c r="R846">
        <f>IF(EPe_BA_intern_assesment_Raw_data___Sheet13[[#This Row],[Customer Rating]]&lt;7,EPe_BA_intern_assesment_Raw_data___Sheet13[[#This Row],[Customer Rating]])</f>
        <v>0</v>
      </c>
    </row>
    <row r="847" spans="1:18" x14ac:dyDescent="0.3">
      <c r="A847" t="s">
        <v>875</v>
      </c>
      <c r="B847" t="s">
        <v>16</v>
      </c>
      <c r="C847" t="s">
        <v>17</v>
      </c>
      <c r="D847" s="1">
        <v>45934</v>
      </c>
      <c r="E847" s="1">
        <v>45937</v>
      </c>
      <c r="F847" s="1">
        <v>45940</v>
      </c>
      <c r="G847" s="1">
        <v>45945</v>
      </c>
      <c r="H847" t="s">
        <v>18</v>
      </c>
      <c r="I847" t="s">
        <v>19</v>
      </c>
      <c r="J847" s="1">
        <v>45975</v>
      </c>
      <c r="K847">
        <v>3</v>
      </c>
      <c r="L847">
        <v>3</v>
      </c>
      <c r="M847">
        <v>5</v>
      </c>
      <c r="N847">
        <v>7</v>
      </c>
      <c r="O847">
        <v>11</v>
      </c>
      <c r="P847" t="b">
        <f>IF(EPe_BA_intern_assesment_Raw_data___Sheet13[[#This Row],[Customer Rating]]&gt;8,EPe_BA_intern_assesment_Raw_data___Sheet13[[#This Row],[Customer Rating]])</f>
        <v>0</v>
      </c>
      <c r="Q847">
        <f>IF(AND(EPe_BA_intern_assesment_Raw_data___Sheet13[[#This Row],[Customer Rating]]&gt;6,EPe_BA_intern_assesment_Raw_data___Sheet13[[#This Row],[Customer Rating]]&lt;9), EPe_BA_intern_assesment_Raw_data___Sheet13[[#This Row],[Customer Rating]], "")</f>
        <v>7</v>
      </c>
      <c r="R847" t="b">
        <f>IF(EPe_BA_intern_assesment_Raw_data___Sheet13[[#This Row],[Customer Rating]]&lt;7,EPe_BA_intern_assesment_Raw_data___Sheet13[[#This Row],[Customer Rating]])</f>
        <v>0</v>
      </c>
    </row>
    <row r="848" spans="1:18" x14ac:dyDescent="0.3">
      <c r="A848" t="s">
        <v>876</v>
      </c>
      <c r="B848" t="s">
        <v>16</v>
      </c>
      <c r="C848" t="s">
        <v>17</v>
      </c>
      <c r="D848" s="1">
        <v>45952</v>
      </c>
      <c r="E848" s="1">
        <v>45956</v>
      </c>
      <c r="F848" s="1">
        <v>45960</v>
      </c>
      <c r="G848" s="1">
        <v>45962</v>
      </c>
      <c r="H848" t="s">
        <v>18</v>
      </c>
      <c r="I848" t="s">
        <v>19</v>
      </c>
      <c r="J848" s="1">
        <v>45972</v>
      </c>
      <c r="K848">
        <v>4</v>
      </c>
      <c r="L848">
        <v>4</v>
      </c>
      <c r="M848">
        <v>2</v>
      </c>
      <c r="N848">
        <v>3</v>
      </c>
      <c r="O848">
        <v>10</v>
      </c>
      <c r="P848" t="b">
        <f>IF(EPe_BA_intern_assesment_Raw_data___Sheet13[[#This Row],[Customer Rating]]&gt;8,EPe_BA_intern_assesment_Raw_data___Sheet13[[#This Row],[Customer Rating]])</f>
        <v>0</v>
      </c>
      <c r="Q848" t="str">
        <f>IF(AND(EPe_BA_intern_assesment_Raw_data___Sheet13[[#This Row],[Customer Rating]]&gt;6,EPe_BA_intern_assesment_Raw_data___Sheet13[[#This Row],[Customer Rating]]&lt;9), EPe_BA_intern_assesment_Raw_data___Sheet13[[#This Row],[Customer Rating]], "")</f>
        <v/>
      </c>
      <c r="R848">
        <f>IF(EPe_BA_intern_assesment_Raw_data___Sheet13[[#This Row],[Customer Rating]]&lt;7,EPe_BA_intern_assesment_Raw_data___Sheet13[[#This Row],[Customer Rating]])</f>
        <v>3</v>
      </c>
    </row>
    <row r="849" spans="1:18" x14ac:dyDescent="0.3">
      <c r="A849" t="s">
        <v>877</v>
      </c>
      <c r="B849" t="s">
        <v>23</v>
      </c>
      <c r="C849" t="s">
        <v>24</v>
      </c>
      <c r="D849" s="1">
        <v>45942</v>
      </c>
      <c r="E849" s="1"/>
      <c r="F849" s="1"/>
      <c r="G849" s="1"/>
      <c r="H849" t="s">
        <v>25</v>
      </c>
      <c r="I849" t="s">
        <v>65</v>
      </c>
      <c r="J849" s="1"/>
      <c r="P849" t="b">
        <f>IF(EPe_BA_intern_assesment_Raw_data___Sheet13[[#This Row],[Customer Rating]]&gt;8,EPe_BA_intern_assesment_Raw_data___Sheet13[[#This Row],[Customer Rating]])</f>
        <v>0</v>
      </c>
      <c r="Q849" t="str">
        <f>IF(AND(EPe_BA_intern_assesment_Raw_data___Sheet13[[#This Row],[Customer Rating]]&gt;6,EPe_BA_intern_assesment_Raw_data___Sheet13[[#This Row],[Customer Rating]]&lt;9), EPe_BA_intern_assesment_Raw_data___Sheet13[[#This Row],[Customer Rating]], "")</f>
        <v/>
      </c>
      <c r="R849">
        <f>IF(EPe_BA_intern_assesment_Raw_data___Sheet13[[#This Row],[Customer Rating]]&lt;7,EPe_BA_intern_assesment_Raw_data___Sheet13[[#This Row],[Customer Rating]])</f>
        <v>0</v>
      </c>
    </row>
    <row r="850" spans="1:18" x14ac:dyDescent="0.3">
      <c r="A850" t="s">
        <v>878</v>
      </c>
      <c r="B850" t="s">
        <v>16</v>
      </c>
      <c r="C850" t="s">
        <v>32</v>
      </c>
      <c r="D850" s="1">
        <v>45948</v>
      </c>
      <c r="E850" s="1">
        <v>45949</v>
      </c>
      <c r="F850" s="1">
        <v>45952</v>
      </c>
      <c r="G850" s="1">
        <v>45955</v>
      </c>
      <c r="H850" t="s">
        <v>18</v>
      </c>
      <c r="I850" t="s">
        <v>19</v>
      </c>
      <c r="J850" s="1">
        <v>45974</v>
      </c>
      <c r="K850">
        <v>1</v>
      </c>
      <c r="L850">
        <v>3</v>
      </c>
      <c r="M850">
        <v>3</v>
      </c>
      <c r="N850">
        <v>5</v>
      </c>
      <c r="O850">
        <v>7</v>
      </c>
      <c r="P850" t="b">
        <f>IF(EPe_BA_intern_assesment_Raw_data___Sheet13[[#This Row],[Customer Rating]]&gt;8,EPe_BA_intern_assesment_Raw_data___Sheet13[[#This Row],[Customer Rating]])</f>
        <v>0</v>
      </c>
      <c r="Q850" t="str">
        <f>IF(AND(EPe_BA_intern_assesment_Raw_data___Sheet13[[#This Row],[Customer Rating]]&gt;6,EPe_BA_intern_assesment_Raw_data___Sheet13[[#This Row],[Customer Rating]]&lt;9), EPe_BA_intern_assesment_Raw_data___Sheet13[[#This Row],[Customer Rating]], "")</f>
        <v/>
      </c>
      <c r="R850">
        <f>IF(EPe_BA_intern_assesment_Raw_data___Sheet13[[#This Row],[Customer Rating]]&lt;7,EPe_BA_intern_assesment_Raw_data___Sheet13[[#This Row],[Customer Rating]])</f>
        <v>5</v>
      </c>
    </row>
    <row r="851" spans="1:18" x14ac:dyDescent="0.3">
      <c r="A851" t="s">
        <v>879</v>
      </c>
      <c r="B851" t="s">
        <v>21</v>
      </c>
      <c r="C851" t="s">
        <v>17</v>
      </c>
      <c r="D851" s="1">
        <v>45959</v>
      </c>
      <c r="E851" s="1">
        <v>45960</v>
      </c>
      <c r="F851" s="1">
        <v>45964</v>
      </c>
      <c r="G851" s="1">
        <v>45966</v>
      </c>
      <c r="H851" t="s">
        <v>18</v>
      </c>
      <c r="I851" t="s">
        <v>19</v>
      </c>
      <c r="J851" s="1">
        <v>45989</v>
      </c>
      <c r="K851">
        <v>1</v>
      </c>
      <c r="L851">
        <v>4</v>
      </c>
      <c r="M851">
        <v>2</v>
      </c>
      <c r="N851">
        <v>6</v>
      </c>
      <c r="O851">
        <v>7</v>
      </c>
      <c r="P851" t="b">
        <f>IF(EPe_BA_intern_assesment_Raw_data___Sheet13[[#This Row],[Customer Rating]]&gt;8,EPe_BA_intern_assesment_Raw_data___Sheet13[[#This Row],[Customer Rating]])</f>
        <v>0</v>
      </c>
      <c r="Q851" t="str">
        <f>IF(AND(EPe_BA_intern_assesment_Raw_data___Sheet13[[#This Row],[Customer Rating]]&gt;6,EPe_BA_intern_assesment_Raw_data___Sheet13[[#This Row],[Customer Rating]]&lt;9), EPe_BA_intern_assesment_Raw_data___Sheet13[[#This Row],[Customer Rating]], "")</f>
        <v/>
      </c>
      <c r="R851">
        <f>IF(EPe_BA_intern_assesment_Raw_data___Sheet13[[#This Row],[Customer Rating]]&lt;7,EPe_BA_intern_assesment_Raw_data___Sheet13[[#This Row],[Customer Rating]])</f>
        <v>6</v>
      </c>
    </row>
    <row r="852" spans="1:18" x14ac:dyDescent="0.3">
      <c r="A852" t="s">
        <v>880</v>
      </c>
      <c r="B852" t="s">
        <v>21</v>
      </c>
      <c r="C852" t="s">
        <v>17</v>
      </c>
      <c r="D852" s="1">
        <v>45951</v>
      </c>
      <c r="E852" s="1">
        <v>45953</v>
      </c>
      <c r="F852" s="1">
        <v>45958</v>
      </c>
      <c r="G852" s="1">
        <v>45960</v>
      </c>
      <c r="H852" t="s">
        <v>18</v>
      </c>
      <c r="I852" t="s">
        <v>19</v>
      </c>
      <c r="J852" s="1">
        <v>45973</v>
      </c>
      <c r="K852">
        <v>2</v>
      </c>
      <c r="L852">
        <v>5</v>
      </c>
      <c r="M852">
        <v>2</v>
      </c>
      <c r="N852">
        <v>4</v>
      </c>
      <c r="O852">
        <v>9</v>
      </c>
      <c r="P852" t="b">
        <f>IF(EPe_BA_intern_assesment_Raw_data___Sheet13[[#This Row],[Customer Rating]]&gt;8,EPe_BA_intern_assesment_Raw_data___Sheet13[[#This Row],[Customer Rating]])</f>
        <v>0</v>
      </c>
      <c r="Q852" t="str">
        <f>IF(AND(EPe_BA_intern_assesment_Raw_data___Sheet13[[#This Row],[Customer Rating]]&gt;6,EPe_BA_intern_assesment_Raw_data___Sheet13[[#This Row],[Customer Rating]]&lt;9), EPe_BA_intern_assesment_Raw_data___Sheet13[[#This Row],[Customer Rating]], "")</f>
        <v/>
      </c>
      <c r="R852">
        <f>IF(EPe_BA_intern_assesment_Raw_data___Sheet13[[#This Row],[Customer Rating]]&lt;7,EPe_BA_intern_assesment_Raw_data___Sheet13[[#This Row],[Customer Rating]])</f>
        <v>4</v>
      </c>
    </row>
    <row r="853" spans="1:18" x14ac:dyDescent="0.3">
      <c r="A853" t="s">
        <v>881</v>
      </c>
      <c r="B853" t="s">
        <v>23</v>
      </c>
      <c r="C853" t="s">
        <v>32</v>
      </c>
      <c r="D853" s="1">
        <v>45942</v>
      </c>
      <c r="E853" s="1">
        <v>45946</v>
      </c>
      <c r="F853" s="1">
        <v>45948</v>
      </c>
      <c r="G853" s="1">
        <v>45950</v>
      </c>
      <c r="H853" t="s">
        <v>18</v>
      </c>
      <c r="I853" t="s">
        <v>19</v>
      </c>
      <c r="J853" s="1">
        <v>45976</v>
      </c>
      <c r="K853">
        <v>4</v>
      </c>
      <c r="L853">
        <v>2</v>
      </c>
      <c r="M853">
        <v>2</v>
      </c>
      <c r="N853">
        <v>9</v>
      </c>
      <c r="O853">
        <v>8</v>
      </c>
      <c r="P853">
        <f>IF(EPe_BA_intern_assesment_Raw_data___Sheet13[[#This Row],[Customer Rating]]&gt;8,EPe_BA_intern_assesment_Raw_data___Sheet13[[#This Row],[Customer Rating]])</f>
        <v>9</v>
      </c>
      <c r="Q853" t="str">
        <f>IF(AND(EPe_BA_intern_assesment_Raw_data___Sheet13[[#This Row],[Customer Rating]]&gt;6,EPe_BA_intern_assesment_Raw_data___Sheet13[[#This Row],[Customer Rating]]&lt;9), EPe_BA_intern_assesment_Raw_data___Sheet13[[#This Row],[Customer Rating]], "")</f>
        <v/>
      </c>
      <c r="R853" t="b">
        <f>IF(EPe_BA_intern_assesment_Raw_data___Sheet13[[#This Row],[Customer Rating]]&lt;7,EPe_BA_intern_assesment_Raw_data___Sheet13[[#This Row],[Customer Rating]])</f>
        <v>0</v>
      </c>
    </row>
    <row r="854" spans="1:18" x14ac:dyDescent="0.3">
      <c r="A854" t="s">
        <v>882</v>
      </c>
      <c r="B854" t="s">
        <v>21</v>
      </c>
      <c r="C854" t="s">
        <v>24</v>
      </c>
      <c r="D854" s="1">
        <v>45932</v>
      </c>
      <c r="E854" s="1"/>
      <c r="F854" s="1"/>
      <c r="G854" s="1"/>
      <c r="H854" t="s">
        <v>25</v>
      </c>
      <c r="I854" t="s">
        <v>103</v>
      </c>
      <c r="J854" s="1"/>
      <c r="P854" t="b">
        <f>IF(EPe_BA_intern_assesment_Raw_data___Sheet13[[#This Row],[Customer Rating]]&gt;8,EPe_BA_intern_assesment_Raw_data___Sheet13[[#This Row],[Customer Rating]])</f>
        <v>0</v>
      </c>
      <c r="Q854" t="str">
        <f>IF(AND(EPe_BA_intern_assesment_Raw_data___Sheet13[[#This Row],[Customer Rating]]&gt;6,EPe_BA_intern_assesment_Raw_data___Sheet13[[#This Row],[Customer Rating]]&lt;9), EPe_BA_intern_assesment_Raw_data___Sheet13[[#This Row],[Customer Rating]], "")</f>
        <v/>
      </c>
      <c r="R854">
        <f>IF(EPe_BA_intern_assesment_Raw_data___Sheet13[[#This Row],[Customer Rating]]&lt;7,EPe_BA_intern_assesment_Raw_data___Sheet13[[#This Row],[Customer Rating]])</f>
        <v>0</v>
      </c>
    </row>
    <row r="855" spans="1:18" x14ac:dyDescent="0.3">
      <c r="A855" t="s">
        <v>883</v>
      </c>
      <c r="B855" t="s">
        <v>34</v>
      </c>
      <c r="C855" t="s">
        <v>17</v>
      </c>
      <c r="D855" s="1">
        <v>45943</v>
      </c>
      <c r="E855" s="1">
        <v>45947</v>
      </c>
      <c r="F855" s="1">
        <v>45950</v>
      </c>
      <c r="G855" s="1">
        <v>45953</v>
      </c>
      <c r="H855" t="s">
        <v>25</v>
      </c>
      <c r="I855" t="s">
        <v>26</v>
      </c>
      <c r="J855" s="1"/>
      <c r="K855">
        <v>4</v>
      </c>
      <c r="L855">
        <v>3</v>
      </c>
      <c r="M855">
        <v>3</v>
      </c>
      <c r="O855">
        <v>10</v>
      </c>
      <c r="P855" t="b">
        <f>IF(EPe_BA_intern_assesment_Raw_data___Sheet13[[#This Row],[Customer Rating]]&gt;8,EPe_BA_intern_assesment_Raw_data___Sheet13[[#This Row],[Customer Rating]])</f>
        <v>0</v>
      </c>
      <c r="Q855" t="str">
        <f>IF(AND(EPe_BA_intern_assesment_Raw_data___Sheet13[[#This Row],[Customer Rating]]&gt;6,EPe_BA_intern_assesment_Raw_data___Sheet13[[#This Row],[Customer Rating]]&lt;9), EPe_BA_intern_assesment_Raw_data___Sheet13[[#This Row],[Customer Rating]], "")</f>
        <v/>
      </c>
      <c r="R855">
        <f>IF(EPe_BA_intern_assesment_Raw_data___Sheet13[[#This Row],[Customer Rating]]&lt;7,EPe_BA_intern_assesment_Raw_data___Sheet13[[#This Row],[Customer Rating]])</f>
        <v>0</v>
      </c>
    </row>
    <row r="856" spans="1:18" x14ac:dyDescent="0.3">
      <c r="A856" t="s">
        <v>884</v>
      </c>
      <c r="B856" t="s">
        <v>21</v>
      </c>
      <c r="C856" t="s">
        <v>17</v>
      </c>
      <c r="D856" s="1">
        <v>45939</v>
      </c>
      <c r="E856" s="1">
        <v>45943</v>
      </c>
      <c r="F856" s="1">
        <v>45946</v>
      </c>
      <c r="G856" s="1">
        <v>45949</v>
      </c>
      <c r="H856" t="s">
        <v>18</v>
      </c>
      <c r="I856" t="s">
        <v>19</v>
      </c>
      <c r="J856" s="1">
        <v>45967</v>
      </c>
      <c r="K856">
        <v>4</v>
      </c>
      <c r="L856">
        <v>3</v>
      </c>
      <c r="M856">
        <v>3</v>
      </c>
      <c r="N856">
        <v>2</v>
      </c>
      <c r="O856">
        <v>10</v>
      </c>
      <c r="P856" t="b">
        <f>IF(EPe_BA_intern_assesment_Raw_data___Sheet13[[#This Row],[Customer Rating]]&gt;8,EPe_BA_intern_assesment_Raw_data___Sheet13[[#This Row],[Customer Rating]])</f>
        <v>0</v>
      </c>
      <c r="Q856" t="str">
        <f>IF(AND(EPe_BA_intern_assesment_Raw_data___Sheet13[[#This Row],[Customer Rating]]&gt;6,EPe_BA_intern_assesment_Raw_data___Sheet13[[#This Row],[Customer Rating]]&lt;9), EPe_BA_intern_assesment_Raw_data___Sheet13[[#This Row],[Customer Rating]], "")</f>
        <v/>
      </c>
      <c r="R856">
        <f>IF(EPe_BA_intern_assesment_Raw_data___Sheet13[[#This Row],[Customer Rating]]&lt;7,EPe_BA_intern_assesment_Raw_data___Sheet13[[#This Row],[Customer Rating]])</f>
        <v>2</v>
      </c>
    </row>
    <row r="857" spans="1:18" x14ac:dyDescent="0.3">
      <c r="A857" t="s">
        <v>885</v>
      </c>
      <c r="B857" t="s">
        <v>21</v>
      </c>
      <c r="C857" t="s">
        <v>32</v>
      </c>
      <c r="D857" s="1">
        <v>45937</v>
      </c>
      <c r="E857" s="1">
        <v>45941</v>
      </c>
      <c r="F857" s="1">
        <v>45946</v>
      </c>
      <c r="G857" s="1">
        <v>45949</v>
      </c>
      <c r="H857" t="s">
        <v>18</v>
      </c>
      <c r="I857" t="s">
        <v>19</v>
      </c>
      <c r="J857" s="1">
        <v>45978</v>
      </c>
      <c r="K857">
        <v>4</v>
      </c>
      <c r="L857">
        <v>5</v>
      </c>
      <c r="M857">
        <v>3</v>
      </c>
      <c r="N857">
        <v>7</v>
      </c>
      <c r="O857">
        <v>12</v>
      </c>
      <c r="P857" t="b">
        <f>IF(EPe_BA_intern_assesment_Raw_data___Sheet13[[#This Row],[Customer Rating]]&gt;8,EPe_BA_intern_assesment_Raw_data___Sheet13[[#This Row],[Customer Rating]])</f>
        <v>0</v>
      </c>
      <c r="Q857">
        <f>IF(AND(EPe_BA_intern_assesment_Raw_data___Sheet13[[#This Row],[Customer Rating]]&gt;6,EPe_BA_intern_assesment_Raw_data___Sheet13[[#This Row],[Customer Rating]]&lt;9), EPe_BA_intern_assesment_Raw_data___Sheet13[[#This Row],[Customer Rating]], "")</f>
        <v>7</v>
      </c>
      <c r="R857" t="b">
        <f>IF(EPe_BA_intern_assesment_Raw_data___Sheet13[[#This Row],[Customer Rating]]&lt;7,EPe_BA_intern_assesment_Raw_data___Sheet13[[#This Row],[Customer Rating]])</f>
        <v>0</v>
      </c>
    </row>
    <row r="858" spans="1:18" x14ac:dyDescent="0.3">
      <c r="A858" t="s">
        <v>886</v>
      </c>
      <c r="B858" t="s">
        <v>16</v>
      </c>
      <c r="C858" t="s">
        <v>32</v>
      </c>
      <c r="D858" s="1">
        <v>45961</v>
      </c>
      <c r="E858" s="1">
        <v>45963</v>
      </c>
      <c r="F858" s="1">
        <v>45965</v>
      </c>
      <c r="G858" s="1">
        <v>45970</v>
      </c>
      <c r="H858" t="s">
        <v>18</v>
      </c>
      <c r="I858" t="s">
        <v>19</v>
      </c>
      <c r="J858" s="1">
        <v>45999</v>
      </c>
      <c r="K858">
        <v>2</v>
      </c>
      <c r="L858">
        <v>2</v>
      </c>
      <c r="M858">
        <v>5</v>
      </c>
      <c r="N858">
        <v>1</v>
      </c>
      <c r="O858">
        <v>9</v>
      </c>
      <c r="P858" t="b">
        <f>IF(EPe_BA_intern_assesment_Raw_data___Sheet13[[#This Row],[Customer Rating]]&gt;8,EPe_BA_intern_assesment_Raw_data___Sheet13[[#This Row],[Customer Rating]])</f>
        <v>0</v>
      </c>
      <c r="Q858" t="str">
        <f>IF(AND(EPe_BA_intern_assesment_Raw_data___Sheet13[[#This Row],[Customer Rating]]&gt;6,EPe_BA_intern_assesment_Raw_data___Sheet13[[#This Row],[Customer Rating]]&lt;9), EPe_BA_intern_assesment_Raw_data___Sheet13[[#This Row],[Customer Rating]], "")</f>
        <v/>
      </c>
      <c r="R858">
        <f>IF(EPe_BA_intern_assesment_Raw_data___Sheet13[[#This Row],[Customer Rating]]&lt;7,EPe_BA_intern_assesment_Raw_data___Sheet13[[#This Row],[Customer Rating]])</f>
        <v>1</v>
      </c>
    </row>
    <row r="859" spans="1:18" x14ac:dyDescent="0.3">
      <c r="A859" t="s">
        <v>887</v>
      </c>
      <c r="B859" t="s">
        <v>16</v>
      </c>
      <c r="C859" t="s">
        <v>17</v>
      </c>
      <c r="D859" s="1">
        <v>45934</v>
      </c>
      <c r="E859" s="1">
        <v>45937</v>
      </c>
      <c r="F859" s="1">
        <v>45941</v>
      </c>
      <c r="G859" s="1">
        <v>45945</v>
      </c>
      <c r="H859" t="s">
        <v>18</v>
      </c>
      <c r="I859" t="s">
        <v>19</v>
      </c>
      <c r="J859" s="1">
        <v>45959</v>
      </c>
      <c r="K859">
        <v>3</v>
      </c>
      <c r="L859">
        <v>4</v>
      </c>
      <c r="M859">
        <v>4</v>
      </c>
      <c r="N859">
        <v>3</v>
      </c>
      <c r="O859">
        <v>11</v>
      </c>
      <c r="P859" t="b">
        <f>IF(EPe_BA_intern_assesment_Raw_data___Sheet13[[#This Row],[Customer Rating]]&gt;8,EPe_BA_intern_assesment_Raw_data___Sheet13[[#This Row],[Customer Rating]])</f>
        <v>0</v>
      </c>
      <c r="Q859" t="str">
        <f>IF(AND(EPe_BA_intern_assesment_Raw_data___Sheet13[[#This Row],[Customer Rating]]&gt;6,EPe_BA_intern_assesment_Raw_data___Sheet13[[#This Row],[Customer Rating]]&lt;9), EPe_BA_intern_assesment_Raw_data___Sheet13[[#This Row],[Customer Rating]], "")</f>
        <v/>
      </c>
      <c r="R859">
        <f>IF(EPe_BA_intern_assesment_Raw_data___Sheet13[[#This Row],[Customer Rating]]&lt;7,EPe_BA_intern_assesment_Raw_data___Sheet13[[#This Row],[Customer Rating]])</f>
        <v>3</v>
      </c>
    </row>
    <row r="860" spans="1:18" x14ac:dyDescent="0.3">
      <c r="A860" t="s">
        <v>888</v>
      </c>
      <c r="B860" t="s">
        <v>21</v>
      </c>
      <c r="C860" t="s">
        <v>17</v>
      </c>
      <c r="D860" s="1">
        <v>45961</v>
      </c>
      <c r="E860" s="1">
        <v>45966</v>
      </c>
      <c r="F860" s="1">
        <v>45969</v>
      </c>
      <c r="G860" s="1">
        <v>45976</v>
      </c>
      <c r="H860" t="s">
        <v>18</v>
      </c>
      <c r="I860" t="s">
        <v>19</v>
      </c>
      <c r="J860" s="1">
        <v>45999</v>
      </c>
      <c r="K860">
        <v>5</v>
      </c>
      <c r="L860">
        <v>3</v>
      </c>
      <c r="M860">
        <v>7</v>
      </c>
      <c r="N860">
        <v>7</v>
      </c>
      <c r="O860">
        <v>15</v>
      </c>
      <c r="P860" t="b">
        <f>IF(EPe_BA_intern_assesment_Raw_data___Sheet13[[#This Row],[Customer Rating]]&gt;8,EPe_BA_intern_assesment_Raw_data___Sheet13[[#This Row],[Customer Rating]])</f>
        <v>0</v>
      </c>
      <c r="Q860">
        <f>IF(AND(EPe_BA_intern_assesment_Raw_data___Sheet13[[#This Row],[Customer Rating]]&gt;6,EPe_BA_intern_assesment_Raw_data___Sheet13[[#This Row],[Customer Rating]]&lt;9), EPe_BA_intern_assesment_Raw_data___Sheet13[[#This Row],[Customer Rating]], "")</f>
        <v>7</v>
      </c>
      <c r="R860" t="b">
        <f>IF(EPe_BA_intern_assesment_Raw_data___Sheet13[[#This Row],[Customer Rating]]&lt;7,EPe_BA_intern_assesment_Raw_data___Sheet13[[#This Row],[Customer Rating]])</f>
        <v>0</v>
      </c>
    </row>
    <row r="861" spans="1:18" x14ac:dyDescent="0.3">
      <c r="A861" t="s">
        <v>889</v>
      </c>
      <c r="B861" t="s">
        <v>23</v>
      </c>
      <c r="C861" t="s">
        <v>32</v>
      </c>
      <c r="D861" s="1">
        <v>45958</v>
      </c>
      <c r="E861" s="1">
        <v>45960</v>
      </c>
      <c r="F861" s="1">
        <v>45962</v>
      </c>
      <c r="G861" s="1">
        <v>45969</v>
      </c>
      <c r="H861" t="s">
        <v>18</v>
      </c>
      <c r="I861" t="s">
        <v>19</v>
      </c>
      <c r="J861" s="1">
        <v>45982</v>
      </c>
      <c r="K861">
        <v>2</v>
      </c>
      <c r="L861">
        <v>2</v>
      </c>
      <c r="M861">
        <v>7</v>
      </c>
      <c r="N861">
        <v>4</v>
      </c>
      <c r="O861">
        <v>11</v>
      </c>
      <c r="P861" t="b">
        <f>IF(EPe_BA_intern_assesment_Raw_data___Sheet13[[#This Row],[Customer Rating]]&gt;8,EPe_BA_intern_assesment_Raw_data___Sheet13[[#This Row],[Customer Rating]])</f>
        <v>0</v>
      </c>
      <c r="Q861" t="str">
        <f>IF(AND(EPe_BA_intern_assesment_Raw_data___Sheet13[[#This Row],[Customer Rating]]&gt;6,EPe_BA_intern_assesment_Raw_data___Sheet13[[#This Row],[Customer Rating]]&lt;9), EPe_BA_intern_assesment_Raw_data___Sheet13[[#This Row],[Customer Rating]], "")</f>
        <v/>
      </c>
      <c r="R861">
        <f>IF(EPe_BA_intern_assesment_Raw_data___Sheet13[[#This Row],[Customer Rating]]&lt;7,EPe_BA_intern_assesment_Raw_data___Sheet13[[#This Row],[Customer Rating]])</f>
        <v>4</v>
      </c>
    </row>
    <row r="862" spans="1:18" x14ac:dyDescent="0.3">
      <c r="A862" t="s">
        <v>890</v>
      </c>
      <c r="B862" t="s">
        <v>16</v>
      </c>
      <c r="C862" t="s">
        <v>17</v>
      </c>
      <c r="D862" s="1">
        <v>45957</v>
      </c>
      <c r="E862" s="1">
        <v>45960</v>
      </c>
      <c r="F862" s="1">
        <v>45964</v>
      </c>
      <c r="G862" s="1">
        <v>45971</v>
      </c>
      <c r="H862" t="s">
        <v>18</v>
      </c>
      <c r="I862" t="s">
        <v>19</v>
      </c>
      <c r="J862" s="1">
        <v>45997</v>
      </c>
      <c r="K862">
        <v>3</v>
      </c>
      <c r="L862">
        <v>4</v>
      </c>
      <c r="M862">
        <v>7</v>
      </c>
      <c r="N862">
        <v>2</v>
      </c>
      <c r="O862">
        <v>14</v>
      </c>
      <c r="P862" t="b">
        <f>IF(EPe_BA_intern_assesment_Raw_data___Sheet13[[#This Row],[Customer Rating]]&gt;8,EPe_BA_intern_assesment_Raw_data___Sheet13[[#This Row],[Customer Rating]])</f>
        <v>0</v>
      </c>
      <c r="Q862" t="str">
        <f>IF(AND(EPe_BA_intern_assesment_Raw_data___Sheet13[[#This Row],[Customer Rating]]&gt;6,EPe_BA_intern_assesment_Raw_data___Sheet13[[#This Row],[Customer Rating]]&lt;9), EPe_BA_intern_assesment_Raw_data___Sheet13[[#This Row],[Customer Rating]], "")</f>
        <v/>
      </c>
      <c r="R862">
        <f>IF(EPe_BA_intern_assesment_Raw_data___Sheet13[[#This Row],[Customer Rating]]&lt;7,EPe_BA_intern_assesment_Raw_data___Sheet13[[#This Row],[Customer Rating]])</f>
        <v>2</v>
      </c>
    </row>
    <row r="863" spans="1:18" x14ac:dyDescent="0.3">
      <c r="A863" t="s">
        <v>891</v>
      </c>
      <c r="B863" t="s">
        <v>23</v>
      </c>
      <c r="C863" t="s">
        <v>17</v>
      </c>
      <c r="D863" s="1">
        <v>45945</v>
      </c>
      <c r="E863" s="1">
        <v>45948</v>
      </c>
      <c r="F863" s="1">
        <v>45951</v>
      </c>
      <c r="G863" s="1">
        <v>45953</v>
      </c>
      <c r="H863" t="s">
        <v>18</v>
      </c>
      <c r="I863" t="s">
        <v>19</v>
      </c>
      <c r="J863" s="1">
        <v>45982</v>
      </c>
      <c r="K863">
        <v>3</v>
      </c>
      <c r="L863">
        <v>3</v>
      </c>
      <c r="M863">
        <v>2</v>
      </c>
      <c r="N863">
        <v>5</v>
      </c>
      <c r="O863">
        <v>8</v>
      </c>
      <c r="P863" t="b">
        <f>IF(EPe_BA_intern_assesment_Raw_data___Sheet13[[#This Row],[Customer Rating]]&gt;8,EPe_BA_intern_assesment_Raw_data___Sheet13[[#This Row],[Customer Rating]])</f>
        <v>0</v>
      </c>
      <c r="Q863" t="str">
        <f>IF(AND(EPe_BA_intern_assesment_Raw_data___Sheet13[[#This Row],[Customer Rating]]&gt;6,EPe_BA_intern_assesment_Raw_data___Sheet13[[#This Row],[Customer Rating]]&lt;9), EPe_BA_intern_assesment_Raw_data___Sheet13[[#This Row],[Customer Rating]], "")</f>
        <v/>
      </c>
      <c r="R863">
        <f>IF(EPe_BA_intern_assesment_Raw_data___Sheet13[[#This Row],[Customer Rating]]&lt;7,EPe_BA_intern_assesment_Raw_data___Sheet13[[#This Row],[Customer Rating]])</f>
        <v>5</v>
      </c>
    </row>
    <row r="864" spans="1:18" x14ac:dyDescent="0.3">
      <c r="A864" t="s">
        <v>892</v>
      </c>
      <c r="B864" t="s">
        <v>21</v>
      </c>
      <c r="C864" t="s">
        <v>32</v>
      </c>
      <c r="D864" s="1">
        <v>45933</v>
      </c>
      <c r="E864" s="1">
        <v>45936</v>
      </c>
      <c r="F864" s="1">
        <v>45939</v>
      </c>
      <c r="G864" s="1">
        <v>45945</v>
      </c>
      <c r="H864" t="s">
        <v>25</v>
      </c>
      <c r="I864" t="s">
        <v>65</v>
      </c>
      <c r="J864" s="1"/>
      <c r="K864">
        <v>3</v>
      </c>
      <c r="L864">
        <v>3</v>
      </c>
      <c r="M864">
        <v>6</v>
      </c>
      <c r="O864">
        <v>12</v>
      </c>
      <c r="P864" t="b">
        <f>IF(EPe_BA_intern_assesment_Raw_data___Sheet13[[#This Row],[Customer Rating]]&gt;8,EPe_BA_intern_assesment_Raw_data___Sheet13[[#This Row],[Customer Rating]])</f>
        <v>0</v>
      </c>
      <c r="Q864" t="str">
        <f>IF(AND(EPe_BA_intern_assesment_Raw_data___Sheet13[[#This Row],[Customer Rating]]&gt;6,EPe_BA_intern_assesment_Raw_data___Sheet13[[#This Row],[Customer Rating]]&lt;9), EPe_BA_intern_assesment_Raw_data___Sheet13[[#This Row],[Customer Rating]], "")</f>
        <v/>
      </c>
      <c r="R864">
        <f>IF(EPe_BA_intern_assesment_Raw_data___Sheet13[[#This Row],[Customer Rating]]&lt;7,EPe_BA_intern_assesment_Raw_data___Sheet13[[#This Row],[Customer Rating]])</f>
        <v>0</v>
      </c>
    </row>
    <row r="865" spans="1:18" x14ac:dyDescent="0.3">
      <c r="A865" t="s">
        <v>893</v>
      </c>
      <c r="B865" t="s">
        <v>21</v>
      </c>
      <c r="C865" t="s">
        <v>17</v>
      </c>
      <c r="D865" s="1">
        <v>45952</v>
      </c>
      <c r="E865" s="1">
        <v>45956</v>
      </c>
      <c r="F865" s="1">
        <v>45960</v>
      </c>
      <c r="G865" s="1">
        <v>45966</v>
      </c>
      <c r="H865" t="s">
        <v>18</v>
      </c>
      <c r="I865" t="s">
        <v>19</v>
      </c>
      <c r="J865" s="1">
        <v>45979</v>
      </c>
      <c r="K865">
        <v>4</v>
      </c>
      <c r="L865">
        <v>4</v>
      </c>
      <c r="M865">
        <v>6</v>
      </c>
      <c r="N865">
        <v>9</v>
      </c>
      <c r="O865">
        <v>14</v>
      </c>
      <c r="P865">
        <f>IF(EPe_BA_intern_assesment_Raw_data___Sheet13[[#This Row],[Customer Rating]]&gt;8,EPe_BA_intern_assesment_Raw_data___Sheet13[[#This Row],[Customer Rating]])</f>
        <v>9</v>
      </c>
      <c r="Q865" t="str">
        <f>IF(AND(EPe_BA_intern_assesment_Raw_data___Sheet13[[#This Row],[Customer Rating]]&gt;6,EPe_BA_intern_assesment_Raw_data___Sheet13[[#This Row],[Customer Rating]]&lt;9), EPe_BA_intern_assesment_Raw_data___Sheet13[[#This Row],[Customer Rating]], "")</f>
        <v/>
      </c>
      <c r="R865" t="b">
        <f>IF(EPe_BA_intern_assesment_Raw_data___Sheet13[[#This Row],[Customer Rating]]&lt;7,EPe_BA_intern_assesment_Raw_data___Sheet13[[#This Row],[Customer Rating]])</f>
        <v>0</v>
      </c>
    </row>
    <row r="866" spans="1:18" x14ac:dyDescent="0.3">
      <c r="A866" t="s">
        <v>894</v>
      </c>
      <c r="B866" t="s">
        <v>34</v>
      </c>
      <c r="C866" t="s">
        <v>32</v>
      </c>
      <c r="D866" s="1">
        <v>45937</v>
      </c>
      <c r="E866" s="1">
        <v>45939</v>
      </c>
      <c r="F866" s="1">
        <v>45944</v>
      </c>
      <c r="G866" s="1">
        <v>45948</v>
      </c>
      <c r="H866" t="s">
        <v>18</v>
      </c>
      <c r="I866" t="s">
        <v>19</v>
      </c>
      <c r="J866" s="1">
        <v>45967</v>
      </c>
      <c r="K866">
        <v>2</v>
      </c>
      <c r="L866">
        <v>5</v>
      </c>
      <c r="M866">
        <v>4</v>
      </c>
      <c r="N866">
        <v>4</v>
      </c>
      <c r="O866">
        <v>11</v>
      </c>
      <c r="P866" t="b">
        <f>IF(EPe_BA_intern_assesment_Raw_data___Sheet13[[#This Row],[Customer Rating]]&gt;8,EPe_BA_intern_assesment_Raw_data___Sheet13[[#This Row],[Customer Rating]])</f>
        <v>0</v>
      </c>
      <c r="Q866" t="str">
        <f>IF(AND(EPe_BA_intern_assesment_Raw_data___Sheet13[[#This Row],[Customer Rating]]&gt;6,EPe_BA_intern_assesment_Raw_data___Sheet13[[#This Row],[Customer Rating]]&lt;9), EPe_BA_intern_assesment_Raw_data___Sheet13[[#This Row],[Customer Rating]], "")</f>
        <v/>
      </c>
      <c r="R866">
        <f>IF(EPe_BA_intern_assesment_Raw_data___Sheet13[[#This Row],[Customer Rating]]&lt;7,EPe_BA_intern_assesment_Raw_data___Sheet13[[#This Row],[Customer Rating]])</f>
        <v>4</v>
      </c>
    </row>
    <row r="867" spans="1:18" x14ac:dyDescent="0.3">
      <c r="A867" t="s">
        <v>895</v>
      </c>
      <c r="B867" t="s">
        <v>16</v>
      </c>
      <c r="C867" t="s">
        <v>24</v>
      </c>
      <c r="D867" s="1">
        <v>45951</v>
      </c>
      <c r="E867" s="1"/>
      <c r="F867" s="1"/>
      <c r="G867" s="1"/>
      <c r="H867" t="s">
        <v>25</v>
      </c>
      <c r="I867" t="s">
        <v>28</v>
      </c>
      <c r="J867" s="1"/>
      <c r="P867" t="b">
        <f>IF(EPe_BA_intern_assesment_Raw_data___Sheet13[[#This Row],[Customer Rating]]&gt;8,EPe_BA_intern_assesment_Raw_data___Sheet13[[#This Row],[Customer Rating]])</f>
        <v>0</v>
      </c>
      <c r="Q867" t="str">
        <f>IF(AND(EPe_BA_intern_assesment_Raw_data___Sheet13[[#This Row],[Customer Rating]]&gt;6,EPe_BA_intern_assesment_Raw_data___Sheet13[[#This Row],[Customer Rating]]&lt;9), EPe_BA_intern_assesment_Raw_data___Sheet13[[#This Row],[Customer Rating]], "")</f>
        <v/>
      </c>
      <c r="R867">
        <f>IF(EPe_BA_intern_assesment_Raw_data___Sheet13[[#This Row],[Customer Rating]]&lt;7,EPe_BA_intern_assesment_Raw_data___Sheet13[[#This Row],[Customer Rating]])</f>
        <v>0</v>
      </c>
    </row>
    <row r="868" spans="1:18" x14ac:dyDescent="0.3">
      <c r="A868" t="s">
        <v>896</v>
      </c>
      <c r="B868" t="s">
        <v>21</v>
      </c>
      <c r="C868" t="s">
        <v>17</v>
      </c>
      <c r="D868" s="1">
        <v>45951</v>
      </c>
      <c r="E868" s="1">
        <v>45954</v>
      </c>
      <c r="F868" s="1">
        <v>45956</v>
      </c>
      <c r="G868" s="1">
        <v>45958</v>
      </c>
      <c r="H868" t="s">
        <v>18</v>
      </c>
      <c r="I868" t="s">
        <v>19</v>
      </c>
      <c r="J868" s="1">
        <v>45971</v>
      </c>
      <c r="K868">
        <v>3</v>
      </c>
      <c r="L868">
        <v>2</v>
      </c>
      <c r="M868">
        <v>2</v>
      </c>
      <c r="N868">
        <v>9</v>
      </c>
      <c r="O868">
        <v>7</v>
      </c>
      <c r="P868">
        <f>IF(EPe_BA_intern_assesment_Raw_data___Sheet13[[#This Row],[Customer Rating]]&gt;8,EPe_BA_intern_assesment_Raw_data___Sheet13[[#This Row],[Customer Rating]])</f>
        <v>9</v>
      </c>
      <c r="Q868" t="str">
        <f>IF(AND(EPe_BA_intern_assesment_Raw_data___Sheet13[[#This Row],[Customer Rating]]&gt;6,EPe_BA_intern_assesment_Raw_data___Sheet13[[#This Row],[Customer Rating]]&lt;9), EPe_BA_intern_assesment_Raw_data___Sheet13[[#This Row],[Customer Rating]], "")</f>
        <v/>
      </c>
      <c r="R868" t="b">
        <f>IF(EPe_BA_intern_assesment_Raw_data___Sheet13[[#This Row],[Customer Rating]]&lt;7,EPe_BA_intern_assesment_Raw_data___Sheet13[[#This Row],[Customer Rating]])</f>
        <v>0</v>
      </c>
    </row>
    <row r="869" spans="1:18" x14ac:dyDescent="0.3">
      <c r="A869" t="s">
        <v>897</v>
      </c>
      <c r="B869" t="s">
        <v>34</v>
      </c>
      <c r="C869" t="s">
        <v>32</v>
      </c>
      <c r="D869" s="1">
        <v>45950</v>
      </c>
      <c r="E869" s="1">
        <v>45955</v>
      </c>
      <c r="F869" s="1">
        <v>45958</v>
      </c>
      <c r="G869" s="1">
        <v>45960</v>
      </c>
      <c r="H869" t="s">
        <v>18</v>
      </c>
      <c r="I869" t="s">
        <v>19</v>
      </c>
      <c r="J869" s="1">
        <v>45973</v>
      </c>
      <c r="K869">
        <v>5</v>
      </c>
      <c r="L869">
        <v>3</v>
      </c>
      <c r="M869">
        <v>2</v>
      </c>
      <c r="N869">
        <v>9</v>
      </c>
      <c r="O869">
        <v>10</v>
      </c>
      <c r="P869">
        <f>IF(EPe_BA_intern_assesment_Raw_data___Sheet13[[#This Row],[Customer Rating]]&gt;8,EPe_BA_intern_assesment_Raw_data___Sheet13[[#This Row],[Customer Rating]])</f>
        <v>9</v>
      </c>
      <c r="Q869" t="str">
        <f>IF(AND(EPe_BA_intern_assesment_Raw_data___Sheet13[[#This Row],[Customer Rating]]&gt;6,EPe_BA_intern_assesment_Raw_data___Sheet13[[#This Row],[Customer Rating]]&lt;9), EPe_BA_intern_assesment_Raw_data___Sheet13[[#This Row],[Customer Rating]], "")</f>
        <v/>
      </c>
      <c r="R869" t="b">
        <f>IF(EPe_BA_intern_assesment_Raw_data___Sheet13[[#This Row],[Customer Rating]]&lt;7,EPe_BA_intern_assesment_Raw_data___Sheet13[[#This Row],[Customer Rating]])</f>
        <v>0</v>
      </c>
    </row>
    <row r="870" spans="1:18" x14ac:dyDescent="0.3">
      <c r="A870" t="s">
        <v>898</v>
      </c>
      <c r="B870" t="s">
        <v>16</v>
      </c>
      <c r="C870" t="s">
        <v>17</v>
      </c>
      <c r="D870" s="1">
        <v>45931</v>
      </c>
      <c r="E870" s="1">
        <v>45936</v>
      </c>
      <c r="F870" s="1">
        <v>45940</v>
      </c>
      <c r="G870" s="1">
        <v>45942</v>
      </c>
      <c r="H870" t="s">
        <v>18</v>
      </c>
      <c r="I870" t="s">
        <v>19</v>
      </c>
      <c r="J870" s="1">
        <v>45967</v>
      </c>
      <c r="K870">
        <v>5</v>
      </c>
      <c r="L870">
        <v>4</v>
      </c>
      <c r="M870">
        <v>2</v>
      </c>
      <c r="N870">
        <v>5</v>
      </c>
      <c r="O870">
        <v>11</v>
      </c>
      <c r="P870" t="b">
        <f>IF(EPe_BA_intern_assesment_Raw_data___Sheet13[[#This Row],[Customer Rating]]&gt;8,EPe_BA_intern_assesment_Raw_data___Sheet13[[#This Row],[Customer Rating]])</f>
        <v>0</v>
      </c>
      <c r="Q870" t="str">
        <f>IF(AND(EPe_BA_intern_assesment_Raw_data___Sheet13[[#This Row],[Customer Rating]]&gt;6,EPe_BA_intern_assesment_Raw_data___Sheet13[[#This Row],[Customer Rating]]&lt;9), EPe_BA_intern_assesment_Raw_data___Sheet13[[#This Row],[Customer Rating]], "")</f>
        <v/>
      </c>
      <c r="R870">
        <f>IF(EPe_BA_intern_assesment_Raw_data___Sheet13[[#This Row],[Customer Rating]]&lt;7,EPe_BA_intern_assesment_Raw_data___Sheet13[[#This Row],[Customer Rating]])</f>
        <v>5</v>
      </c>
    </row>
    <row r="871" spans="1:18" x14ac:dyDescent="0.3">
      <c r="A871" t="s">
        <v>899</v>
      </c>
      <c r="B871" t="s">
        <v>21</v>
      </c>
      <c r="C871" t="s">
        <v>17</v>
      </c>
      <c r="D871" s="1">
        <v>45932</v>
      </c>
      <c r="E871" s="1">
        <v>45933</v>
      </c>
      <c r="F871" s="1">
        <v>45936</v>
      </c>
      <c r="G871" s="1">
        <v>45939</v>
      </c>
      <c r="H871" t="s">
        <v>18</v>
      </c>
      <c r="I871" t="s">
        <v>19</v>
      </c>
      <c r="J871" s="1">
        <v>45955</v>
      </c>
      <c r="K871">
        <v>1</v>
      </c>
      <c r="L871">
        <v>3</v>
      </c>
      <c r="M871">
        <v>3</v>
      </c>
      <c r="N871">
        <v>1</v>
      </c>
      <c r="O871">
        <v>7</v>
      </c>
      <c r="P871" t="b">
        <f>IF(EPe_BA_intern_assesment_Raw_data___Sheet13[[#This Row],[Customer Rating]]&gt;8,EPe_BA_intern_assesment_Raw_data___Sheet13[[#This Row],[Customer Rating]])</f>
        <v>0</v>
      </c>
      <c r="Q871" t="str">
        <f>IF(AND(EPe_BA_intern_assesment_Raw_data___Sheet13[[#This Row],[Customer Rating]]&gt;6,EPe_BA_intern_assesment_Raw_data___Sheet13[[#This Row],[Customer Rating]]&lt;9), EPe_BA_intern_assesment_Raw_data___Sheet13[[#This Row],[Customer Rating]], "")</f>
        <v/>
      </c>
      <c r="R871">
        <f>IF(EPe_BA_intern_assesment_Raw_data___Sheet13[[#This Row],[Customer Rating]]&lt;7,EPe_BA_intern_assesment_Raw_data___Sheet13[[#This Row],[Customer Rating]])</f>
        <v>1</v>
      </c>
    </row>
    <row r="872" spans="1:18" x14ac:dyDescent="0.3">
      <c r="A872" t="s">
        <v>900</v>
      </c>
      <c r="B872" t="s">
        <v>21</v>
      </c>
      <c r="C872" t="s">
        <v>17</v>
      </c>
      <c r="D872" s="1">
        <v>45956</v>
      </c>
      <c r="E872" s="1">
        <v>45959</v>
      </c>
      <c r="F872" s="1">
        <v>45963</v>
      </c>
      <c r="G872" s="1">
        <v>45970</v>
      </c>
      <c r="H872" t="s">
        <v>18</v>
      </c>
      <c r="I872" t="s">
        <v>19</v>
      </c>
      <c r="J872" s="1">
        <v>45999</v>
      </c>
      <c r="K872">
        <v>3</v>
      </c>
      <c r="L872">
        <v>4</v>
      </c>
      <c r="M872">
        <v>7</v>
      </c>
      <c r="N872">
        <v>8</v>
      </c>
      <c r="O872">
        <v>14</v>
      </c>
      <c r="P872" t="b">
        <f>IF(EPe_BA_intern_assesment_Raw_data___Sheet13[[#This Row],[Customer Rating]]&gt;8,EPe_BA_intern_assesment_Raw_data___Sheet13[[#This Row],[Customer Rating]])</f>
        <v>0</v>
      </c>
      <c r="Q872">
        <f>IF(AND(EPe_BA_intern_assesment_Raw_data___Sheet13[[#This Row],[Customer Rating]]&gt;6,EPe_BA_intern_assesment_Raw_data___Sheet13[[#This Row],[Customer Rating]]&lt;9), EPe_BA_intern_assesment_Raw_data___Sheet13[[#This Row],[Customer Rating]], "")</f>
        <v>8</v>
      </c>
      <c r="R872" t="b">
        <f>IF(EPe_BA_intern_assesment_Raw_data___Sheet13[[#This Row],[Customer Rating]]&lt;7,EPe_BA_intern_assesment_Raw_data___Sheet13[[#This Row],[Customer Rating]])</f>
        <v>0</v>
      </c>
    </row>
    <row r="873" spans="1:18" x14ac:dyDescent="0.3">
      <c r="A873" t="s">
        <v>901</v>
      </c>
      <c r="B873" t="s">
        <v>16</v>
      </c>
      <c r="C873" t="s">
        <v>17</v>
      </c>
      <c r="D873" s="1">
        <v>45941</v>
      </c>
      <c r="E873" s="1">
        <v>45943</v>
      </c>
      <c r="F873" s="1">
        <v>45946</v>
      </c>
      <c r="G873" s="1">
        <v>45951</v>
      </c>
      <c r="H873" t="s">
        <v>18</v>
      </c>
      <c r="I873" t="s">
        <v>19</v>
      </c>
      <c r="J873" s="1">
        <v>45967</v>
      </c>
      <c r="K873">
        <v>2</v>
      </c>
      <c r="L873">
        <v>3</v>
      </c>
      <c r="M873">
        <v>5</v>
      </c>
      <c r="N873">
        <v>7</v>
      </c>
      <c r="O873">
        <v>10</v>
      </c>
      <c r="P873" t="b">
        <f>IF(EPe_BA_intern_assesment_Raw_data___Sheet13[[#This Row],[Customer Rating]]&gt;8,EPe_BA_intern_assesment_Raw_data___Sheet13[[#This Row],[Customer Rating]])</f>
        <v>0</v>
      </c>
      <c r="Q873">
        <f>IF(AND(EPe_BA_intern_assesment_Raw_data___Sheet13[[#This Row],[Customer Rating]]&gt;6,EPe_BA_intern_assesment_Raw_data___Sheet13[[#This Row],[Customer Rating]]&lt;9), EPe_BA_intern_assesment_Raw_data___Sheet13[[#This Row],[Customer Rating]], "")</f>
        <v>7</v>
      </c>
      <c r="R873" t="b">
        <f>IF(EPe_BA_intern_assesment_Raw_data___Sheet13[[#This Row],[Customer Rating]]&lt;7,EPe_BA_intern_assesment_Raw_data___Sheet13[[#This Row],[Customer Rating]])</f>
        <v>0</v>
      </c>
    </row>
    <row r="874" spans="1:18" x14ac:dyDescent="0.3">
      <c r="A874" t="s">
        <v>902</v>
      </c>
      <c r="B874" t="s">
        <v>16</v>
      </c>
      <c r="C874" t="s">
        <v>17</v>
      </c>
      <c r="D874" s="1">
        <v>45938</v>
      </c>
      <c r="E874" s="1">
        <v>45942</v>
      </c>
      <c r="F874" s="1">
        <v>45943</v>
      </c>
      <c r="G874" s="1">
        <v>45946</v>
      </c>
      <c r="H874" t="s">
        <v>18</v>
      </c>
      <c r="I874" t="s">
        <v>19</v>
      </c>
      <c r="J874" s="1">
        <v>45964</v>
      </c>
      <c r="K874">
        <v>4</v>
      </c>
      <c r="L874">
        <v>1</v>
      </c>
      <c r="M874">
        <v>3</v>
      </c>
      <c r="N874">
        <v>5</v>
      </c>
      <c r="O874">
        <v>8</v>
      </c>
      <c r="P874" t="b">
        <f>IF(EPe_BA_intern_assesment_Raw_data___Sheet13[[#This Row],[Customer Rating]]&gt;8,EPe_BA_intern_assesment_Raw_data___Sheet13[[#This Row],[Customer Rating]])</f>
        <v>0</v>
      </c>
      <c r="Q874" t="str">
        <f>IF(AND(EPe_BA_intern_assesment_Raw_data___Sheet13[[#This Row],[Customer Rating]]&gt;6,EPe_BA_intern_assesment_Raw_data___Sheet13[[#This Row],[Customer Rating]]&lt;9), EPe_BA_intern_assesment_Raw_data___Sheet13[[#This Row],[Customer Rating]], "")</f>
        <v/>
      </c>
      <c r="R874">
        <f>IF(EPe_BA_intern_assesment_Raw_data___Sheet13[[#This Row],[Customer Rating]]&lt;7,EPe_BA_intern_assesment_Raw_data___Sheet13[[#This Row],[Customer Rating]])</f>
        <v>5</v>
      </c>
    </row>
    <row r="875" spans="1:18" x14ac:dyDescent="0.3">
      <c r="A875" t="s">
        <v>903</v>
      </c>
      <c r="B875" t="s">
        <v>16</v>
      </c>
      <c r="C875" t="s">
        <v>32</v>
      </c>
      <c r="D875" s="1">
        <v>45935</v>
      </c>
      <c r="E875" s="1">
        <v>45936</v>
      </c>
      <c r="F875" s="1">
        <v>45941</v>
      </c>
      <c r="G875" s="1">
        <v>45943</v>
      </c>
      <c r="H875" t="s">
        <v>18</v>
      </c>
      <c r="I875" t="s">
        <v>19</v>
      </c>
      <c r="J875" s="1">
        <v>45969</v>
      </c>
      <c r="K875">
        <v>1</v>
      </c>
      <c r="L875">
        <v>5</v>
      </c>
      <c r="M875">
        <v>2</v>
      </c>
      <c r="N875">
        <v>4</v>
      </c>
      <c r="O875">
        <v>8</v>
      </c>
      <c r="P875" t="b">
        <f>IF(EPe_BA_intern_assesment_Raw_data___Sheet13[[#This Row],[Customer Rating]]&gt;8,EPe_BA_intern_assesment_Raw_data___Sheet13[[#This Row],[Customer Rating]])</f>
        <v>0</v>
      </c>
      <c r="Q875" t="str">
        <f>IF(AND(EPe_BA_intern_assesment_Raw_data___Sheet13[[#This Row],[Customer Rating]]&gt;6,EPe_BA_intern_assesment_Raw_data___Sheet13[[#This Row],[Customer Rating]]&lt;9), EPe_BA_intern_assesment_Raw_data___Sheet13[[#This Row],[Customer Rating]], "")</f>
        <v/>
      </c>
      <c r="R875">
        <f>IF(EPe_BA_intern_assesment_Raw_data___Sheet13[[#This Row],[Customer Rating]]&lt;7,EPe_BA_intern_assesment_Raw_data___Sheet13[[#This Row],[Customer Rating]])</f>
        <v>4</v>
      </c>
    </row>
    <row r="876" spans="1:18" x14ac:dyDescent="0.3">
      <c r="A876" t="s">
        <v>904</v>
      </c>
      <c r="B876" t="s">
        <v>21</v>
      </c>
      <c r="C876" t="s">
        <v>32</v>
      </c>
      <c r="D876" s="1">
        <v>45956</v>
      </c>
      <c r="E876" s="1">
        <v>45959</v>
      </c>
      <c r="F876" s="1">
        <v>45961</v>
      </c>
      <c r="G876" s="1">
        <v>45965</v>
      </c>
      <c r="H876" t="s">
        <v>18</v>
      </c>
      <c r="I876" t="s">
        <v>19</v>
      </c>
      <c r="J876" s="1">
        <v>45981</v>
      </c>
      <c r="K876">
        <v>3</v>
      </c>
      <c r="L876">
        <v>2</v>
      </c>
      <c r="M876">
        <v>4</v>
      </c>
      <c r="N876">
        <v>3</v>
      </c>
      <c r="O876">
        <v>9</v>
      </c>
      <c r="P876" t="b">
        <f>IF(EPe_BA_intern_assesment_Raw_data___Sheet13[[#This Row],[Customer Rating]]&gt;8,EPe_BA_intern_assesment_Raw_data___Sheet13[[#This Row],[Customer Rating]])</f>
        <v>0</v>
      </c>
      <c r="Q876" t="str">
        <f>IF(AND(EPe_BA_intern_assesment_Raw_data___Sheet13[[#This Row],[Customer Rating]]&gt;6,EPe_BA_intern_assesment_Raw_data___Sheet13[[#This Row],[Customer Rating]]&lt;9), EPe_BA_intern_assesment_Raw_data___Sheet13[[#This Row],[Customer Rating]], "")</f>
        <v/>
      </c>
      <c r="R876">
        <f>IF(EPe_BA_intern_assesment_Raw_data___Sheet13[[#This Row],[Customer Rating]]&lt;7,EPe_BA_intern_assesment_Raw_data___Sheet13[[#This Row],[Customer Rating]])</f>
        <v>3</v>
      </c>
    </row>
    <row r="877" spans="1:18" x14ac:dyDescent="0.3">
      <c r="A877" t="s">
        <v>905</v>
      </c>
      <c r="B877" t="s">
        <v>21</v>
      </c>
      <c r="C877" t="s">
        <v>32</v>
      </c>
      <c r="D877" s="1">
        <v>45949</v>
      </c>
      <c r="E877" s="1">
        <v>45953</v>
      </c>
      <c r="F877" s="1">
        <v>45958</v>
      </c>
      <c r="G877" s="1">
        <v>45960</v>
      </c>
      <c r="H877" t="s">
        <v>18</v>
      </c>
      <c r="I877" t="s">
        <v>19</v>
      </c>
      <c r="J877" s="1">
        <v>45981</v>
      </c>
      <c r="K877">
        <v>4</v>
      </c>
      <c r="L877">
        <v>5</v>
      </c>
      <c r="M877">
        <v>2</v>
      </c>
      <c r="N877">
        <v>6</v>
      </c>
      <c r="O877">
        <v>11</v>
      </c>
      <c r="P877" t="b">
        <f>IF(EPe_BA_intern_assesment_Raw_data___Sheet13[[#This Row],[Customer Rating]]&gt;8,EPe_BA_intern_assesment_Raw_data___Sheet13[[#This Row],[Customer Rating]])</f>
        <v>0</v>
      </c>
      <c r="Q877" t="str">
        <f>IF(AND(EPe_BA_intern_assesment_Raw_data___Sheet13[[#This Row],[Customer Rating]]&gt;6,EPe_BA_intern_assesment_Raw_data___Sheet13[[#This Row],[Customer Rating]]&lt;9), EPe_BA_intern_assesment_Raw_data___Sheet13[[#This Row],[Customer Rating]], "")</f>
        <v/>
      </c>
      <c r="R877">
        <f>IF(EPe_BA_intern_assesment_Raw_data___Sheet13[[#This Row],[Customer Rating]]&lt;7,EPe_BA_intern_assesment_Raw_data___Sheet13[[#This Row],[Customer Rating]])</f>
        <v>6</v>
      </c>
    </row>
    <row r="878" spans="1:18" x14ac:dyDescent="0.3">
      <c r="A878" t="s">
        <v>906</v>
      </c>
      <c r="B878" t="s">
        <v>34</v>
      </c>
      <c r="C878" t="s">
        <v>17</v>
      </c>
      <c r="D878" s="1">
        <v>45937</v>
      </c>
      <c r="E878" s="1">
        <v>45939</v>
      </c>
      <c r="F878" s="1">
        <v>45944</v>
      </c>
      <c r="G878" s="1">
        <v>45946</v>
      </c>
      <c r="H878" t="s">
        <v>18</v>
      </c>
      <c r="I878" t="s">
        <v>19</v>
      </c>
      <c r="J878" s="1">
        <v>45969</v>
      </c>
      <c r="K878">
        <v>2</v>
      </c>
      <c r="L878">
        <v>5</v>
      </c>
      <c r="M878">
        <v>2</v>
      </c>
      <c r="N878">
        <v>2</v>
      </c>
      <c r="O878">
        <v>9</v>
      </c>
      <c r="P878" t="b">
        <f>IF(EPe_BA_intern_assesment_Raw_data___Sheet13[[#This Row],[Customer Rating]]&gt;8,EPe_BA_intern_assesment_Raw_data___Sheet13[[#This Row],[Customer Rating]])</f>
        <v>0</v>
      </c>
      <c r="Q878" t="str">
        <f>IF(AND(EPe_BA_intern_assesment_Raw_data___Sheet13[[#This Row],[Customer Rating]]&gt;6,EPe_BA_intern_assesment_Raw_data___Sheet13[[#This Row],[Customer Rating]]&lt;9), EPe_BA_intern_assesment_Raw_data___Sheet13[[#This Row],[Customer Rating]], "")</f>
        <v/>
      </c>
      <c r="R878">
        <f>IF(EPe_BA_intern_assesment_Raw_data___Sheet13[[#This Row],[Customer Rating]]&lt;7,EPe_BA_intern_assesment_Raw_data___Sheet13[[#This Row],[Customer Rating]])</f>
        <v>2</v>
      </c>
    </row>
    <row r="879" spans="1:18" x14ac:dyDescent="0.3">
      <c r="A879" t="s">
        <v>907</v>
      </c>
      <c r="B879" t="s">
        <v>23</v>
      </c>
      <c r="C879" t="s">
        <v>24</v>
      </c>
      <c r="D879" s="1">
        <v>45933</v>
      </c>
      <c r="E879" s="1"/>
      <c r="F879" s="1"/>
      <c r="G879" s="1"/>
      <c r="H879" t="s">
        <v>25</v>
      </c>
      <c r="I879" t="s">
        <v>65</v>
      </c>
      <c r="J879" s="1"/>
      <c r="P879" t="b">
        <f>IF(EPe_BA_intern_assesment_Raw_data___Sheet13[[#This Row],[Customer Rating]]&gt;8,EPe_BA_intern_assesment_Raw_data___Sheet13[[#This Row],[Customer Rating]])</f>
        <v>0</v>
      </c>
      <c r="Q879" t="str">
        <f>IF(AND(EPe_BA_intern_assesment_Raw_data___Sheet13[[#This Row],[Customer Rating]]&gt;6,EPe_BA_intern_assesment_Raw_data___Sheet13[[#This Row],[Customer Rating]]&lt;9), EPe_BA_intern_assesment_Raw_data___Sheet13[[#This Row],[Customer Rating]], "")</f>
        <v/>
      </c>
      <c r="R879">
        <f>IF(EPe_BA_intern_assesment_Raw_data___Sheet13[[#This Row],[Customer Rating]]&lt;7,EPe_BA_intern_assesment_Raw_data___Sheet13[[#This Row],[Customer Rating]])</f>
        <v>0</v>
      </c>
    </row>
    <row r="880" spans="1:18" x14ac:dyDescent="0.3">
      <c r="A880" t="s">
        <v>908</v>
      </c>
      <c r="B880" t="s">
        <v>16</v>
      </c>
      <c r="C880" t="s">
        <v>17</v>
      </c>
      <c r="D880" s="1">
        <v>45957</v>
      </c>
      <c r="E880" s="1">
        <v>45959</v>
      </c>
      <c r="F880" s="1">
        <v>45961</v>
      </c>
      <c r="G880" s="1">
        <v>45966</v>
      </c>
      <c r="H880" t="s">
        <v>18</v>
      </c>
      <c r="I880" t="s">
        <v>19</v>
      </c>
      <c r="J880" s="1">
        <v>45985</v>
      </c>
      <c r="K880">
        <v>2</v>
      </c>
      <c r="L880">
        <v>2</v>
      </c>
      <c r="M880">
        <v>5</v>
      </c>
      <c r="N880">
        <v>4</v>
      </c>
      <c r="O880">
        <v>9</v>
      </c>
      <c r="P880" t="b">
        <f>IF(EPe_BA_intern_assesment_Raw_data___Sheet13[[#This Row],[Customer Rating]]&gt;8,EPe_BA_intern_assesment_Raw_data___Sheet13[[#This Row],[Customer Rating]])</f>
        <v>0</v>
      </c>
      <c r="Q880" t="str">
        <f>IF(AND(EPe_BA_intern_assesment_Raw_data___Sheet13[[#This Row],[Customer Rating]]&gt;6,EPe_BA_intern_assesment_Raw_data___Sheet13[[#This Row],[Customer Rating]]&lt;9), EPe_BA_intern_assesment_Raw_data___Sheet13[[#This Row],[Customer Rating]], "")</f>
        <v/>
      </c>
      <c r="R880">
        <f>IF(EPe_BA_intern_assesment_Raw_data___Sheet13[[#This Row],[Customer Rating]]&lt;7,EPe_BA_intern_assesment_Raw_data___Sheet13[[#This Row],[Customer Rating]])</f>
        <v>4</v>
      </c>
    </row>
    <row r="881" spans="1:18" x14ac:dyDescent="0.3">
      <c r="A881" t="s">
        <v>909</v>
      </c>
      <c r="B881" t="s">
        <v>21</v>
      </c>
      <c r="C881" t="s">
        <v>32</v>
      </c>
      <c r="D881" s="1">
        <v>45955</v>
      </c>
      <c r="E881" s="1">
        <v>45956</v>
      </c>
      <c r="F881" s="1">
        <v>45961</v>
      </c>
      <c r="G881" s="1">
        <v>45963</v>
      </c>
      <c r="H881" t="s">
        <v>18</v>
      </c>
      <c r="I881" t="s">
        <v>19</v>
      </c>
      <c r="J881" s="1">
        <v>45978</v>
      </c>
      <c r="K881">
        <v>1</v>
      </c>
      <c r="L881">
        <v>5</v>
      </c>
      <c r="M881">
        <v>2</v>
      </c>
      <c r="N881">
        <v>4</v>
      </c>
      <c r="O881">
        <v>8</v>
      </c>
      <c r="P881" t="b">
        <f>IF(EPe_BA_intern_assesment_Raw_data___Sheet13[[#This Row],[Customer Rating]]&gt;8,EPe_BA_intern_assesment_Raw_data___Sheet13[[#This Row],[Customer Rating]])</f>
        <v>0</v>
      </c>
      <c r="Q881" t="str">
        <f>IF(AND(EPe_BA_intern_assesment_Raw_data___Sheet13[[#This Row],[Customer Rating]]&gt;6,EPe_BA_intern_assesment_Raw_data___Sheet13[[#This Row],[Customer Rating]]&lt;9), EPe_BA_intern_assesment_Raw_data___Sheet13[[#This Row],[Customer Rating]], "")</f>
        <v/>
      </c>
      <c r="R881">
        <f>IF(EPe_BA_intern_assesment_Raw_data___Sheet13[[#This Row],[Customer Rating]]&lt;7,EPe_BA_intern_assesment_Raw_data___Sheet13[[#This Row],[Customer Rating]])</f>
        <v>4</v>
      </c>
    </row>
    <row r="882" spans="1:18" x14ac:dyDescent="0.3">
      <c r="A882" t="s">
        <v>910</v>
      </c>
      <c r="B882" t="s">
        <v>21</v>
      </c>
      <c r="C882" t="s">
        <v>17</v>
      </c>
      <c r="D882" s="1">
        <v>45948</v>
      </c>
      <c r="E882" s="1">
        <v>45949</v>
      </c>
      <c r="F882" s="1">
        <v>45950</v>
      </c>
      <c r="G882" s="1">
        <v>45953</v>
      </c>
      <c r="H882" t="s">
        <v>18</v>
      </c>
      <c r="I882" t="s">
        <v>19</v>
      </c>
      <c r="J882" s="1">
        <v>45964</v>
      </c>
      <c r="K882">
        <v>1</v>
      </c>
      <c r="L882">
        <v>1</v>
      </c>
      <c r="M882">
        <v>3</v>
      </c>
      <c r="N882">
        <v>2</v>
      </c>
      <c r="O882">
        <v>5</v>
      </c>
      <c r="P882" t="b">
        <f>IF(EPe_BA_intern_assesment_Raw_data___Sheet13[[#This Row],[Customer Rating]]&gt;8,EPe_BA_intern_assesment_Raw_data___Sheet13[[#This Row],[Customer Rating]])</f>
        <v>0</v>
      </c>
      <c r="Q882" t="str">
        <f>IF(AND(EPe_BA_intern_assesment_Raw_data___Sheet13[[#This Row],[Customer Rating]]&gt;6,EPe_BA_intern_assesment_Raw_data___Sheet13[[#This Row],[Customer Rating]]&lt;9), EPe_BA_intern_assesment_Raw_data___Sheet13[[#This Row],[Customer Rating]], "")</f>
        <v/>
      </c>
      <c r="R882">
        <f>IF(EPe_BA_intern_assesment_Raw_data___Sheet13[[#This Row],[Customer Rating]]&lt;7,EPe_BA_intern_assesment_Raw_data___Sheet13[[#This Row],[Customer Rating]])</f>
        <v>2</v>
      </c>
    </row>
    <row r="883" spans="1:18" x14ac:dyDescent="0.3">
      <c r="A883" t="s">
        <v>911</v>
      </c>
      <c r="B883" t="s">
        <v>16</v>
      </c>
      <c r="C883" t="s">
        <v>24</v>
      </c>
      <c r="D883" s="1">
        <v>45937</v>
      </c>
      <c r="E883" s="1"/>
      <c r="F883" s="1"/>
      <c r="G883" s="1"/>
      <c r="H883" t="s">
        <v>25</v>
      </c>
      <c r="I883" t="s">
        <v>65</v>
      </c>
      <c r="J883" s="1"/>
      <c r="P883" t="b">
        <f>IF(EPe_BA_intern_assesment_Raw_data___Sheet13[[#This Row],[Customer Rating]]&gt;8,EPe_BA_intern_assesment_Raw_data___Sheet13[[#This Row],[Customer Rating]])</f>
        <v>0</v>
      </c>
      <c r="Q883" t="str">
        <f>IF(AND(EPe_BA_intern_assesment_Raw_data___Sheet13[[#This Row],[Customer Rating]]&gt;6,EPe_BA_intern_assesment_Raw_data___Sheet13[[#This Row],[Customer Rating]]&lt;9), EPe_BA_intern_assesment_Raw_data___Sheet13[[#This Row],[Customer Rating]], "")</f>
        <v/>
      </c>
      <c r="R883">
        <f>IF(EPe_BA_intern_assesment_Raw_data___Sheet13[[#This Row],[Customer Rating]]&lt;7,EPe_BA_intern_assesment_Raw_data___Sheet13[[#This Row],[Customer Rating]])</f>
        <v>0</v>
      </c>
    </row>
    <row r="884" spans="1:18" x14ac:dyDescent="0.3">
      <c r="A884" t="s">
        <v>912</v>
      </c>
      <c r="B884" t="s">
        <v>23</v>
      </c>
      <c r="C884" t="s">
        <v>17</v>
      </c>
      <c r="D884" s="1">
        <v>45949</v>
      </c>
      <c r="E884" s="1">
        <v>45952</v>
      </c>
      <c r="F884" s="1">
        <v>45956</v>
      </c>
      <c r="G884" s="1">
        <v>45962</v>
      </c>
      <c r="H884" t="s">
        <v>18</v>
      </c>
      <c r="I884" t="s">
        <v>19</v>
      </c>
      <c r="J884" s="1">
        <v>45989</v>
      </c>
      <c r="K884">
        <v>3</v>
      </c>
      <c r="L884">
        <v>4</v>
      </c>
      <c r="M884">
        <v>6</v>
      </c>
      <c r="N884">
        <v>4</v>
      </c>
      <c r="O884">
        <v>13</v>
      </c>
      <c r="P884" t="b">
        <f>IF(EPe_BA_intern_assesment_Raw_data___Sheet13[[#This Row],[Customer Rating]]&gt;8,EPe_BA_intern_assesment_Raw_data___Sheet13[[#This Row],[Customer Rating]])</f>
        <v>0</v>
      </c>
      <c r="Q884" t="str">
        <f>IF(AND(EPe_BA_intern_assesment_Raw_data___Sheet13[[#This Row],[Customer Rating]]&gt;6,EPe_BA_intern_assesment_Raw_data___Sheet13[[#This Row],[Customer Rating]]&lt;9), EPe_BA_intern_assesment_Raw_data___Sheet13[[#This Row],[Customer Rating]], "")</f>
        <v/>
      </c>
      <c r="R884">
        <f>IF(EPe_BA_intern_assesment_Raw_data___Sheet13[[#This Row],[Customer Rating]]&lt;7,EPe_BA_intern_assesment_Raw_data___Sheet13[[#This Row],[Customer Rating]])</f>
        <v>4</v>
      </c>
    </row>
    <row r="885" spans="1:18" x14ac:dyDescent="0.3">
      <c r="A885" t="s">
        <v>913</v>
      </c>
      <c r="B885" t="s">
        <v>16</v>
      </c>
      <c r="C885" t="s">
        <v>24</v>
      </c>
      <c r="D885" s="1">
        <v>45937</v>
      </c>
      <c r="E885" s="1"/>
      <c r="F885" s="1"/>
      <c r="G885" s="1"/>
      <c r="H885" t="s">
        <v>25</v>
      </c>
      <c r="I885" t="s">
        <v>28</v>
      </c>
      <c r="J885" s="1"/>
      <c r="P885" t="b">
        <f>IF(EPe_BA_intern_assesment_Raw_data___Sheet13[[#This Row],[Customer Rating]]&gt;8,EPe_BA_intern_assesment_Raw_data___Sheet13[[#This Row],[Customer Rating]])</f>
        <v>0</v>
      </c>
      <c r="Q885" t="str">
        <f>IF(AND(EPe_BA_intern_assesment_Raw_data___Sheet13[[#This Row],[Customer Rating]]&gt;6,EPe_BA_intern_assesment_Raw_data___Sheet13[[#This Row],[Customer Rating]]&lt;9), EPe_BA_intern_assesment_Raw_data___Sheet13[[#This Row],[Customer Rating]], "")</f>
        <v/>
      </c>
      <c r="R885">
        <f>IF(EPe_BA_intern_assesment_Raw_data___Sheet13[[#This Row],[Customer Rating]]&lt;7,EPe_BA_intern_assesment_Raw_data___Sheet13[[#This Row],[Customer Rating]])</f>
        <v>0</v>
      </c>
    </row>
    <row r="886" spans="1:18" x14ac:dyDescent="0.3">
      <c r="A886" t="s">
        <v>914</v>
      </c>
      <c r="B886" t="s">
        <v>23</v>
      </c>
      <c r="C886" t="s">
        <v>32</v>
      </c>
      <c r="D886" s="1">
        <v>45957</v>
      </c>
      <c r="E886" s="1">
        <v>45961</v>
      </c>
      <c r="F886" s="1">
        <v>45963</v>
      </c>
      <c r="G886" s="1">
        <v>45968</v>
      </c>
      <c r="H886" t="s">
        <v>18</v>
      </c>
      <c r="I886" t="s">
        <v>19</v>
      </c>
      <c r="J886" s="1">
        <v>45993</v>
      </c>
      <c r="K886">
        <v>4</v>
      </c>
      <c r="L886">
        <v>2</v>
      </c>
      <c r="M886">
        <v>5</v>
      </c>
      <c r="N886">
        <v>7</v>
      </c>
      <c r="O886">
        <v>11</v>
      </c>
      <c r="P886" t="b">
        <f>IF(EPe_BA_intern_assesment_Raw_data___Sheet13[[#This Row],[Customer Rating]]&gt;8,EPe_BA_intern_assesment_Raw_data___Sheet13[[#This Row],[Customer Rating]])</f>
        <v>0</v>
      </c>
      <c r="Q886">
        <f>IF(AND(EPe_BA_intern_assesment_Raw_data___Sheet13[[#This Row],[Customer Rating]]&gt;6,EPe_BA_intern_assesment_Raw_data___Sheet13[[#This Row],[Customer Rating]]&lt;9), EPe_BA_intern_assesment_Raw_data___Sheet13[[#This Row],[Customer Rating]], "")</f>
        <v>7</v>
      </c>
      <c r="R886" t="b">
        <f>IF(EPe_BA_intern_assesment_Raw_data___Sheet13[[#This Row],[Customer Rating]]&lt;7,EPe_BA_intern_assesment_Raw_data___Sheet13[[#This Row],[Customer Rating]])</f>
        <v>0</v>
      </c>
    </row>
    <row r="887" spans="1:18" x14ac:dyDescent="0.3">
      <c r="A887" t="s">
        <v>915</v>
      </c>
      <c r="B887" t="s">
        <v>21</v>
      </c>
      <c r="C887" t="s">
        <v>32</v>
      </c>
      <c r="D887" s="1">
        <v>45958</v>
      </c>
      <c r="E887" s="1">
        <v>45963</v>
      </c>
      <c r="F887" s="1">
        <v>45967</v>
      </c>
      <c r="G887" s="1">
        <v>45974</v>
      </c>
      <c r="H887" t="s">
        <v>18</v>
      </c>
      <c r="I887" t="s">
        <v>19</v>
      </c>
      <c r="J887" s="1">
        <v>45990</v>
      </c>
      <c r="K887">
        <v>5</v>
      </c>
      <c r="L887">
        <v>4</v>
      </c>
      <c r="M887">
        <v>7</v>
      </c>
      <c r="N887">
        <v>3</v>
      </c>
      <c r="O887">
        <v>16</v>
      </c>
      <c r="P887" t="b">
        <f>IF(EPe_BA_intern_assesment_Raw_data___Sheet13[[#This Row],[Customer Rating]]&gt;8,EPe_BA_intern_assesment_Raw_data___Sheet13[[#This Row],[Customer Rating]])</f>
        <v>0</v>
      </c>
      <c r="Q887" t="str">
        <f>IF(AND(EPe_BA_intern_assesment_Raw_data___Sheet13[[#This Row],[Customer Rating]]&gt;6,EPe_BA_intern_assesment_Raw_data___Sheet13[[#This Row],[Customer Rating]]&lt;9), EPe_BA_intern_assesment_Raw_data___Sheet13[[#This Row],[Customer Rating]], "")</f>
        <v/>
      </c>
      <c r="R887">
        <f>IF(EPe_BA_intern_assesment_Raw_data___Sheet13[[#This Row],[Customer Rating]]&lt;7,EPe_BA_intern_assesment_Raw_data___Sheet13[[#This Row],[Customer Rating]])</f>
        <v>3</v>
      </c>
    </row>
    <row r="888" spans="1:18" x14ac:dyDescent="0.3">
      <c r="A888" t="s">
        <v>916</v>
      </c>
      <c r="B888" t="s">
        <v>23</v>
      </c>
      <c r="C888" t="s">
        <v>24</v>
      </c>
      <c r="D888" s="1">
        <v>45938</v>
      </c>
      <c r="E888" s="1"/>
      <c r="F888" s="1"/>
      <c r="G888" s="1"/>
      <c r="H888" t="s">
        <v>25</v>
      </c>
      <c r="I888" t="s">
        <v>35</v>
      </c>
      <c r="J888" s="1"/>
      <c r="P888" t="b">
        <f>IF(EPe_BA_intern_assesment_Raw_data___Sheet13[[#This Row],[Customer Rating]]&gt;8,EPe_BA_intern_assesment_Raw_data___Sheet13[[#This Row],[Customer Rating]])</f>
        <v>0</v>
      </c>
      <c r="Q888" t="str">
        <f>IF(AND(EPe_BA_intern_assesment_Raw_data___Sheet13[[#This Row],[Customer Rating]]&gt;6,EPe_BA_intern_assesment_Raw_data___Sheet13[[#This Row],[Customer Rating]]&lt;9), EPe_BA_intern_assesment_Raw_data___Sheet13[[#This Row],[Customer Rating]], "")</f>
        <v/>
      </c>
      <c r="R888">
        <f>IF(EPe_BA_intern_assesment_Raw_data___Sheet13[[#This Row],[Customer Rating]]&lt;7,EPe_BA_intern_assesment_Raw_data___Sheet13[[#This Row],[Customer Rating]])</f>
        <v>0</v>
      </c>
    </row>
    <row r="889" spans="1:18" x14ac:dyDescent="0.3">
      <c r="A889" t="s">
        <v>917</v>
      </c>
      <c r="B889" t="s">
        <v>34</v>
      </c>
      <c r="C889" t="s">
        <v>17</v>
      </c>
      <c r="D889" s="1">
        <v>45941</v>
      </c>
      <c r="E889" s="1">
        <v>45945</v>
      </c>
      <c r="F889" s="1">
        <v>45948</v>
      </c>
      <c r="G889" s="1">
        <v>45953</v>
      </c>
      <c r="H889" t="s">
        <v>18</v>
      </c>
      <c r="I889" t="s">
        <v>19</v>
      </c>
      <c r="J889" s="1">
        <v>45978</v>
      </c>
      <c r="K889">
        <v>4</v>
      </c>
      <c r="L889">
        <v>3</v>
      </c>
      <c r="M889">
        <v>5</v>
      </c>
      <c r="N889">
        <v>7</v>
      </c>
      <c r="O889">
        <v>12</v>
      </c>
      <c r="P889" t="b">
        <f>IF(EPe_BA_intern_assesment_Raw_data___Sheet13[[#This Row],[Customer Rating]]&gt;8,EPe_BA_intern_assesment_Raw_data___Sheet13[[#This Row],[Customer Rating]])</f>
        <v>0</v>
      </c>
      <c r="Q889">
        <f>IF(AND(EPe_BA_intern_assesment_Raw_data___Sheet13[[#This Row],[Customer Rating]]&gt;6,EPe_BA_intern_assesment_Raw_data___Sheet13[[#This Row],[Customer Rating]]&lt;9), EPe_BA_intern_assesment_Raw_data___Sheet13[[#This Row],[Customer Rating]], "")</f>
        <v>7</v>
      </c>
      <c r="R889" t="b">
        <f>IF(EPe_BA_intern_assesment_Raw_data___Sheet13[[#This Row],[Customer Rating]]&lt;7,EPe_BA_intern_assesment_Raw_data___Sheet13[[#This Row],[Customer Rating]])</f>
        <v>0</v>
      </c>
    </row>
    <row r="890" spans="1:18" x14ac:dyDescent="0.3">
      <c r="A890" t="s">
        <v>918</v>
      </c>
      <c r="B890" t="s">
        <v>21</v>
      </c>
      <c r="C890" t="s">
        <v>17</v>
      </c>
      <c r="D890" s="1">
        <v>45955</v>
      </c>
      <c r="E890" s="1">
        <v>45957</v>
      </c>
      <c r="F890" s="1">
        <v>45958</v>
      </c>
      <c r="G890" s="1">
        <v>45963</v>
      </c>
      <c r="H890" t="s">
        <v>18</v>
      </c>
      <c r="I890" t="s">
        <v>19</v>
      </c>
      <c r="J890" s="1">
        <v>45983</v>
      </c>
      <c r="K890">
        <v>2</v>
      </c>
      <c r="L890">
        <v>1</v>
      </c>
      <c r="M890">
        <v>5</v>
      </c>
      <c r="N890">
        <v>9</v>
      </c>
      <c r="O890">
        <v>8</v>
      </c>
      <c r="P890">
        <f>IF(EPe_BA_intern_assesment_Raw_data___Sheet13[[#This Row],[Customer Rating]]&gt;8,EPe_BA_intern_assesment_Raw_data___Sheet13[[#This Row],[Customer Rating]])</f>
        <v>9</v>
      </c>
      <c r="Q890" t="str">
        <f>IF(AND(EPe_BA_intern_assesment_Raw_data___Sheet13[[#This Row],[Customer Rating]]&gt;6,EPe_BA_intern_assesment_Raw_data___Sheet13[[#This Row],[Customer Rating]]&lt;9), EPe_BA_intern_assesment_Raw_data___Sheet13[[#This Row],[Customer Rating]], "")</f>
        <v/>
      </c>
      <c r="R890" t="b">
        <f>IF(EPe_BA_intern_assesment_Raw_data___Sheet13[[#This Row],[Customer Rating]]&lt;7,EPe_BA_intern_assesment_Raw_data___Sheet13[[#This Row],[Customer Rating]])</f>
        <v>0</v>
      </c>
    </row>
    <row r="891" spans="1:18" x14ac:dyDescent="0.3">
      <c r="A891" t="s">
        <v>919</v>
      </c>
      <c r="B891" t="s">
        <v>34</v>
      </c>
      <c r="C891" t="s">
        <v>17</v>
      </c>
      <c r="D891" s="1">
        <v>45935</v>
      </c>
      <c r="E891" s="1">
        <v>45937</v>
      </c>
      <c r="F891" s="1">
        <v>45941</v>
      </c>
      <c r="G891" s="1">
        <v>45943</v>
      </c>
      <c r="H891" t="s">
        <v>18</v>
      </c>
      <c r="I891" t="s">
        <v>19</v>
      </c>
      <c r="J891" s="1">
        <v>45960</v>
      </c>
      <c r="K891">
        <v>2</v>
      </c>
      <c r="L891">
        <v>4</v>
      </c>
      <c r="M891">
        <v>2</v>
      </c>
      <c r="N891">
        <v>4</v>
      </c>
      <c r="O891">
        <v>8</v>
      </c>
      <c r="P891" t="b">
        <f>IF(EPe_BA_intern_assesment_Raw_data___Sheet13[[#This Row],[Customer Rating]]&gt;8,EPe_BA_intern_assesment_Raw_data___Sheet13[[#This Row],[Customer Rating]])</f>
        <v>0</v>
      </c>
      <c r="Q891" t="str">
        <f>IF(AND(EPe_BA_intern_assesment_Raw_data___Sheet13[[#This Row],[Customer Rating]]&gt;6,EPe_BA_intern_assesment_Raw_data___Sheet13[[#This Row],[Customer Rating]]&lt;9), EPe_BA_intern_assesment_Raw_data___Sheet13[[#This Row],[Customer Rating]], "")</f>
        <v/>
      </c>
      <c r="R891">
        <f>IF(EPe_BA_intern_assesment_Raw_data___Sheet13[[#This Row],[Customer Rating]]&lt;7,EPe_BA_intern_assesment_Raw_data___Sheet13[[#This Row],[Customer Rating]])</f>
        <v>4</v>
      </c>
    </row>
    <row r="892" spans="1:18" x14ac:dyDescent="0.3">
      <c r="A892" t="s">
        <v>920</v>
      </c>
      <c r="B892" t="s">
        <v>16</v>
      </c>
      <c r="C892" t="s">
        <v>24</v>
      </c>
      <c r="D892" s="1">
        <v>45956</v>
      </c>
      <c r="E892" s="1"/>
      <c r="F892" s="1"/>
      <c r="G892" s="1"/>
      <c r="H892" t="s">
        <v>25</v>
      </c>
      <c r="I892" t="s">
        <v>35</v>
      </c>
      <c r="J892" s="1"/>
      <c r="P892" t="b">
        <f>IF(EPe_BA_intern_assesment_Raw_data___Sheet13[[#This Row],[Customer Rating]]&gt;8,EPe_BA_intern_assesment_Raw_data___Sheet13[[#This Row],[Customer Rating]])</f>
        <v>0</v>
      </c>
      <c r="Q892" t="str">
        <f>IF(AND(EPe_BA_intern_assesment_Raw_data___Sheet13[[#This Row],[Customer Rating]]&gt;6,EPe_BA_intern_assesment_Raw_data___Sheet13[[#This Row],[Customer Rating]]&lt;9), EPe_BA_intern_assesment_Raw_data___Sheet13[[#This Row],[Customer Rating]], "")</f>
        <v/>
      </c>
      <c r="R892">
        <f>IF(EPe_BA_intern_assesment_Raw_data___Sheet13[[#This Row],[Customer Rating]]&lt;7,EPe_BA_intern_assesment_Raw_data___Sheet13[[#This Row],[Customer Rating]])</f>
        <v>0</v>
      </c>
    </row>
    <row r="893" spans="1:18" x14ac:dyDescent="0.3">
      <c r="A893" t="s">
        <v>921</v>
      </c>
      <c r="B893" t="s">
        <v>16</v>
      </c>
      <c r="C893" t="s">
        <v>17</v>
      </c>
      <c r="D893" s="1">
        <v>45959</v>
      </c>
      <c r="E893" s="1">
        <v>45962</v>
      </c>
      <c r="F893" s="1">
        <v>45966</v>
      </c>
      <c r="G893" s="1">
        <v>45971</v>
      </c>
      <c r="H893" t="s">
        <v>18</v>
      </c>
      <c r="I893" t="s">
        <v>19</v>
      </c>
      <c r="J893" s="1">
        <v>45981</v>
      </c>
      <c r="K893">
        <v>3</v>
      </c>
      <c r="L893">
        <v>4</v>
      </c>
      <c r="M893">
        <v>5</v>
      </c>
      <c r="N893">
        <v>7</v>
      </c>
      <c r="O893">
        <v>12</v>
      </c>
      <c r="P893" t="b">
        <f>IF(EPe_BA_intern_assesment_Raw_data___Sheet13[[#This Row],[Customer Rating]]&gt;8,EPe_BA_intern_assesment_Raw_data___Sheet13[[#This Row],[Customer Rating]])</f>
        <v>0</v>
      </c>
      <c r="Q893">
        <f>IF(AND(EPe_BA_intern_assesment_Raw_data___Sheet13[[#This Row],[Customer Rating]]&gt;6,EPe_BA_intern_assesment_Raw_data___Sheet13[[#This Row],[Customer Rating]]&lt;9), EPe_BA_intern_assesment_Raw_data___Sheet13[[#This Row],[Customer Rating]], "")</f>
        <v>7</v>
      </c>
      <c r="R893" t="b">
        <f>IF(EPe_BA_intern_assesment_Raw_data___Sheet13[[#This Row],[Customer Rating]]&lt;7,EPe_BA_intern_assesment_Raw_data___Sheet13[[#This Row],[Customer Rating]])</f>
        <v>0</v>
      </c>
    </row>
    <row r="894" spans="1:18" x14ac:dyDescent="0.3">
      <c r="A894" t="s">
        <v>922</v>
      </c>
      <c r="B894" t="s">
        <v>16</v>
      </c>
      <c r="C894" t="s">
        <v>17</v>
      </c>
      <c r="D894" s="1">
        <v>45950</v>
      </c>
      <c r="E894" s="1">
        <v>45955</v>
      </c>
      <c r="F894" s="1">
        <v>45957</v>
      </c>
      <c r="G894" s="1">
        <v>45964</v>
      </c>
      <c r="H894" t="s">
        <v>18</v>
      </c>
      <c r="I894" t="s">
        <v>19</v>
      </c>
      <c r="J894" s="1">
        <v>45974</v>
      </c>
      <c r="K894">
        <v>5</v>
      </c>
      <c r="L894">
        <v>2</v>
      </c>
      <c r="M894">
        <v>7</v>
      </c>
      <c r="N894">
        <v>7</v>
      </c>
      <c r="O894">
        <v>14</v>
      </c>
      <c r="P894" t="b">
        <f>IF(EPe_BA_intern_assesment_Raw_data___Sheet13[[#This Row],[Customer Rating]]&gt;8,EPe_BA_intern_assesment_Raw_data___Sheet13[[#This Row],[Customer Rating]])</f>
        <v>0</v>
      </c>
      <c r="Q894">
        <f>IF(AND(EPe_BA_intern_assesment_Raw_data___Sheet13[[#This Row],[Customer Rating]]&gt;6,EPe_BA_intern_assesment_Raw_data___Sheet13[[#This Row],[Customer Rating]]&lt;9), EPe_BA_intern_assesment_Raw_data___Sheet13[[#This Row],[Customer Rating]], "")</f>
        <v>7</v>
      </c>
      <c r="R894" t="b">
        <f>IF(EPe_BA_intern_assesment_Raw_data___Sheet13[[#This Row],[Customer Rating]]&lt;7,EPe_BA_intern_assesment_Raw_data___Sheet13[[#This Row],[Customer Rating]])</f>
        <v>0</v>
      </c>
    </row>
    <row r="895" spans="1:18" x14ac:dyDescent="0.3">
      <c r="A895" t="s">
        <v>923</v>
      </c>
      <c r="B895" t="s">
        <v>23</v>
      </c>
      <c r="C895" t="s">
        <v>17</v>
      </c>
      <c r="D895" s="1">
        <v>45931</v>
      </c>
      <c r="E895" s="1">
        <v>45934</v>
      </c>
      <c r="F895" s="1">
        <v>45937</v>
      </c>
      <c r="G895" s="1">
        <v>45942</v>
      </c>
      <c r="H895" t="s">
        <v>18</v>
      </c>
      <c r="I895" t="s">
        <v>19</v>
      </c>
      <c r="J895" s="1">
        <v>45954</v>
      </c>
      <c r="K895">
        <v>3</v>
      </c>
      <c r="L895">
        <v>3</v>
      </c>
      <c r="M895">
        <v>5</v>
      </c>
      <c r="N895">
        <v>7</v>
      </c>
      <c r="O895">
        <v>11</v>
      </c>
      <c r="P895" t="b">
        <f>IF(EPe_BA_intern_assesment_Raw_data___Sheet13[[#This Row],[Customer Rating]]&gt;8,EPe_BA_intern_assesment_Raw_data___Sheet13[[#This Row],[Customer Rating]])</f>
        <v>0</v>
      </c>
      <c r="Q895">
        <f>IF(AND(EPe_BA_intern_assesment_Raw_data___Sheet13[[#This Row],[Customer Rating]]&gt;6,EPe_BA_intern_assesment_Raw_data___Sheet13[[#This Row],[Customer Rating]]&lt;9), EPe_BA_intern_assesment_Raw_data___Sheet13[[#This Row],[Customer Rating]], "")</f>
        <v>7</v>
      </c>
      <c r="R895" t="b">
        <f>IF(EPe_BA_intern_assesment_Raw_data___Sheet13[[#This Row],[Customer Rating]]&lt;7,EPe_BA_intern_assesment_Raw_data___Sheet13[[#This Row],[Customer Rating]])</f>
        <v>0</v>
      </c>
    </row>
    <row r="896" spans="1:18" x14ac:dyDescent="0.3">
      <c r="A896" t="s">
        <v>924</v>
      </c>
      <c r="B896" t="s">
        <v>21</v>
      </c>
      <c r="C896" t="s">
        <v>17</v>
      </c>
      <c r="D896" s="1">
        <v>45939</v>
      </c>
      <c r="E896" s="1">
        <v>45941</v>
      </c>
      <c r="F896" s="1">
        <v>45943</v>
      </c>
      <c r="G896" s="1">
        <v>45946</v>
      </c>
      <c r="H896" t="s">
        <v>18</v>
      </c>
      <c r="I896" t="s">
        <v>19</v>
      </c>
      <c r="J896" s="1">
        <v>45959</v>
      </c>
      <c r="K896">
        <v>2</v>
      </c>
      <c r="L896">
        <v>2</v>
      </c>
      <c r="M896">
        <v>3</v>
      </c>
      <c r="N896">
        <v>1</v>
      </c>
      <c r="O896">
        <v>7</v>
      </c>
      <c r="P896" t="b">
        <f>IF(EPe_BA_intern_assesment_Raw_data___Sheet13[[#This Row],[Customer Rating]]&gt;8,EPe_BA_intern_assesment_Raw_data___Sheet13[[#This Row],[Customer Rating]])</f>
        <v>0</v>
      </c>
      <c r="Q896" t="str">
        <f>IF(AND(EPe_BA_intern_assesment_Raw_data___Sheet13[[#This Row],[Customer Rating]]&gt;6,EPe_BA_intern_assesment_Raw_data___Sheet13[[#This Row],[Customer Rating]]&lt;9), EPe_BA_intern_assesment_Raw_data___Sheet13[[#This Row],[Customer Rating]], "")</f>
        <v/>
      </c>
      <c r="R896">
        <f>IF(EPe_BA_intern_assesment_Raw_data___Sheet13[[#This Row],[Customer Rating]]&lt;7,EPe_BA_intern_assesment_Raw_data___Sheet13[[#This Row],[Customer Rating]])</f>
        <v>1</v>
      </c>
    </row>
    <row r="897" spans="1:18" x14ac:dyDescent="0.3">
      <c r="A897" t="s">
        <v>925</v>
      </c>
      <c r="B897" t="s">
        <v>16</v>
      </c>
      <c r="C897" t="s">
        <v>17</v>
      </c>
      <c r="D897" s="1">
        <v>45958</v>
      </c>
      <c r="E897" s="1">
        <v>45960</v>
      </c>
      <c r="F897" s="1">
        <v>45963</v>
      </c>
      <c r="G897" s="1">
        <v>45967</v>
      </c>
      <c r="H897" t="s">
        <v>25</v>
      </c>
      <c r="I897" t="s">
        <v>103</v>
      </c>
      <c r="J897" s="1"/>
      <c r="K897">
        <v>2</v>
      </c>
      <c r="L897">
        <v>3</v>
      </c>
      <c r="M897">
        <v>4</v>
      </c>
      <c r="O897">
        <v>9</v>
      </c>
      <c r="P897" t="b">
        <f>IF(EPe_BA_intern_assesment_Raw_data___Sheet13[[#This Row],[Customer Rating]]&gt;8,EPe_BA_intern_assesment_Raw_data___Sheet13[[#This Row],[Customer Rating]])</f>
        <v>0</v>
      </c>
      <c r="Q897" t="str">
        <f>IF(AND(EPe_BA_intern_assesment_Raw_data___Sheet13[[#This Row],[Customer Rating]]&gt;6,EPe_BA_intern_assesment_Raw_data___Sheet13[[#This Row],[Customer Rating]]&lt;9), EPe_BA_intern_assesment_Raw_data___Sheet13[[#This Row],[Customer Rating]], "")</f>
        <v/>
      </c>
      <c r="R897">
        <f>IF(EPe_BA_intern_assesment_Raw_data___Sheet13[[#This Row],[Customer Rating]]&lt;7,EPe_BA_intern_assesment_Raw_data___Sheet13[[#This Row],[Customer Rating]])</f>
        <v>0</v>
      </c>
    </row>
    <row r="898" spans="1:18" x14ac:dyDescent="0.3">
      <c r="A898" t="s">
        <v>926</v>
      </c>
      <c r="B898" t="s">
        <v>16</v>
      </c>
      <c r="C898" t="s">
        <v>24</v>
      </c>
      <c r="D898" s="1">
        <v>45935</v>
      </c>
      <c r="E898" s="1"/>
      <c r="F898" s="1"/>
      <c r="G898" s="1"/>
      <c r="H898" t="s">
        <v>25</v>
      </c>
      <c r="I898" t="s">
        <v>103</v>
      </c>
      <c r="J898" s="1"/>
      <c r="P898" t="b">
        <f>IF(EPe_BA_intern_assesment_Raw_data___Sheet13[[#This Row],[Customer Rating]]&gt;8,EPe_BA_intern_assesment_Raw_data___Sheet13[[#This Row],[Customer Rating]])</f>
        <v>0</v>
      </c>
      <c r="Q898" t="str">
        <f>IF(AND(EPe_BA_intern_assesment_Raw_data___Sheet13[[#This Row],[Customer Rating]]&gt;6,EPe_BA_intern_assesment_Raw_data___Sheet13[[#This Row],[Customer Rating]]&lt;9), EPe_BA_intern_assesment_Raw_data___Sheet13[[#This Row],[Customer Rating]], "")</f>
        <v/>
      </c>
      <c r="R898">
        <f>IF(EPe_BA_intern_assesment_Raw_data___Sheet13[[#This Row],[Customer Rating]]&lt;7,EPe_BA_intern_assesment_Raw_data___Sheet13[[#This Row],[Customer Rating]])</f>
        <v>0</v>
      </c>
    </row>
    <row r="899" spans="1:18" x14ac:dyDescent="0.3">
      <c r="A899" t="s">
        <v>927</v>
      </c>
      <c r="B899" t="s">
        <v>21</v>
      </c>
      <c r="C899" t="s">
        <v>24</v>
      </c>
      <c r="D899" s="1">
        <v>45935</v>
      </c>
      <c r="E899" s="1"/>
      <c r="F899" s="1"/>
      <c r="G899" s="1"/>
      <c r="H899" t="s">
        <v>25</v>
      </c>
      <c r="I899" t="s">
        <v>35</v>
      </c>
      <c r="J899" s="1"/>
      <c r="P899" t="b">
        <f>IF(EPe_BA_intern_assesment_Raw_data___Sheet13[[#This Row],[Customer Rating]]&gt;8,EPe_BA_intern_assesment_Raw_data___Sheet13[[#This Row],[Customer Rating]])</f>
        <v>0</v>
      </c>
      <c r="Q899" t="str">
        <f>IF(AND(EPe_BA_intern_assesment_Raw_data___Sheet13[[#This Row],[Customer Rating]]&gt;6,EPe_BA_intern_assesment_Raw_data___Sheet13[[#This Row],[Customer Rating]]&lt;9), EPe_BA_intern_assesment_Raw_data___Sheet13[[#This Row],[Customer Rating]], "")</f>
        <v/>
      </c>
      <c r="R899">
        <f>IF(EPe_BA_intern_assesment_Raw_data___Sheet13[[#This Row],[Customer Rating]]&lt;7,EPe_BA_intern_assesment_Raw_data___Sheet13[[#This Row],[Customer Rating]])</f>
        <v>0</v>
      </c>
    </row>
    <row r="900" spans="1:18" x14ac:dyDescent="0.3">
      <c r="A900" t="s">
        <v>928</v>
      </c>
      <c r="B900" t="s">
        <v>16</v>
      </c>
      <c r="C900" t="s">
        <v>24</v>
      </c>
      <c r="D900" s="1">
        <v>45948</v>
      </c>
      <c r="E900" s="1"/>
      <c r="F900" s="1"/>
      <c r="G900" s="1"/>
      <c r="H900" t="s">
        <v>25</v>
      </c>
      <c r="I900" t="s">
        <v>26</v>
      </c>
      <c r="J900" s="1"/>
      <c r="P900" t="b">
        <f>IF(EPe_BA_intern_assesment_Raw_data___Sheet13[[#This Row],[Customer Rating]]&gt;8,EPe_BA_intern_assesment_Raw_data___Sheet13[[#This Row],[Customer Rating]])</f>
        <v>0</v>
      </c>
      <c r="Q900" t="str">
        <f>IF(AND(EPe_BA_intern_assesment_Raw_data___Sheet13[[#This Row],[Customer Rating]]&gt;6,EPe_BA_intern_assesment_Raw_data___Sheet13[[#This Row],[Customer Rating]]&lt;9), EPe_BA_intern_assesment_Raw_data___Sheet13[[#This Row],[Customer Rating]], "")</f>
        <v/>
      </c>
      <c r="R900">
        <f>IF(EPe_BA_intern_assesment_Raw_data___Sheet13[[#This Row],[Customer Rating]]&lt;7,EPe_BA_intern_assesment_Raw_data___Sheet13[[#This Row],[Customer Rating]])</f>
        <v>0</v>
      </c>
    </row>
    <row r="901" spans="1:18" x14ac:dyDescent="0.3">
      <c r="A901" t="s">
        <v>929</v>
      </c>
      <c r="B901" t="s">
        <v>34</v>
      </c>
      <c r="C901" t="s">
        <v>32</v>
      </c>
      <c r="D901" s="1">
        <v>45939</v>
      </c>
      <c r="E901" s="1">
        <v>45943</v>
      </c>
      <c r="F901" s="1">
        <v>45945</v>
      </c>
      <c r="G901" s="1">
        <v>45948</v>
      </c>
      <c r="H901" t="s">
        <v>18</v>
      </c>
      <c r="I901" t="s">
        <v>19</v>
      </c>
      <c r="J901" s="1">
        <v>45976</v>
      </c>
      <c r="K901">
        <v>4</v>
      </c>
      <c r="L901">
        <v>2</v>
      </c>
      <c r="M901">
        <v>3</v>
      </c>
      <c r="N901">
        <v>9</v>
      </c>
      <c r="O901">
        <v>9</v>
      </c>
      <c r="P901">
        <f>IF(EPe_BA_intern_assesment_Raw_data___Sheet13[[#This Row],[Customer Rating]]&gt;8,EPe_BA_intern_assesment_Raw_data___Sheet13[[#This Row],[Customer Rating]])</f>
        <v>9</v>
      </c>
      <c r="Q901" t="str">
        <f>IF(AND(EPe_BA_intern_assesment_Raw_data___Sheet13[[#This Row],[Customer Rating]]&gt;6,EPe_BA_intern_assesment_Raw_data___Sheet13[[#This Row],[Customer Rating]]&lt;9), EPe_BA_intern_assesment_Raw_data___Sheet13[[#This Row],[Customer Rating]], "")</f>
        <v/>
      </c>
      <c r="R901" t="b">
        <f>IF(EPe_BA_intern_assesment_Raw_data___Sheet13[[#This Row],[Customer Rating]]&lt;7,EPe_BA_intern_assesment_Raw_data___Sheet13[[#This Row],[Customer Rating]])</f>
        <v>0</v>
      </c>
    </row>
    <row r="902" spans="1:18" x14ac:dyDescent="0.3">
      <c r="A902" t="s">
        <v>930</v>
      </c>
      <c r="B902" t="s">
        <v>21</v>
      </c>
      <c r="C902" t="s">
        <v>17</v>
      </c>
      <c r="D902" s="1">
        <v>45956</v>
      </c>
      <c r="E902" s="1">
        <v>45961</v>
      </c>
      <c r="F902" s="1">
        <v>45965</v>
      </c>
      <c r="G902" s="1">
        <v>45968</v>
      </c>
      <c r="H902" t="s">
        <v>18</v>
      </c>
      <c r="I902" t="s">
        <v>19</v>
      </c>
      <c r="J902" s="1">
        <v>45993</v>
      </c>
      <c r="K902">
        <v>5</v>
      </c>
      <c r="L902">
        <v>4</v>
      </c>
      <c r="M902">
        <v>3</v>
      </c>
      <c r="N902">
        <v>10</v>
      </c>
      <c r="O902">
        <v>12</v>
      </c>
      <c r="P902">
        <f>IF(EPe_BA_intern_assesment_Raw_data___Sheet13[[#This Row],[Customer Rating]]&gt;8,EPe_BA_intern_assesment_Raw_data___Sheet13[[#This Row],[Customer Rating]])</f>
        <v>10</v>
      </c>
      <c r="Q902" t="str">
        <f>IF(AND(EPe_BA_intern_assesment_Raw_data___Sheet13[[#This Row],[Customer Rating]]&gt;6,EPe_BA_intern_assesment_Raw_data___Sheet13[[#This Row],[Customer Rating]]&lt;9), EPe_BA_intern_assesment_Raw_data___Sheet13[[#This Row],[Customer Rating]], "")</f>
        <v/>
      </c>
      <c r="R902" t="b">
        <f>IF(EPe_BA_intern_assesment_Raw_data___Sheet13[[#This Row],[Customer Rating]]&lt;7,EPe_BA_intern_assesment_Raw_data___Sheet13[[#This Row],[Customer Rating]])</f>
        <v>0</v>
      </c>
    </row>
    <row r="903" spans="1:18" x14ac:dyDescent="0.3">
      <c r="A903" t="s">
        <v>931</v>
      </c>
      <c r="B903" t="s">
        <v>21</v>
      </c>
      <c r="C903" t="s">
        <v>17</v>
      </c>
      <c r="D903" s="1">
        <v>45936</v>
      </c>
      <c r="E903" s="1">
        <v>45940</v>
      </c>
      <c r="F903" s="1">
        <v>45944</v>
      </c>
      <c r="G903" s="1">
        <v>45948</v>
      </c>
      <c r="H903" t="s">
        <v>18</v>
      </c>
      <c r="I903" t="s">
        <v>19</v>
      </c>
      <c r="J903" s="1">
        <v>45962</v>
      </c>
      <c r="K903">
        <v>4</v>
      </c>
      <c r="L903">
        <v>4</v>
      </c>
      <c r="M903">
        <v>4</v>
      </c>
      <c r="N903">
        <v>0</v>
      </c>
      <c r="O903">
        <v>12</v>
      </c>
      <c r="P903" t="b">
        <f>IF(EPe_BA_intern_assesment_Raw_data___Sheet13[[#This Row],[Customer Rating]]&gt;8,EPe_BA_intern_assesment_Raw_data___Sheet13[[#This Row],[Customer Rating]])</f>
        <v>0</v>
      </c>
      <c r="Q903" t="str">
        <f>IF(AND(EPe_BA_intern_assesment_Raw_data___Sheet13[[#This Row],[Customer Rating]]&gt;6,EPe_BA_intern_assesment_Raw_data___Sheet13[[#This Row],[Customer Rating]]&lt;9), EPe_BA_intern_assesment_Raw_data___Sheet13[[#This Row],[Customer Rating]], "")</f>
        <v/>
      </c>
      <c r="R903">
        <f>IF(EPe_BA_intern_assesment_Raw_data___Sheet13[[#This Row],[Customer Rating]]&lt;7,EPe_BA_intern_assesment_Raw_data___Sheet13[[#This Row],[Customer Rating]])</f>
        <v>0</v>
      </c>
    </row>
    <row r="904" spans="1:18" x14ac:dyDescent="0.3">
      <c r="A904" t="s">
        <v>932</v>
      </c>
      <c r="B904" t="s">
        <v>21</v>
      </c>
      <c r="C904" t="s">
        <v>17</v>
      </c>
      <c r="D904" s="1">
        <v>45934</v>
      </c>
      <c r="E904" s="1">
        <v>45938</v>
      </c>
      <c r="F904" s="1">
        <v>45939</v>
      </c>
      <c r="G904" s="1">
        <v>45943</v>
      </c>
      <c r="H904" t="s">
        <v>18</v>
      </c>
      <c r="I904" t="s">
        <v>19</v>
      </c>
      <c r="J904" s="1">
        <v>45955</v>
      </c>
      <c r="K904">
        <v>4</v>
      </c>
      <c r="L904">
        <v>1</v>
      </c>
      <c r="M904">
        <v>4</v>
      </c>
      <c r="N904">
        <v>5</v>
      </c>
      <c r="O904">
        <v>9</v>
      </c>
      <c r="P904" t="b">
        <f>IF(EPe_BA_intern_assesment_Raw_data___Sheet13[[#This Row],[Customer Rating]]&gt;8,EPe_BA_intern_assesment_Raw_data___Sheet13[[#This Row],[Customer Rating]])</f>
        <v>0</v>
      </c>
      <c r="Q904" t="str">
        <f>IF(AND(EPe_BA_intern_assesment_Raw_data___Sheet13[[#This Row],[Customer Rating]]&gt;6,EPe_BA_intern_assesment_Raw_data___Sheet13[[#This Row],[Customer Rating]]&lt;9), EPe_BA_intern_assesment_Raw_data___Sheet13[[#This Row],[Customer Rating]], "")</f>
        <v/>
      </c>
      <c r="R904">
        <f>IF(EPe_BA_intern_assesment_Raw_data___Sheet13[[#This Row],[Customer Rating]]&lt;7,EPe_BA_intern_assesment_Raw_data___Sheet13[[#This Row],[Customer Rating]])</f>
        <v>5</v>
      </c>
    </row>
    <row r="905" spans="1:18" x14ac:dyDescent="0.3">
      <c r="A905" t="s">
        <v>933</v>
      </c>
      <c r="B905" t="s">
        <v>34</v>
      </c>
      <c r="C905" t="s">
        <v>17</v>
      </c>
      <c r="D905" s="1">
        <v>45952</v>
      </c>
      <c r="E905" s="1">
        <v>45955</v>
      </c>
      <c r="F905" s="1">
        <v>45959</v>
      </c>
      <c r="G905" s="1">
        <v>45964</v>
      </c>
      <c r="H905" t="s">
        <v>18</v>
      </c>
      <c r="I905" t="s">
        <v>19</v>
      </c>
      <c r="J905" s="1">
        <v>45990</v>
      </c>
      <c r="K905">
        <v>3</v>
      </c>
      <c r="L905">
        <v>4</v>
      </c>
      <c r="M905">
        <v>5</v>
      </c>
      <c r="N905">
        <v>9</v>
      </c>
      <c r="O905">
        <v>12</v>
      </c>
      <c r="P905">
        <f>IF(EPe_BA_intern_assesment_Raw_data___Sheet13[[#This Row],[Customer Rating]]&gt;8,EPe_BA_intern_assesment_Raw_data___Sheet13[[#This Row],[Customer Rating]])</f>
        <v>9</v>
      </c>
      <c r="Q905" t="str">
        <f>IF(AND(EPe_BA_intern_assesment_Raw_data___Sheet13[[#This Row],[Customer Rating]]&gt;6,EPe_BA_intern_assesment_Raw_data___Sheet13[[#This Row],[Customer Rating]]&lt;9), EPe_BA_intern_assesment_Raw_data___Sheet13[[#This Row],[Customer Rating]], "")</f>
        <v/>
      </c>
      <c r="R905" t="b">
        <f>IF(EPe_BA_intern_assesment_Raw_data___Sheet13[[#This Row],[Customer Rating]]&lt;7,EPe_BA_intern_assesment_Raw_data___Sheet13[[#This Row],[Customer Rating]])</f>
        <v>0</v>
      </c>
    </row>
    <row r="906" spans="1:18" x14ac:dyDescent="0.3">
      <c r="A906" t="s">
        <v>934</v>
      </c>
      <c r="B906" t="s">
        <v>21</v>
      </c>
      <c r="C906" t="s">
        <v>24</v>
      </c>
      <c r="D906" s="1">
        <v>45958</v>
      </c>
      <c r="E906" s="1"/>
      <c r="F906" s="1"/>
      <c r="G906" s="1"/>
      <c r="H906" t="s">
        <v>25</v>
      </c>
      <c r="I906" t="s">
        <v>65</v>
      </c>
      <c r="J906" s="1"/>
      <c r="P906" t="b">
        <f>IF(EPe_BA_intern_assesment_Raw_data___Sheet13[[#This Row],[Customer Rating]]&gt;8,EPe_BA_intern_assesment_Raw_data___Sheet13[[#This Row],[Customer Rating]])</f>
        <v>0</v>
      </c>
      <c r="Q906" t="str">
        <f>IF(AND(EPe_BA_intern_assesment_Raw_data___Sheet13[[#This Row],[Customer Rating]]&gt;6,EPe_BA_intern_assesment_Raw_data___Sheet13[[#This Row],[Customer Rating]]&lt;9), EPe_BA_intern_assesment_Raw_data___Sheet13[[#This Row],[Customer Rating]], "")</f>
        <v/>
      </c>
      <c r="R906">
        <f>IF(EPe_BA_intern_assesment_Raw_data___Sheet13[[#This Row],[Customer Rating]]&lt;7,EPe_BA_intern_assesment_Raw_data___Sheet13[[#This Row],[Customer Rating]])</f>
        <v>0</v>
      </c>
    </row>
    <row r="907" spans="1:18" x14ac:dyDescent="0.3">
      <c r="A907" t="s">
        <v>935</v>
      </c>
      <c r="B907" t="s">
        <v>34</v>
      </c>
      <c r="C907" t="s">
        <v>17</v>
      </c>
      <c r="D907" s="1">
        <v>45931</v>
      </c>
      <c r="E907" s="1">
        <v>45935</v>
      </c>
      <c r="F907" s="1">
        <v>45940</v>
      </c>
      <c r="G907" s="1">
        <v>45943</v>
      </c>
      <c r="H907" t="s">
        <v>18</v>
      </c>
      <c r="I907" t="s">
        <v>19</v>
      </c>
      <c r="J907" s="1">
        <v>45955</v>
      </c>
      <c r="K907">
        <v>4</v>
      </c>
      <c r="L907">
        <v>5</v>
      </c>
      <c r="M907">
        <v>3</v>
      </c>
      <c r="N907">
        <v>7</v>
      </c>
      <c r="O907">
        <v>12</v>
      </c>
      <c r="P907" t="b">
        <f>IF(EPe_BA_intern_assesment_Raw_data___Sheet13[[#This Row],[Customer Rating]]&gt;8,EPe_BA_intern_assesment_Raw_data___Sheet13[[#This Row],[Customer Rating]])</f>
        <v>0</v>
      </c>
      <c r="Q907">
        <f>IF(AND(EPe_BA_intern_assesment_Raw_data___Sheet13[[#This Row],[Customer Rating]]&gt;6,EPe_BA_intern_assesment_Raw_data___Sheet13[[#This Row],[Customer Rating]]&lt;9), EPe_BA_intern_assesment_Raw_data___Sheet13[[#This Row],[Customer Rating]], "")</f>
        <v>7</v>
      </c>
      <c r="R907" t="b">
        <f>IF(EPe_BA_intern_assesment_Raw_data___Sheet13[[#This Row],[Customer Rating]]&lt;7,EPe_BA_intern_assesment_Raw_data___Sheet13[[#This Row],[Customer Rating]])</f>
        <v>0</v>
      </c>
    </row>
    <row r="908" spans="1:18" x14ac:dyDescent="0.3">
      <c r="A908" t="s">
        <v>936</v>
      </c>
      <c r="B908" t="s">
        <v>21</v>
      </c>
      <c r="C908" t="s">
        <v>17</v>
      </c>
      <c r="D908" s="1">
        <v>45935</v>
      </c>
      <c r="E908" s="1">
        <v>45936</v>
      </c>
      <c r="F908" s="1">
        <v>45940</v>
      </c>
      <c r="G908" s="1">
        <v>45942</v>
      </c>
      <c r="H908" t="s">
        <v>18</v>
      </c>
      <c r="I908" t="s">
        <v>19</v>
      </c>
      <c r="J908" s="1">
        <v>45955</v>
      </c>
      <c r="K908">
        <v>1</v>
      </c>
      <c r="L908">
        <v>4</v>
      </c>
      <c r="M908">
        <v>2</v>
      </c>
      <c r="N908">
        <v>4</v>
      </c>
      <c r="O908">
        <v>7</v>
      </c>
      <c r="P908" t="b">
        <f>IF(EPe_BA_intern_assesment_Raw_data___Sheet13[[#This Row],[Customer Rating]]&gt;8,EPe_BA_intern_assesment_Raw_data___Sheet13[[#This Row],[Customer Rating]])</f>
        <v>0</v>
      </c>
      <c r="Q908" t="str">
        <f>IF(AND(EPe_BA_intern_assesment_Raw_data___Sheet13[[#This Row],[Customer Rating]]&gt;6,EPe_BA_intern_assesment_Raw_data___Sheet13[[#This Row],[Customer Rating]]&lt;9), EPe_BA_intern_assesment_Raw_data___Sheet13[[#This Row],[Customer Rating]], "")</f>
        <v/>
      </c>
      <c r="R908">
        <f>IF(EPe_BA_intern_assesment_Raw_data___Sheet13[[#This Row],[Customer Rating]]&lt;7,EPe_BA_intern_assesment_Raw_data___Sheet13[[#This Row],[Customer Rating]])</f>
        <v>4</v>
      </c>
    </row>
    <row r="909" spans="1:18" x14ac:dyDescent="0.3">
      <c r="A909" t="s">
        <v>937</v>
      </c>
      <c r="B909" t="s">
        <v>23</v>
      </c>
      <c r="C909" t="s">
        <v>32</v>
      </c>
      <c r="D909" s="1">
        <v>45931</v>
      </c>
      <c r="E909" s="1">
        <v>45932</v>
      </c>
      <c r="F909" s="1">
        <v>45937</v>
      </c>
      <c r="G909" s="1">
        <v>45943</v>
      </c>
      <c r="H909" t="s">
        <v>18</v>
      </c>
      <c r="I909" t="s">
        <v>19</v>
      </c>
      <c r="J909" s="1">
        <v>45961</v>
      </c>
      <c r="K909">
        <v>1</v>
      </c>
      <c r="L909">
        <v>5</v>
      </c>
      <c r="M909">
        <v>6</v>
      </c>
      <c r="N909">
        <v>2</v>
      </c>
      <c r="O909">
        <v>12</v>
      </c>
      <c r="P909" t="b">
        <f>IF(EPe_BA_intern_assesment_Raw_data___Sheet13[[#This Row],[Customer Rating]]&gt;8,EPe_BA_intern_assesment_Raw_data___Sheet13[[#This Row],[Customer Rating]])</f>
        <v>0</v>
      </c>
      <c r="Q909" t="str">
        <f>IF(AND(EPe_BA_intern_assesment_Raw_data___Sheet13[[#This Row],[Customer Rating]]&gt;6,EPe_BA_intern_assesment_Raw_data___Sheet13[[#This Row],[Customer Rating]]&lt;9), EPe_BA_intern_assesment_Raw_data___Sheet13[[#This Row],[Customer Rating]], "")</f>
        <v/>
      </c>
      <c r="R909">
        <f>IF(EPe_BA_intern_assesment_Raw_data___Sheet13[[#This Row],[Customer Rating]]&lt;7,EPe_BA_intern_assesment_Raw_data___Sheet13[[#This Row],[Customer Rating]])</f>
        <v>2</v>
      </c>
    </row>
    <row r="910" spans="1:18" x14ac:dyDescent="0.3">
      <c r="A910" t="s">
        <v>938</v>
      </c>
      <c r="B910" t="s">
        <v>16</v>
      </c>
      <c r="C910" t="s">
        <v>17</v>
      </c>
      <c r="D910" s="1">
        <v>45942</v>
      </c>
      <c r="E910" s="1">
        <v>45946</v>
      </c>
      <c r="F910" s="1">
        <v>45950</v>
      </c>
      <c r="G910" s="1">
        <v>45956</v>
      </c>
      <c r="H910" t="s">
        <v>18</v>
      </c>
      <c r="I910" t="s">
        <v>19</v>
      </c>
      <c r="J910" s="1">
        <v>45986</v>
      </c>
      <c r="K910">
        <v>4</v>
      </c>
      <c r="L910">
        <v>4</v>
      </c>
      <c r="M910">
        <v>6</v>
      </c>
      <c r="N910">
        <v>8</v>
      </c>
      <c r="O910">
        <v>14</v>
      </c>
      <c r="P910" t="b">
        <f>IF(EPe_BA_intern_assesment_Raw_data___Sheet13[[#This Row],[Customer Rating]]&gt;8,EPe_BA_intern_assesment_Raw_data___Sheet13[[#This Row],[Customer Rating]])</f>
        <v>0</v>
      </c>
      <c r="Q910">
        <f>IF(AND(EPe_BA_intern_assesment_Raw_data___Sheet13[[#This Row],[Customer Rating]]&gt;6,EPe_BA_intern_assesment_Raw_data___Sheet13[[#This Row],[Customer Rating]]&lt;9), EPe_BA_intern_assesment_Raw_data___Sheet13[[#This Row],[Customer Rating]], "")</f>
        <v>8</v>
      </c>
      <c r="R910" t="b">
        <f>IF(EPe_BA_intern_assesment_Raw_data___Sheet13[[#This Row],[Customer Rating]]&lt;7,EPe_BA_intern_assesment_Raw_data___Sheet13[[#This Row],[Customer Rating]])</f>
        <v>0</v>
      </c>
    </row>
    <row r="911" spans="1:18" x14ac:dyDescent="0.3">
      <c r="A911" t="s">
        <v>939</v>
      </c>
      <c r="B911" t="s">
        <v>23</v>
      </c>
      <c r="C911" t="s">
        <v>17</v>
      </c>
      <c r="D911" s="1">
        <v>45956</v>
      </c>
      <c r="E911" s="1">
        <v>45961</v>
      </c>
      <c r="F911" s="1">
        <v>45966</v>
      </c>
      <c r="G911" s="1">
        <v>45972</v>
      </c>
      <c r="H911" t="s">
        <v>18</v>
      </c>
      <c r="I911" t="s">
        <v>19</v>
      </c>
      <c r="J911" s="1">
        <v>45989</v>
      </c>
      <c r="K911">
        <v>5</v>
      </c>
      <c r="L911">
        <v>5</v>
      </c>
      <c r="M911">
        <v>6</v>
      </c>
      <c r="N911">
        <v>2</v>
      </c>
      <c r="O911">
        <v>16</v>
      </c>
      <c r="P911" t="b">
        <f>IF(EPe_BA_intern_assesment_Raw_data___Sheet13[[#This Row],[Customer Rating]]&gt;8,EPe_BA_intern_assesment_Raw_data___Sheet13[[#This Row],[Customer Rating]])</f>
        <v>0</v>
      </c>
      <c r="Q911" t="str">
        <f>IF(AND(EPe_BA_intern_assesment_Raw_data___Sheet13[[#This Row],[Customer Rating]]&gt;6,EPe_BA_intern_assesment_Raw_data___Sheet13[[#This Row],[Customer Rating]]&lt;9), EPe_BA_intern_assesment_Raw_data___Sheet13[[#This Row],[Customer Rating]], "")</f>
        <v/>
      </c>
      <c r="R911">
        <f>IF(EPe_BA_intern_assesment_Raw_data___Sheet13[[#This Row],[Customer Rating]]&lt;7,EPe_BA_intern_assesment_Raw_data___Sheet13[[#This Row],[Customer Rating]])</f>
        <v>2</v>
      </c>
    </row>
    <row r="912" spans="1:18" x14ac:dyDescent="0.3">
      <c r="A912" t="s">
        <v>940</v>
      </c>
      <c r="B912" t="s">
        <v>16</v>
      </c>
      <c r="C912" t="s">
        <v>17</v>
      </c>
      <c r="D912" s="1">
        <v>45956</v>
      </c>
      <c r="E912" s="1">
        <v>45960</v>
      </c>
      <c r="F912" s="1">
        <v>45965</v>
      </c>
      <c r="G912" s="1">
        <v>45968</v>
      </c>
      <c r="H912" t="s">
        <v>18</v>
      </c>
      <c r="I912" t="s">
        <v>19</v>
      </c>
      <c r="J912" s="1">
        <v>45992</v>
      </c>
      <c r="K912">
        <v>4</v>
      </c>
      <c r="L912">
        <v>5</v>
      </c>
      <c r="M912">
        <v>3</v>
      </c>
      <c r="N912">
        <v>4</v>
      </c>
      <c r="O912">
        <v>12</v>
      </c>
      <c r="P912" t="b">
        <f>IF(EPe_BA_intern_assesment_Raw_data___Sheet13[[#This Row],[Customer Rating]]&gt;8,EPe_BA_intern_assesment_Raw_data___Sheet13[[#This Row],[Customer Rating]])</f>
        <v>0</v>
      </c>
      <c r="Q912" t="str">
        <f>IF(AND(EPe_BA_intern_assesment_Raw_data___Sheet13[[#This Row],[Customer Rating]]&gt;6,EPe_BA_intern_assesment_Raw_data___Sheet13[[#This Row],[Customer Rating]]&lt;9), EPe_BA_intern_assesment_Raw_data___Sheet13[[#This Row],[Customer Rating]], "")</f>
        <v/>
      </c>
      <c r="R912">
        <f>IF(EPe_BA_intern_assesment_Raw_data___Sheet13[[#This Row],[Customer Rating]]&lt;7,EPe_BA_intern_assesment_Raw_data___Sheet13[[#This Row],[Customer Rating]])</f>
        <v>4</v>
      </c>
    </row>
    <row r="913" spans="1:18" x14ac:dyDescent="0.3">
      <c r="A913" t="s">
        <v>941</v>
      </c>
      <c r="B913" t="s">
        <v>34</v>
      </c>
      <c r="C913" t="s">
        <v>32</v>
      </c>
      <c r="D913" s="1">
        <v>45938</v>
      </c>
      <c r="E913" s="1">
        <v>45940</v>
      </c>
      <c r="F913" s="1">
        <v>45944</v>
      </c>
      <c r="G913" s="1">
        <v>45951</v>
      </c>
      <c r="H913" t="s">
        <v>18</v>
      </c>
      <c r="I913" t="s">
        <v>19</v>
      </c>
      <c r="J913" s="1">
        <v>45970</v>
      </c>
      <c r="K913">
        <v>2</v>
      </c>
      <c r="L913">
        <v>4</v>
      </c>
      <c r="M913">
        <v>7</v>
      </c>
      <c r="N913">
        <v>1</v>
      </c>
      <c r="O913">
        <v>13</v>
      </c>
      <c r="P913" t="b">
        <f>IF(EPe_BA_intern_assesment_Raw_data___Sheet13[[#This Row],[Customer Rating]]&gt;8,EPe_BA_intern_assesment_Raw_data___Sheet13[[#This Row],[Customer Rating]])</f>
        <v>0</v>
      </c>
      <c r="Q913" t="str">
        <f>IF(AND(EPe_BA_intern_assesment_Raw_data___Sheet13[[#This Row],[Customer Rating]]&gt;6,EPe_BA_intern_assesment_Raw_data___Sheet13[[#This Row],[Customer Rating]]&lt;9), EPe_BA_intern_assesment_Raw_data___Sheet13[[#This Row],[Customer Rating]], "")</f>
        <v/>
      </c>
      <c r="R913">
        <f>IF(EPe_BA_intern_assesment_Raw_data___Sheet13[[#This Row],[Customer Rating]]&lt;7,EPe_BA_intern_assesment_Raw_data___Sheet13[[#This Row],[Customer Rating]])</f>
        <v>1</v>
      </c>
    </row>
    <row r="914" spans="1:18" x14ac:dyDescent="0.3">
      <c r="A914" t="s">
        <v>942</v>
      </c>
      <c r="B914" t="s">
        <v>23</v>
      </c>
      <c r="C914" t="s">
        <v>32</v>
      </c>
      <c r="D914" s="1">
        <v>45949</v>
      </c>
      <c r="E914" s="1">
        <v>45951</v>
      </c>
      <c r="F914" s="1">
        <v>45956</v>
      </c>
      <c r="G914" s="1">
        <v>45960</v>
      </c>
      <c r="H914" t="s">
        <v>18</v>
      </c>
      <c r="I914" t="s">
        <v>19</v>
      </c>
      <c r="J914" s="1">
        <v>45978</v>
      </c>
      <c r="K914">
        <v>2</v>
      </c>
      <c r="L914">
        <v>5</v>
      </c>
      <c r="M914">
        <v>4</v>
      </c>
      <c r="N914">
        <v>8</v>
      </c>
      <c r="O914">
        <v>11</v>
      </c>
      <c r="P914" t="b">
        <f>IF(EPe_BA_intern_assesment_Raw_data___Sheet13[[#This Row],[Customer Rating]]&gt;8,EPe_BA_intern_assesment_Raw_data___Sheet13[[#This Row],[Customer Rating]])</f>
        <v>0</v>
      </c>
      <c r="Q914">
        <f>IF(AND(EPe_BA_intern_assesment_Raw_data___Sheet13[[#This Row],[Customer Rating]]&gt;6,EPe_BA_intern_assesment_Raw_data___Sheet13[[#This Row],[Customer Rating]]&lt;9), EPe_BA_intern_assesment_Raw_data___Sheet13[[#This Row],[Customer Rating]], "")</f>
        <v>8</v>
      </c>
      <c r="R914" t="b">
        <f>IF(EPe_BA_intern_assesment_Raw_data___Sheet13[[#This Row],[Customer Rating]]&lt;7,EPe_BA_intern_assesment_Raw_data___Sheet13[[#This Row],[Customer Rating]])</f>
        <v>0</v>
      </c>
    </row>
    <row r="915" spans="1:18" x14ac:dyDescent="0.3">
      <c r="A915" t="s">
        <v>943</v>
      </c>
      <c r="B915" t="s">
        <v>21</v>
      </c>
      <c r="C915" t="s">
        <v>17</v>
      </c>
      <c r="D915" s="1">
        <v>45941</v>
      </c>
      <c r="E915" s="1">
        <v>45946</v>
      </c>
      <c r="F915" s="1">
        <v>45947</v>
      </c>
      <c r="G915" s="1">
        <v>45952</v>
      </c>
      <c r="H915" t="s">
        <v>18</v>
      </c>
      <c r="I915" t="s">
        <v>19</v>
      </c>
      <c r="J915" s="1">
        <v>45976</v>
      </c>
      <c r="K915">
        <v>5</v>
      </c>
      <c r="L915">
        <v>1</v>
      </c>
      <c r="M915">
        <v>5</v>
      </c>
      <c r="N915">
        <v>9</v>
      </c>
      <c r="O915">
        <v>11</v>
      </c>
      <c r="P915">
        <f>IF(EPe_BA_intern_assesment_Raw_data___Sheet13[[#This Row],[Customer Rating]]&gt;8,EPe_BA_intern_assesment_Raw_data___Sheet13[[#This Row],[Customer Rating]])</f>
        <v>9</v>
      </c>
      <c r="Q915" t="str">
        <f>IF(AND(EPe_BA_intern_assesment_Raw_data___Sheet13[[#This Row],[Customer Rating]]&gt;6,EPe_BA_intern_assesment_Raw_data___Sheet13[[#This Row],[Customer Rating]]&lt;9), EPe_BA_intern_assesment_Raw_data___Sheet13[[#This Row],[Customer Rating]], "")</f>
        <v/>
      </c>
      <c r="R915" t="b">
        <f>IF(EPe_BA_intern_assesment_Raw_data___Sheet13[[#This Row],[Customer Rating]]&lt;7,EPe_BA_intern_assesment_Raw_data___Sheet13[[#This Row],[Customer Rating]])</f>
        <v>0</v>
      </c>
    </row>
    <row r="916" spans="1:18" x14ac:dyDescent="0.3">
      <c r="A916" t="s">
        <v>944</v>
      </c>
      <c r="B916" t="s">
        <v>16</v>
      </c>
      <c r="C916" t="s">
        <v>32</v>
      </c>
      <c r="D916" s="1">
        <v>45931</v>
      </c>
      <c r="E916" s="1">
        <v>45934</v>
      </c>
      <c r="F916" s="1">
        <v>45937</v>
      </c>
      <c r="G916" s="1">
        <v>45942</v>
      </c>
      <c r="H916" t="s">
        <v>18</v>
      </c>
      <c r="I916" t="s">
        <v>19</v>
      </c>
      <c r="J916" s="1">
        <v>45953</v>
      </c>
      <c r="K916">
        <v>3</v>
      </c>
      <c r="L916">
        <v>3</v>
      </c>
      <c r="M916">
        <v>5</v>
      </c>
      <c r="N916">
        <v>4</v>
      </c>
      <c r="O916">
        <v>11</v>
      </c>
      <c r="P916" t="b">
        <f>IF(EPe_BA_intern_assesment_Raw_data___Sheet13[[#This Row],[Customer Rating]]&gt;8,EPe_BA_intern_assesment_Raw_data___Sheet13[[#This Row],[Customer Rating]])</f>
        <v>0</v>
      </c>
      <c r="Q916" t="str">
        <f>IF(AND(EPe_BA_intern_assesment_Raw_data___Sheet13[[#This Row],[Customer Rating]]&gt;6,EPe_BA_intern_assesment_Raw_data___Sheet13[[#This Row],[Customer Rating]]&lt;9), EPe_BA_intern_assesment_Raw_data___Sheet13[[#This Row],[Customer Rating]], "")</f>
        <v/>
      </c>
      <c r="R916">
        <f>IF(EPe_BA_intern_assesment_Raw_data___Sheet13[[#This Row],[Customer Rating]]&lt;7,EPe_BA_intern_assesment_Raw_data___Sheet13[[#This Row],[Customer Rating]])</f>
        <v>4</v>
      </c>
    </row>
    <row r="917" spans="1:18" x14ac:dyDescent="0.3">
      <c r="A917" t="s">
        <v>945</v>
      </c>
      <c r="B917" t="s">
        <v>16</v>
      </c>
      <c r="C917" t="s">
        <v>32</v>
      </c>
      <c r="D917" s="1">
        <v>45936</v>
      </c>
      <c r="E917" s="1">
        <v>45937</v>
      </c>
      <c r="F917" s="1">
        <v>45942</v>
      </c>
      <c r="G917" s="1">
        <v>45948</v>
      </c>
      <c r="H917" t="s">
        <v>18</v>
      </c>
      <c r="I917" t="s">
        <v>19</v>
      </c>
      <c r="J917" s="1">
        <v>45961</v>
      </c>
      <c r="K917">
        <v>1</v>
      </c>
      <c r="L917">
        <v>5</v>
      </c>
      <c r="M917">
        <v>6</v>
      </c>
      <c r="N917">
        <v>1</v>
      </c>
      <c r="O917">
        <v>12</v>
      </c>
      <c r="P917" t="b">
        <f>IF(EPe_BA_intern_assesment_Raw_data___Sheet13[[#This Row],[Customer Rating]]&gt;8,EPe_BA_intern_assesment_Raw_data___Sheet13[[#This Row],[Customer Rating]])</f>
        <v>0</v>
      </c>
      <c r="Q917" t="str">
        <f>IF(AND(EPe_BA_intern_assesment_Raw_data___Sheet13[[#This Row],[Customer Rating]]&gt;6,EPe_BA_intern_assesment_Raw_data___Sheet13[[#This Row],[Customer Rating]]&lt;9), EPe_BA_intern_assesment_Raw_data___Sheet13[[#This Row],[Customer Rating]], "")</f>
        <v/>
      </c>
      <c r="R917">
        <f>IF(EPe_BA_intern_assesment_Raw_data___Sheet13[[#This Row],[Customer Rating]]&lt;7,EPe_BA_intern_assesment_Raw_data___Sheet13[[#This Row],[Customer Rating]])</f>
        <v>1</v>
      </c>
    </row>
    <row r="918" spans="1:18" x14ac:dyDescent="0.3">
      <c r="A918" t="s">
        <v>946</v>
      </c>
      <c r="B918" t="s">
        <v>23</v>
      </c>
      <c r="C918" t="s">
        <v>32</v>
      </c>
      <c r="D918" s="1">
        <v>45939</v>
      </c>
      <c r="E918" s="1">
        <v>45940</v>
      </c>
      <c r="F918" s="1">
        <v>45945</v>
      </c>
      <c r="G918" s="1">
        <v>45950</v>
      </c>
      <c r="H918" t="s">
        <v>18</v>
      </c>
      <c r="I918" t="s">
        <v>19</v>
      </c>
      <c r="J918" s="1">
        <v>45965</v>
      </c>
      <c r="K918">
        <v>1</v>
      </c>
      <c r="L918">
        <v>5</v>
      </c>
      <c r="M918">
        <v>5</v>
      </c>
      <c r="N918">
        <v>6</v>
      </c>
      <c r="O918">
        <v>11</v>
      </c>
      <c r="P918" t="b">
        <f>IF(EPe_BA_intern_assesment_Raw_data___Sheet13[[#This Row],[Customer Rating]]&gt;8,EPe_BA_intern_assesment_Raw_data___Sheet13[[#This Row],[Customer Rating]])</f>
        <v>0</v>
      </c>
      <c r="Q918" t="str">
        <f>IF(AND(EPe_BA_intern_assesment_Raw_data___Sheet13[[#This Row],[Customer Rating]]&gt;6,EPe_BA_intern_assesment_Raw_data___Sheet13[[#This Row],[Customer Rating]]&lt;9), EPe_BA_intern_assesment_Raw_data___Sheet13[[#This Row],[Customer Rating]], "")</f>
        <v/>
      </c>
      <c r="R918">
        <f>IF(EPe_BA_intern_assesment_Raw_data___Sheet13[[#This Row],[Customer Rating]]&lt;7,EPe_BA_intern_assesment_Raw_data___Sheet13[[#This Row],[Customer Rating]])</f>
        <v>6</v>
      </c>
    </row>
    <row r="919" spans="1:18" x14ac:dyDescent="0.3">
      <c r="A919" t="s">
        <v>947</v>
      </c>
      <c r="B919" t="s">
        <v>34</v>
      </c>
      <c r="C919" t="s">
        <v>32</v>
      </c>
      <c r="D919" s="1">
        <v>45932</v>
      </c>
      <c r="E919" s="1">
        <v>45935</v>
      </c>
      <c r="F919" s="1">
        <v>45936</v>
      </c>
      <c r="G919" s="1">
        <v>45938</v>
      </c>
      <c r="H919" t="s">
        <v>18</v>
      </c>
      <c r="I919" t="s">
        <v>19</v>
      </c>
      <c r="J919" s="1">
        <v>45949</v>
      </c>
      <c r="K919">
        <v>3</v>
      </c>
      <c r="L919">
        <v>1</v>
      </c>
      <c r="M919">
        <v>2</v>
      </c>
      <c r="N919">
        <v>8</v>
      </c>
      <c r="O919">
        <v>6</v>
      </c>
      <c r="P919" t="b">
        <f>IF(EPe_BA_intern_assesment_Raw_data___Sheet13[[#This Row],[Customer Rating]]&gt;8,EPe_BA_intern_assesment_Raw_data___Sheet13[[#This Row],[Customer Rating]])</f>
        <v>0</v>
      </c>
      <c r="Q919">
        <f>IF(AND(EPe_BA_intern_assesment_Raw_data___Sheet13[[#This Row],[Customer Rating]]&gt;6,EPe_BA_intern_assesment_Raw_data___Sheet13[[#This Row],[Customer Rating]]&lt;9), EPe_BA_intern_assesment_Raw_data___Sheet13[[#This Row],[Customer Rating]], "")</f>
        <v>8</v>
      </c>
      <c r="R919" t="b">
        <f>IF(EPe_BA_intern_assesment_Raw_data___Sheet13[[#This Row],[Customer Rating]]&lt;7,EPe_BA_intern_assesment_Raw_data___Sheet13[[#This Row],[Customer Rating]])</f>
        <v>0</v>
      </c>
    </row>
    <row r="920" spans="1:18" x14ac:dyDescent="0.3">
      <c r="A920" t="s">
        <v>948</v>
      </c>
      <c r="B920" t="s">
        <v>23</v>
      </c>
      <c r="C920" t="s">
        <v>32</v>
      </c>
      <c r="D920" s="1">
        <v>45935</v>
      </c>
      <c r="E920" s="1">
        <v>45939</v>
      </c>
      <c r="F920" s="1">
        <v>45940</v>
      </c>
      <c r="G920" s="1">
        <v>45942</v>
      </c>
      <c r="H920" t="s">
        <v>18</v>
      </c>
      <c r="I920" t="s">
        <v>19</v>
      </c>
      <c r="J920" s="1">
        <v>45961</v>
      </c>
      <c r="K920">
        <v>4</v>
      </c>
      <c r="L920">
        <v>1</v>
      </c>
      <c r="M920">
        <v>2</v>
      </c>
      <c r="N920">
        <v>1</v>
      </c>
      <c r="O920">
        <v>7</v>
      </c>
      <c r="P920" t="b">
        <f>IF(EPe_BA_intern_assesment_Raw_data___Sheet13[[#This Row],[Customer Rating]]&gt;8,EPe_BA_intern_assesment_Raw_data___Sheet13[[#This Row],[Customer Rating]])</f>
        <v>0</v>
      </c>
      <c r="Q920" t="str">
        <f>IF(AND(EPe_BA_intern_assesment_Raw_data___Sheet13[[#This Row],[Customer Rating]]&gt;6,EPe_BA_intern_assesment_Raw_data___Sheet13[[#This Row],[Customer Rating]]&lt;9), EPe_BA_intern_assesment_Raw_data___Sheet13[[#This Row],[Customer Rating]], "")</f>
        <v/>
      </c>
      <c r="R920">
        <f>IF(EPe_BA_intern_assesment_Raw_data___Sheet13[[#This Row],[Customer Rating]]&lt;7,EPe_BA_intern_assesment_Raw_data___Sheet13[[#This Row],[Customer Rating]])</f>
        <v>1</v>
      </c>
    </row>
    <row r="921" spans="1:18" x14ac:dyDescent="0.3">
      <c r="A921" t="s">
        <v>949</v>
      </c>
      <c r="B921" t="s">
        <v>34</v>
      </c>
      <c r="C921" t="s">
        <v>17</v>
      </c>
      <c r="D921" s="1">
        <v>45954</v>
      </c>
      <c r="E921" s="1">
        <v>45959</v>
      </c>
      <c r="F921" s="1">
        <v>45961</v>
      </c>
      <c r="G921" s="1">
        <v>45965</v>
      </c>
      <c r="H921" t="s">
        <v>18</v>
      </c>
      <c r="I921" t="s">
        <v>19</v>
      </c>
      <c r="J921" s="1">
        <v>45986</v>
      </c>
      <c r="K921">
        <v>5</v>
      </c>
      <c r="L921">
        <v>2</v>
      </c>
      <c r="M921">
        <v>4</v>
      </c>
      <c r="N921">
        <v>6</v>
      </c>
      <c r="O921">
        <v>11</v>
      </c>
      <c r="P921" t="b">
        <f>IF(EPe_BA_intern_assesment_Raw_data___Sheet13[[#This Row],[Customer Rating]]&gt;8,EPe_BA_intern_assesment_Raw_data___Sheet13[[#This Row],[Customer Rating]])</f>
        <v>0</v>
      </c>
      <c r="Q921" t="str">
        <f>IF(AND(EPe_BA_intern_assesment_Raw_data___Sheet13[[#This Row],[Customer Rating]]&gt;6,EPe_BA_intern_assesment_Raw_data___Sheet13[[#This Row],[Customer Rating]]&lt;9), EPe_BA_intern_assesment_Raw_data___Sheet13[[#This Row],[Customer Rating]], "")</f>
        <v/>
      </c>
      <c r="R921">
        <f>IF(EPe_BA_intern_assesment_Raw_data___Sheet13[[#This Row],[Customer Rating]]&lt;7,EPe_BA_intern_assesment_Raw_data___Sheet13[[#This Row],[Customer Rating]])</f>
        <v>6</v>
      </c>
    </row>
    <row r="922" spans="1:18" x14ac:dyDescent="0.3">
      <c r="A922" t="s">
        <v>950</v>
      </c>
      <c r="B922" t="s">
        <v>34</v>
      </c>
      <c r="C922" t="s">
        <v>17</v>
      </c>
      <c r="D922" s="1">
        <v>45944</v>
      </c>
      <c r="E922" s="1">
        <v>45948</v>
      </c>
      <c r="F922" s="1">
        <v>45951</v>
      </c>
      <c r="G922" s="1">
        <v>45956</v>
      </c>
      <c r="H922" t="s">
        <v>18</v>
      </c>
      <c r="I922" t="s">
        <v>19</v>
      </c>
      <c r="J922" s="1">
        <v>45976</v>
      </c>
      <c r="K922">
        <v>4</v>
      </c>
      <c r="L922">
        <v>3</v>
      </c>
      <c r="M922">
        <v>5</v>
      </c>
      <c r="N922">
        <v>0</v>
      </c>
      <c r="O922">
        <v>12</v>
      </c>
      <c r="P922" t="b">
        <f>IF(EPe_BA_intern_assesment_Raw_data___Sheet13[[#This Row],[Customer Rating]]&gt;8,EPe_BA_intern_assesment_Raw_data___Sheet13[[#This Row],[Customer Rating]])</f>
        <v>0</v>
      </c>
      <c r="Q922" t="str">
        <f>IF(AND(EPe_BA_intern_assesment_Raw_data___Sheet13[[#This Row],[Customer Rating]]&gt;6,EPe_BA_intern_assesment_Raw_data___Sheet13[[#This Row],[Customer Rating]]&lt;9), EPe_BA_intern_assesment_Raw_data___Sheet13[[#This Row],[Customer Rating]], "")</f>
        <v/>
      </c>
      <c r="R922">
        <f>IF(EPe_BA_intern_assesment_Raw_data___Sheet13[[#This Row],[Customer Rating]]&lt;7,EPe_BA_intern_assesment_Raw_data___Sheet13[[#This Row],[Customer Rating]])</f>
        <v>0</v>
      </c>
    </row>
    <row r="923" spans="1:18" x14ac:dyDescent="0.3">
      <c r="A923" t="s">
        <v>951</v>
      </c>
      <c r="B923" t="s">
        <v>16</v>
      </c>
      <c r="C923" t="s">
        <v>24</v>
      </c>
      <c r="D923" s="1">
        <v>45947</v>
      </c>
      <c r="E923" s="1"/>
      <c r="F923" s="1"/>
      <c r="G923" s="1"/>
      <c r="H923" t="s">
        <v>25</v>
      </c>
      <c r="I923" t="s">
        <v>26</v>
      </c>
      <c r="J923" s="1"/>
      <c r="P923" t="b">
        <f>IF(EPe_BA_intern_assesment_Raw_data___Sheet13[[#This Row],[Customer Rating]]&gt;8,EPe_BA_intern_assesment_Raw_data___Sheet13[[#This Row],[Customer Rating]])</f>
        <v>0</v>
      </c>
      <c r="Q923" t="str">
        <f>IF(AND(EPe_BA_intern_assesment_Raw_data___Sheet13[[#This Row],[Customer Rating]]&gt;6,EPe_BA_intern_assesment_Raw_data___Sheet13[[#This Row],[Customer Rating]]&lt;9), EPe_BA_intern_assesment_Raw_data___Sheet13[[#This Row],[Customer Rating]], "")</f>
        <v/>
      </c>
      <c r="R923">
        <f>IF(EPe_BA_intern_assesment_Raw_data___Sheet13[[#This Row],[Customer Rating]]&lt;7,EPe_BA_intern_assesment_Raw_data___Sheet13[[#This Row],[Customer Rating]])</f>
        <v>0</v>
      </c>
    </row>
    <row r="924" spans="1:18" x14ac:dyDescent="0.3">
      <c r="A924" t="s">
        <v>952</v>
      </c>
      <c r="B924" t="s">
        <v>23</v>
      </c>
      <c r="C924" t="s">
        <v>17</v>
      </c>
      <c r="D924" s="1">
        <v>45934</v>
      </c>
      <c r="E924" s="1">
        <v>45937</v>
      </c>
      <c r="F924" s="1">
        <v>45939</v>
      </c>
      <c r="G924" s="1">
        <v>45942</v>
      </c>
      <c r="H924" t="s">
        <v>18</v>
      </c>
      <c r="I924" t="s">
        <v>19</v>
      </c>
      <c r="J924" s="1">
        <v>45965</v>
      </c>
      <c r="K924">
        <v>3</v>
      </c>
      <c r="L924">
        <v>2</v>
      </c>
      <c r="M924">
        <v>3</v>
      </c>
      <c r="N924">
        <v>6</v>
      </c>
      <c r="O924">
        <v>8</v>
      </c>
      <c r="P924" t="b">
        <f>IF(EPe_BA_intern_assesment_Raw_data___Sheet13[[#This Row],[Customer Rating]]&gt;8,EPe_BA_intern_assesment_Raw_data___Sheet13[[#This Row],[Customer Rating]])</f>
        <v>0</v>
      </c>
      <c r="Q924" t="str">
        <f>IF(AND(EPe_BA_intern_assesment_Raw_data___Sheet13[[#This Row],[Customer Rating]]&gt;6,EPe_BA_intern_assesment_Raw_data___Sheet13[[#This Row],[Customer Rating]]&lt;9), EPe_BA_intern_assesment_Raw_data___Sheet13[[#This Row],[Customer Rating]], "")</f>
        <v/>
      </c>
      <c r="R924">
        <f>IF(EPe_BA_intern_assesment_Raw_data___Sheet13[[#This Row],[Customer Rating]]&lt;7,EPe_BA_intern_assesment_Raw_data___Sheet13[[#This Row],[Customer Rating]])</f>
        <v>6</v>
      </c>
    </row>
    <row r="925" spans="1:18" x14ac:dyDescent="0.3">
      <c r="A925" t="s">
        <v>953</v>
      </c>
      <c r="B925" t="s">
        <v>23</v>
      </c>
      <c r="C925" t="s">
        <v>17</v>
      </c>
      <c r="D925" s="1">
        <v>45954</v>
      </c>
      <c r="E925" s="1">
        <v>45959</v>
      </c>
      <c r="F925" s="1">
        <v>45964</v>
      </c>
      <c r="G925" s="1">
        <v>45969</v>
      </c>
      <c r="H925" t="s">
        <v>18</v>
      </c>
      <c r="I925" t="s">
        <v>19</v>
      </c>
      <c r="J925" s="1">
        <v>45982</v>
      </c>
      <c r="K925">
        <v>5</v>
      </c>
      <c r="L925">
        <v>5</v>
      </c>
      <c r="M925">
        <v>5</v>
      </c>
      <c r="N925">
        <v>6</v>
      </c>
      <c r="O925">
        <v>15</v>
      </c>
      <c r="P925" t="b">
        <f>IF(EPe_BA_intern_assesment_Raw_data___Sheet13[[#This Row],[Customer Rating]]&gt;8,EPe_BA_intern_assesment_Raw_data___Sheet13[[#This Row],[Customer Rating]])</f>
        <v>0</v>
      </c>
      <c r="Q925" t="str">
        <f>IF(AND(EPe_BA_intern_assesment_Raw_data___Sheet13[[#This Row],[Customer Rating]]&gt;6,EPe_BA_intern_assesment_Raw_data___Sheet13[[#This Row],[Customer Rating]]&lt;9), EPe_BA_intern_assesment_Raw_data___Sheet13[[#This Row],[Customer Rating]], "")</f>
        <v/>
      </c>
      <c r="R925">
        <f>IF(EPe_BA_intern_assesment_Raw_data___Sheet13[[#This Row],[Customer Rating]]&lt;7,EPe_BA_intern_assesment_Raw_data___Sheet13[[#This Row],[Customer Rating]])</f>
        <v>6</v>
      </c>
    </row>
    <row r="926" spans="1:18" x14ac:dyDescent="0.3">
      <c r="A926" t="s">
        <v>954</v>
      </c>
      <c r="B926" t="s">
        <v>34</v>
      </c>
      <c r="C926" t="s">
        <v>32</v>
      </c>
      <c r="D926" s="1">
        <v>45933</v>
      </c>
      <c r="E926" s="1">
        <v>45934</v>
      </c>
      <c r="F926" s="1">
        <v>45935</v>
      </c>
      <c r="G926" s="1">
        <v>45938</v>
      </c>
      <c r="H926" t="s">
        <v>18</v>
      </c>
      <c r="I926" t="s">
        <v>19</v>
      </c>
      <c r="J926" s="1">
        <v>45951</v>
      </c>
      <c r="K926">
        <v>1</v>
      </c>
      <c r="L926">
        <v>1</v>
      </c>
      <c r="M926">
        <v>3</v>
      </c>
      <c r="N926">
        <v>6</v>
      </c>
      <c r="O926">
        <v>5</v>
      </c>
      <c r="P926" t="b">
        <f>IF(EPe_BA_intern_assesment_Raw_data___Sheet13[[#This Row],[Customer Rating]]&gt;8,EPe_BA_intern_assesment_Raw_data___Sheet13[[#This Row],[Customer Rating]])</f>
        <v>0</v>
      </c>
      <c r="Q926" t="str">
        <f>IF(AND(EPe_BA_intern_assesment_Raw_data___Sheet13[[#This Row],[Customer Rating]]&gt;6,EPe_BA_intern_assesment_Raw_data___Sheet13[[#This Row],[Customer Rating]]&lt;9), EPe_BA_intern_assesment_Raw_data___Sheet13[[#This Row],[Customer Rating]], "")</f>
        <v/>
      </c>
      <c r="R926">
        <f>IF(EPe_BA_intern_assesment_Raw_data___Sheet13[[#This Row],[Customer Rating]]&lt;7,EPe_BA_intern_assesment_Raw_data___Sheet13[[#This Row],[Customer Rating]])</f>
        <v>6</v>
      </c>
    </row>
    <row r="927" spans="1:18" x14ac:dyDescent="0.3">
      <c r="A927" t="s">
        <v>955</v>
      </c>
      <c r="B927" t="s">
        <v>23</v>
      </c>
      <c r="C927" t="s">
        <v>32</v>
      </c>
      <c r="D927" s="1">
        <v>45946</v>
      </c>
      <c r="E927" s="1">
        <v>45947</v>
      </c>
      <c r="F927" s="1">
        <v>45952</v>
      </c>
      <c r="G927" s="1">
        <v>45959</v>
      </c>
      <c r="H927" t="s">
        <v>18</v>
      </c>
      <c r="I927" t="s">
        <v>19</v>
      </c>
      <c r="J927" s="1">
        <v>45970</v>
      </c>
      <c r="K927">
        <v>1</v>
      </c>
      <c r="L927">
        <v>5</v>
      </c>
      <c r="M927">
        <v>7</v>
      </c>
      <c r="N927">
        <v>2</v>
      </c>
      <c r="O927">
        <v>13</v>
      </c>
      <c r="P927" t="b">
        <f>IF(EPe_BA_intern_assesment_Raw_data___Sheet13[[#This Row],[Customer Rating]]&gt;8,EPe_BA_intern_assesment_Raw_data___Sheet13[[#This Row],[Customer Rating]])</f>
        <v>0</v>
      </c>
      <c r="Q927" t="str">
        <f>IF(AND(EPe_BA_intern_assesment_Raw_data___Sheet13[[#This Row],[Customer Rating]]&gt;6,EPe_BA_intern_assesment_Raw_data___Sheet13[[#This Row],[Customer Rating]]&lt;9), EPe_BA_intern_assesment_Raw_data___Sheet13[[#This Row],[Customer Rating]], "")</f>
        <v/>
      </c>
      <c r="R927">
        <f>IF(EPe_BA_intern_assesment_Raw_data___Sheet13[[#This Row],[Customer Rating]]&lt;7,EPe_BA_intern_assesment_Raw_data___Sheet13[[#This Row],[Customer Rating]])</f>
        <v>2</v>
      </c>
    </row>
    <row r="928" spans="1:18" x14ac:dyDescent="0.3">
      <c r="A928" t="s">
        <v>956</v>
      </c>
      <c r="B928" t="s">
        <v>21</v>
      </c>
      <c r="C928" t="s">
        <v>17</v>
      </c>
      <c r="D928" s="1">
        <v>45945</v>
      </c>
      <c r="E928" s="1">
        <v>45949</v>
      </c>
      <c r="F928" s="1">
        <v>45953</v>
      </c>
      <c r="G928" s="1">
        <v>45959</v>
      </c>
      <c r="H928" t="s">
        <v>18</v>
      </c>
      <c r="I928" t="s">
        <v>19</v>
      </c>
      <c r="J928" s="1">
        <v>45969</v>
      </c>
      <c r="K928">
        <v>4</v>
      </c>
      <c r="L928">
        <v>4</v>
      </c>
      <c r="M928">
        <v>6</v>
      </c>
      <c r="N928">
        <v>7</v>
      </c>
      <c r="O928">
        <v>14</v>
      </c>
      <c r="P928" t="b">
        <f>IF(EPe_BA_intern_assesment_Raw_data___Sheet13[[#This Row],[Customer Rating]]&gt;8,EPe_BA_intern_assesment_Raw_data___Sheet13[[#This Row],[Customer Rating]])</f>
        <v>0</v>
      </c>
      <c r="Q928">
        <f>IF(AND(EPe_BA_intern_assesment_Raw_data___Sheet13[[#This Row],[Customer Rating]]&gt;6,EPe_BA_intern_assesment_Raw_data___Sheet13[[#This Row],[Customer Rating]]&lt;9), EPe_BA_intern_assesment_Raw_data___Sheet13[[#This Row],[Customer Rating]], "")</f>
        <v>7</v>
      </c>
      <c r="R928" t="b">
        <f>IF(EPe_BA_intern_assesment_Raw_data___Sheet13[[#This Row],[Customer Rating]]&lt;7,EPe_BA_intern_assesment_Raw_data___Sheet13[[#This Row],[Customer Rating]])</f>
        <v>0</v>
      </c>
    </row>
    <row r="929" spans="1:18" x14ac:dyDescent="0.3">
      <c r="A929" t="s">
        <v>957</v>
      </c>
      <c r="B929" t="s">
        <v>21</v>
      </c>
      <c r="C929" t="s">
        <v>32</v>
      </c>
      <c r="D929" s="1">
        <v>45955</v>
      </c>
      <c r="E929" s="1">
        <v>45957</v>
      </c>
      <c r="F929" s="1">
        <v>45960</v>
      </c>
      <c r="G929" s="1">
        <v>45963</v>
      </c>
      <c r="H929" t="s">
        <v>25</v>
      </c>
      <c r="I929" t="s">
        <v>65</v>
      </c>
      <c r="J929" s="1"/>
      <c r="K929">
        <v>2</v>
      </c>
      <c r="L929">
        <v>3</v>
      </c>
      <c r="M929">
        <v>3</v>
      </c>
      <c r="O929">
        <v>8</v>
      </c>
      <c r="P929" t="b">
        <f>IF(EPe_BA_intern_assesment_Raw_data___Sheet13[[#This Row],[Customer Rating]]&gt;8,EPe_BA_intern_assesment_Raw_data___Sheet13[[#This Row],[Customer Rating]])</f>
        <v>0</v>
      </c>
      <c r="Q929" t="str">
        <f>IF(AND(EPe_BA_intern_assesment_Raw_data___Sheet13[[#This Row],[Customer Rating]]&gt;6,EPe_BA_intern_assesment_Raw_data___Sheet13[[#This Row],[Customer Rating]]&lt;9), EPe_BA_intern_assesment_Raw_data___Sheet13[[#This Row],[Customer Rating]], "")</f>
        <v/>
      </c>
      <c r="R929">
        <f>IF(EPe_BA_intern_assesment_Raw_data___Sheet13[[#This Row],[Customer Rating]]&lt;7,EPe_BA_intern_assesment_Raw_data___Sheet13[[#This Row],[Customer Rating]])</f>
        <v>0</v>
      </c>
    </row>
    <row r="930" spans="1:18" x14ac:dyDescent="0.3">
      <c r="A930" t="s">
        <v>958</v>
      </c>
      <c r="B930" t="s">
        <v>23</v>
      </c>
      <c r="C930" t="s">
        <v>17</v>
      </c>
      <c r="D930" s="1">
        <v>45942</v>
      </c>
      <c r="E930" s="1">
        <v>45945</v>
      </c>
      <c r="F930" s="1">
        <v>45949</v>
      </c>
      <c r="G930" s="1">
        <v>45956</v>
      </c>
      <c r="H930" t="s">
        <v>18</v>
      </c>
      <c r="I930" t="s">
        <v>19</v>
      </c>
      <c r="J930" s="1">
        <v>45970</v>
      </c>
      <c r="K930">
        <v>3</v>
      </c>
      <c r="L930">
        <v>4</v>
      </c>
      <c r="M930">
        <v>7</v>
      </c>
      <c r="N930">
        <v>8</v>
      </c>
      <c r="O930">
        <v>14</v>
      </c>
      <c r="P930" t="b">
        <f>IF(EPe_BA_intern_assesment_Raw_data___Sheet13[[#This Row],[Customer Rating]]&gt;8,EPe_BA_intern_assesment_Raw_data___Sheet13[[#This Row],[Customer Rating]])</f>
        <v>0</v>
      </c>
      <c r="Q930">
        <f>IF(AND(EPe_BA_intern_assesment_Raw_data___Sheet13[[#This Row],[Customer Rating]]&gt;6,EPe_BA_intern_assesment_Raw_data___Sheet13[[#This Row],[Customer Rating]]&lt;9), EPe_BA_intern_assesment_Raw_data___Sheet13[[#This Row],[Customer Rating]], "")</f>
        <v>8</v>
      </c>
      <c r="R930" t="b">
        <f>IF(EPe_BA_intern_assesment_Raw_data___Sheet13[[#This Row],[Customer Rating]]&lt;7,EPe_BA_intern_assesment_Raw_data___Sheet13[[#This Row],[Customer Rating]])</f>
        <v>0</v>
      </c>
    </row>
    <row r="931" spans="1:18" x14ac:dyDescent="0.3">
      <c r="A931" t="s">
        <v>959</v>
      </c>
      <c r="B931" t="s">
        <v>23</v>
      </c>
      <c r="C931" t="s">
        <v>17</v>
      </c>
      <c r="D931" s="1">
        <v>45947</v>
      </c>
      <c r="E931" s="1">
        <v>45950</v>
      </c>
      <c r="F931" s="1">
        <v>45951</v>
      </c>
      <c r="G931" s="1">
        <v>45957</v>
      </c>
      <c r="H931" t="s">
        <v>18</v>
      </c>
      <c r="I931" t="s">
        <v>19</v>
      </c>
      <c r="J931" s="1">
        <v>45987</v>
      </c>
      <c r="K931">
        <v>3</v>
      </c>
      <c r="L931">
        <v>1</v>
      </c>
      <c r="M931">
        <v>6</v>
      </c>
      <c r="N931">
        <v>1</v>
      </c>
      <c r="O931">
        <v>10</v>
      </c>
      <c r="P931" t="b">
        <f>IF(EPe_BA_intern_assesment_Raw_data___Sheet13[[#This Row],[Customer Rating]]&gt;8,EPe_BA_intern_assesment_Raw_data___Sheet13[[#This Row],[Customer Rating]])</f>
        <v>0</v>
      </c>
      <c r="Q931" t="str">
        <f>IF(AND(EPe_BA_intern_assesment_Raw_data___Sheet13[[#This Row],[Customer Rating]]&gt;6,EPe_BA_intern_assesment_Raw_data___Sheet13[[#This Row],[Customer Rating]]&lt;9), EPe_BA_intern_assesment_Raw_data___Sheet13[[#This Row],[Customer Rating]], "")</f>
        <v/>
      </c>
      <c r="R931">
        <f>IF(EPe_BA_intern_assesment_Raw_data___Sheet13[[#This Row],[Customer Rating]]&lt;7,EPe_BA_intern_assesment_Raw_data___Sheet13[[#This Row],[Customer Rating]])</f>
        <v>1</v>
      </c>
    </row>
    <row r="932" spans="1:18" x14ac:dyDescent="0.3">
      <c r="A932" t="s">
        <v>960</v>
      </c>
      <c r="B932" t="s">
        <v>34</v>
      </c>
      <c r="C932" t="s">
        <v>17</v>
      </c>
      <c r="D932" s="1">
        <v>45949</v>
      </c>
      <c r="E932" s="1">
        <v>45953</v>
      </c>
      <c r="F932" s="1">
        <v>45954</v>
      </c>
      <c r="G932" s="1">
        <v>45956</v>
      </c>
      <c r="H932" t="s">
        <v>18</v>
      </c>
      <c r="I932" t="s">
        <v>19</v>
      </c>
      <c r="J932" s="1">
        <v>45971</v>
      </c>
      <c r="K932">
        <v>4</v>
      </c>
      <c r="L932">
        <v>1</v>
      </c>
      <c r="M932">
        <v>2</v>
      </c>
      <c r="N932">
        <v>7</v>
      </c>
      <c r="O932">
        <v>7</v>
      </c>
      <c r="P932" t="b">
        <f>IF(EPe_BA_intern_assesment_Raw_data___Sheet13[[#This Row],[Customer Rating]]&gt;8,EPe_BA_intern_assesment_Raw_data___Sheet13[[#This Row],[Customer Rating]])</f>
        <v>0</v>
      </c>
      <c r="Q932">
        <f>IF(AND(EPe_BA_intern_assesment_Raw_data___Sheet13[[#This Row],[Customer Rating]]&gt;6,EPe_BA_intern_assesment_Raw_data___Sheet13[[#This Row],[Customer Rating]]&lt;9), EPe_BA_intern_assesment_Raw_data___Sheet13[[#This Row],[Customer Rating]], "")</f>
        <v>7</v>
      </c>
      <c r="R932" t="b">
        <f>IF(EPe_BA_intern_assesment_Raw_data___Sheet13[[#This Row],[Customer Rating]]&lt;7,EPe_BA_intern_assesment_Raw_data___Sheet13[[#This Row],[Customer Rating]])</f>
        <v>0</v>
      </c>
    </row>
    <row r="933" spans="1:18" x14ac:dyDescent="0.3">
      <c r="A933" t="s">
        <v>961</v>
      </c>
      <c r="B933" t="s">
        <v>21</v>
      </c>
      <c r="C933" t="s">
        <v>32</v>
      </c>
      <c r="D933" s="1">
        <v>45934</v>
      </c>
      <c r="E933" s="1">
        <v>45937</v>
      </c>
      <c r="F933" s="1">
        <v>45938</v>
      </c>
      <c r="G933" s="1">
        <v>45943</v>
      </c>
      <c r="H933" t="s">
        <v>18</v>
      </c>
      <c r="I933" t="s">
        <v>19</v>
      </c>
      <c r="J933" s="1">
        <v>45963</v>
      </c>
      <c r="K933">
        <v>3</v>
      </c>
      <c r="L933">
        <v>1</v>
      </c>
      <c r="M933">
        <v>5</v>
      </c>
      <c r="N933">
        <v>9</v>
      </c>
      <c r="O933">
        <v>9</v>
      </c>
      <c r="P933">
        <f>IF(EPe_BA_intern_assesment_Raw_data___Sheet13[[#This Row],[Customer Rating]]&gt;8,EPe_BA_intern_assesment_Raw_data___Sheet13[[#This Row],[Customer Rating]])</f>
        <v>9</v>
      </c>
      <c r="Q933" t="str">
        <f>IF(AND(EPe_BA_intern_assesment_Raw_data___Sheet13[[#This Row],[Customer Rating]]&gt;6,EPe_BA_intern_assesment_Raw_data___Sheet13[[#This Row],[Customer Rating]]&lt;9), EPe_BA_intern_assesment_Raw_data___Sheet13[[#This Row],[Customer Rating]], "")</f>
        <v/>
      </c>
      <c r="R933" t="b">
        <f>IF(EPe_BA_intern_assesment_Raw_data___Sheet13[[#This Row],[Customer Rating]]&lt;7,EPe_BA_intern_assesment_Raw_data___Sheet13[[#This Row],[Customer Rating]])</f>
        <v>0</v>
      </c>
    </row>
    <row r="934" spans="1:18" x14ac:dyDescent="0.3">
      <c r="A934" t="s">
        <v>962</v>
      </c>
      <c r="B934" t="s">
        <v>21</v>
      </c>
      <c r="C934" t="s">
        <v>17</v>
      </c>
      <c r="D934" s="1">
        <v>45945</v>
      </c>
      <c r="E934" s="1">
        <v>45946</v>
      </c>
      <c r="F934" s="1">
        <v>45949</v>
      </c>
      <c r="G934" s="1">
        <v>45956</v>
      </c>
      <c r="H934" t="s">
        <v>18</v>
      </c>
      <c r="I934" t="s">
        <v>19</v>
      </c>
      <c r="J934" s="1">
        <v>45977</v>
      </c>
      <c r="K934">
        <v>1</v>
      </c>
      <c r="L934">
        <v>3</v>
      </c>
      <c r="M934">
        <v>7</v>
      </c>
      <c r="N934">
        <v>2</v>
      </c>
      <c r="O934">
        <v>11</v>
      </c>
      <c r="P934" t="b">
        <f>IF(EPe_BA_intern_assesment_Raw_data___Sheet13[[#This Row],[Customer Rating]]&gt;8,EPe_BA_intern_assesment_Raw_data___Sheet13[[#This Row],[Customer Rating]])</f>
        <v>0</v>
      </c>
      <c r="Q934" t="str">
        <f>IF(AND(EPe_BA_intern_assesment_Raw_data___Sheet13[[#This Row],[Customer Rating]]&gt;6,EPe_BA_intern_assesment_Raw_data___Sheet13[[#This Row],[Customer Rating]]&lt;9), EPe_BA_intern_assesment_Raw_data___Sheet13[[#This Row],[Customer Rating]], "")</f>
        <v/>
      </c>
      <c r="R934">
        <f>IF(EPe_BA_intern_assesment_Raw_data___Sheet13[[#This Row],[Customer Rating]]&lt;7,EPe_BA_intern_assesment_Raw_data___Sheet13[[#This Row],[Customer Rating]])</f>
        <v>2</v>
      </c>
    </row>
    <row r="935" spans="1:18" x14ac:dyDescent="0.3">
      <c r="A935" t="s">
        <v>963</v>
      </c>
      <c r="B935" t="s">
        <v>16</v>
      </c>
      <c r="C935" t="s">
        <v>17</v>
      </c>
      <c r="D935" s="1">
        <v>45947</v>
      </c>
      <c r="E935" s="1">
        <v>45951</v>
      </c>
      <c r="F935" s="1">
        <v>45953</v>
      </c>
      <c r="G935" s="1">
        <v>45957</v>
      </c>
      <c r="H935" t="s">
        <v>25</v>
      </c>
      <c r="I935" t="s">
        <v>35</v>
      </c>
      <c r="J935" s="1"/>
      <c r="K935">
        <v>4</v>
      </c>
      <c r="L935">
        <v>2</v>
      </c>
      <c r="M935">
        <v>4</v>
      </c>
      <c r="O935">
        <v>10</v>
      </c>
      <c r="P935" t="b">
        <f>IF(EPe_BA_intern_assesment_Raw_data___Sheet13[[#This Row],[Customer Rating]]&gt;8,EPe_BA_intern_assesment_Raw_data___Sheet13[[#This Row],[Customer Rating]])</f>
        <v>0</v>
      </c>
      <c r="Q935" t="str">
        <f>IF(AND(EPe_BA_intern_assesment_Raw_data___Sheet13[[#This Row],[Customer Rating]]&gt;6,EPe_BA_intern_assesment_Raw_data___Sheet13[[#This Row],[Customer Rating]]&lt;9), EPe_BA_intern_assesment_Raw_data___Sheet13[[#This Row],[Customer Rating]], "")</f>
        <v/>
      </c>
      <c r="R935">
        <f>IF(EPe_BA_intern_assesment_Raw_data___Sheet13[[#This Row],[Customer Rating]]&lt;7,EPe_BA_intern_assesment_Raw_data___Sheet13[[#This Row],[Customer Rating]])</f>
        <v>0</v>
      </c>
    </row>
    <row r="936" spans="1:18" x14ac:dyDescent="0.3">
      <c r="A936" t="s">
        <v>964</v>
      </c>
      <c r="B936" t="s">
        <v>34</v>
      </c>
      <c r="C936" t="s">
        <v>32</v>
      </c>
      <c r="D936" s="1">
        <v>45938</v>
      </c>
      <c r="E936" s="1">
        <v>45939</v>
      </c>
      <c r="F936" s="1">
        <v>45944</v>
      </c>
      <c r="G936" s="1">
        <v>45949</v>
      </c>
      <c r="H936" t="s">
        <v>18</v>
      </c>
      <c r="I936" t="s">
        <v>19</v>
      </c>
      <c r="J936" s="1">
        <v>45973</v>
      </c>
      <c r="K936">
        <v>1</v>
      </c>
      <c r="L936">
        <v>5</v>
      </c>
      <c r="M936">
        <v>5</v>
      </c>
      <c r="N936">
        <v>9</v>
      </c>
      <c r="O936">
        <v>11</v>
      </c>
      <c r="P936">
        <f>IF(EPe_BA_intern_assesment_Raw_data___Sheet13[[#This Row],[Customer Rating]]&gt;8,EPe_BA_intern_assesment_Raw_data___Sheet13[[#This Row],[Customer Rating]])</f>
        <v>9</v>
      </c>
      <c r="Q936" t="str">
        <f>IF(AND(EPe_BA_intern_assesment_Raw_data___Sheet13[[#This Row],[Customer Rating]]&gt;6,EPe_BA_intern_assesment_Raw_data___Sheet13[[#This Row],[Customer Rating]]&lt;9), EPe_BA_intern_assesment_Raw_data___Sheet13[[#This Row],[Customer Rating]], "")</f>
        <v/>
      </c>
      <c r="R936" t="b">
        <f>IF(EPe_BA_intern_assesment_Raw_data___Sheet13[[#This Row],[Customer Rating]]&lt;7,EPe_BA_intern_assesment_Raw_data___Sheet13[[#This Row],[Customer Rating]])</f>
        <v>0</v>
      </c>
    </row>
    <row r="937" spans="1:18" x14ac:dyDescent="0.3">
      <c r="A937" t="s">
        <v>965</v>
      </c>
      <c r="B937" t="s">
        <v>16</v>
      </c>
      <c r="C937" t="s">
        <v>17</v>
      </c>
      <c r="D937" s="1">
        <v>45961</v>
      </c>
      <c r="E937" s="1">
        <v>45966</v>
      </c>
      <c r="F937" s="1">
        <v>45971</v>
      </c>
      <c r="G937" s="1">
        <v>45977</v>
      </c>
      <c r="H937" t="s">
        <v>18</v>
      </c>
      <c r="I937" t="s">
        <v>19</v>
      </c>
      <c r="J937" s="1">
        <v>46006</v>
      </c>
      <c r="K937">
        <v>5</v>
      </c>
      <c r="L937">
        <v>5</v>
      </c>
      <c r="M937">
        <v>6</v>
      </c>
      <c r="N937">
        <v>2</v>
      </c>
      <c r="O937">
        <v>16</v>
      </c>
      <c r="P937" t="b">
        <f>IF(EPe_BA_intern_assesment_Raw_data___Sheet13[[#This Row],[Customer Rating]]&gt;8,EPe_BA_intern_assesment_Raw_data___Sheet13[[#This Row],[Customer Rating]])</f>
        <v>0</v>
      </c>
      <c r="Q937" t="str">
        <f>IF(AND(EPe_BA_intern_assesment_Raw_data___Sheet13[[#This Row],[Customer Rating]]&gt;6,EPe_BA_intern_assesment_Raw_data___Sheet13[[#This Row],[Customer Rating]]&lt;9), EPe_BA_intern_assesment_Raw_data___Sheet13[[#This Row],[Customer Rating]], "")</f>
        <v/>
      </c>
      <c r="R937">
        <f>IF(EPe_BA_intern_assesment_Raw_data___Sheet13[[#This Row],[Customer Rating]]&lt;7,EPe_BA_intern_assesment_Raw_data___Sheet13[[#This Row],[Customer Rating]])</f>
        <v>2</v>
      </c>
    </row>
    <row r="938" spans="1:18" x14ac:dyDescent="0.3">
      <c r="A938" t="s">
        <v>966</v>
      </c>
      <c r="B938" t="s">
        <v>21</v>
      </c>
      <c r="C938" t="s">
        <v>17</v>
      </c>
      <c r="D938" s="1">
        <v>45950</v>
      </c>
      <c r="E938" s="1">
        <v>45955</v>
      </c>
      <c r="F938" s="1">
        <v>45960</v>
      </c>
      <c r="G938" s="1">
        <v>45965</v>
      </c>
      <c r="H938" t="s">
        <v>18</v>
      </c>
      <c r="I938" t="s">
        <v>19</v>
      </c>
      <c r="J938" s="1">
        <v>45983</v>
      </c>
      <c r="K938">
        <v>5</v>
      </c>
      <c r="L938">
        <v>5</v>
      </c>
      <c r="M938">
        <v>5</v>
      </c>
      <c r="N938">
        <v>4</v>
      </c>
      <c r="O938">
        <v>15</v>
      </c>
      <c r="P938" t="b">
        <f>IF(EPe_BA_intern_assesment_Raw_data___Sheet13[[#This Row],[Customer Rating]]&gt;8,EPe_BA_intern_assesment_Raw_data___Sheet13[[#This Row],[Customer Rating]])</f>
        <v>0</v>
      </c>
      <c r="Q938" t="str">
        <f>IF(AND(EPe_BA_intern_assesment_Raw_data___Sheet13[[#This Row],[Customer Rating]]&gt;6,EPe_BA_intern_assesment_Raw_data___Sheet13[[#This Row],[Customer Rating]]&lt;9), EPe_BA_intern_assesment_Raw_data___Sheet13[[#This Row],[Customer Rating]], "")</f>
        <v/>
      </c>
      <c r="R938">
        <f>IF(EPe_BA_intern_assesment_Raw_data___Sheet13[[#This Row],[Customer Rating]]&lt;7,EPe_BA_intern_assesment_Raw_data___Sheet13[[#This Row],[Customer Rating]])</f>
        <v>4</v>
      </c>
    </row>
    <row r="939" spans="1:18" x14ac:dyDescent="0.3">
      <c r="A939" t="s">
        <v>967</v>
      </c>
      <c r="B939" t="s">
        <v>34</v>
      </c>
      <c r="C939" t="s">
        <v>24</v>
      </c>
      <c r="D939" s="1">
        <v>45932</v>
      </c>
      <c r="E939" s="1"/>
      <c r="F939" s="1"/>
      <c r="G939" s="1"/>
      <c r="H939" t="s">
        <v>25</v>
      </c>
      <c r="I939" t="s">
        <v>103</v>
      </c>
      <c r="J939" s="1"/>
      <c r="P939" t="b">
        <f>IF(EPe_BA_intern_assesment_Raw_data___Sheet13[[#This Row],[Customer Rating]]&gt;8,EPe_BA_intern_assesment_Raw_data___Sheet13[[#This Row],[Customer Rating]])</f>
        <v>0</v>
      </c>
      <c r="Q939" t="str">
        <f>IF(AND(EPe_BA_intern_assesment_Raw_data___Sheet13[[#This Row],[Customer Rating]]&gt;6,EPe_BA_intern_assesment_Raw_data___Sheet13[[#This Row],[Customer Rating]]&lt;9), EPe_BA_intern_assesment_Raw_data___Sheet13[[#This Row],[Customer Rating]], "")</f>
        <v/>
      </c>
      <c r="R939">
        <f>IF(EPe_BA_intern_assesment_Raw_data___Sheet13[[#This Row],[Customer Rating]]&lt;7,EPe_BA_intern_assesment_Raw_data___Sheet13[[#This Row],[Customer Rating]])</f>
        <v>0</v>
      </c>
    </row>
    <row r="940" spans="1:18" x14ac:dyDescent="0.3">
      <c r="A940" t="s">
        <v>968</v>
      </c>
      <c r="B940" t="s">
        <v>23</v>
      </c>
      <c r="C940" t="s">
        <v>32</v>
      </c>
      <c r="D940" s="1">
        <v>45954</v>
      </c>
      <c r="E940" s="1">
        <v>45956</v>
      </c>
      <c r="F940" s="1">
        <v>45961</v>
      </c>
      <c r="G940" s="1">
        <v>45965</v>
      </c>
      <c r="H940" t="s">
        <v>18</v>
      </c>
      <c r="I940" t="s">
        <v>19</v>
      </c>
      <c r="J940" s="1">
        <v>45977</v>
      </c>
      <c r="K940">
        <v>2</v>
      </c>
      <c r="L940">
        <v>5</v>
      </c>
      <c r="M940">
        <v>4</v>
      </c>
      <c r="N940">
        <v>7</v>
      </c>
      <c r="O940">
        <v>11</v>
      </c>
      <c r="P940" t="b">
        <f>IF(EPe_BA_intern_assesment_Raw_data___Sheet13[[#This Row],[Customer Rating]]&gt;8,EPe_BA_intern_assesment_Raw_data___Sheet13[[#This Row],[Customer Rating]])</f>
        <v>0</v>
      </c>
      <c r="Q940">
        <f>IF(AND(EPe_BA_intern_assesment_Raw_data___Sheet13[[#This Row],[Customer Rating]]&gt;6,EPe_BA_intern_assesment_Raw_data___Sheet13[[#This Row],[Customer Rating]]&lt;9), EPe_BA_intern_assesment_Raw_data___Sheet13[[#This Row],[Customer Rating]], "")</f>
        <v>7</v>
      </c>
      <c r="R940" t="b">
        <f>IF(EPe_BA_intern_assesment_Raw_data___Sheet13[[#This Row],[Customer Rating]]&lt;7,EPe_BA_intern_assesment_Raw_data___Sheet13[[#This Row],[Customer Rating]])</f>
        <v>0</v>
      </c>
    </row>
    <row r="941" spans="1:18" x14ac:dyDescent="0.3">
      <c r="A941" t="s">
        <v>969</v>
      </c>
      <c r="B941" t="s">
        <v>34</v>
      </c>
      <c r="C941" t="s">
        <v>24</v>
      </c>
      <c r="D941" s="1">
        <v>45956</v>
      </c>
      <c r="E941" s="1"/>
      <c r="F941" s="1"/>
      <c r="G941" s="1"/>
      <c r="H941" t="s">
        <v>25</v>
      </c>
      <c r="I941" t="s">
        <v>103</v>
      </c>
      <c r="J941" s="1"/>
      <c r="P941" t="b">
        <f>IF(EPe_BA_intern_assesment_Raw_data___Sheet13[[#This Row],[Customer Rating]]&gt;8,EPe_BA_intern_assesment_Raw_data___Sheet13[[#This Row],[Customer Rating]])</f>
        <v>0</v>
      </c>
      <c r="Q941" t="str">
        <f>IF(AND(EPe_BA_intern_assesment_Raw_data___Sheet13[[#This Row],[Customer Rating]]&gt;6,EPe_BA_intern_assesment_Raw_data___Sheet13[[#This Row],[Customer Rating]]&lt;9), EPe_BA_intern_assesment_Raw_data___Sheet13[[#This Row],[Customer Rating]], "")</f>
        <v/>
      </c>
      <c r="R941">
        <f>IF(EPe_BA_intern_assesment_Raw_data___Sheet13[[#This Row],[Customer Rating]]&lt;7,EPe_BA_intern_assesment_Raw_data___Sheet13[[#This Row],[Customer Rating]])</f>
        <v>0</v>
      </c>
    </row>
    <row r="942" spans="1:18" x14ac:dyDescent="0.3">
      <c r="A942" t="s">
        <v>970</v>
      </c>
      <c r="B942" t="s">
        <v>23</v>
      </c>
      <c r="C942" t="s">
        <v>17</v>
      </c>
      <c r="D942" s="1">
        <v>45960</v>
      </c>
      <c r="E942" s="1">
        <v>45963</v>
      </c>
      <c r="F942" s="1">
        <v>45968</v>
      </c>
      <c r="G942" s="1">
        <v>45974</v>
      </c>
      <c r="H942" t="s">
        <v>18</v>
      </c>
      <c r="I942" t="s">
        <v>19</v>
      </c>
      <c r="J942" s="1">
        <v>45995</v>
      </c>
      <c r="K942">
        <v>3</v>
      </c>
      <c r="L942">
        <v>5</v>
      </c>
      <c r="M942">
        <v>6</v>
      </c>
      <c r="N942">
        <v>8</v>
      </c>
      <c r="O942">
        <v>14</v>
      </c>
      <c r="P942" t="b">
        <f>IF(EPe_BA_intern_assesment_Raw_data___Sheet13[[#This Row],[Customer Rating]]&gt;8,EPe_BA_intern_assesment_Raw_data___Sheet13[[#This Row],[Customer Rating]])</f>
        <v>0</v>
      </c>
      <c r="Q942">
        <f>IF(AND(EPe_BA_intern_assesment_Raw_data___Sheet13[[#This Row],[Customer Rating]]&gt;6,EPe_BA_intern_assesment_Raw_data___Sheet13[[#This Row],[Customer Rating]]&lt;9), EPe_BA_intern_assesment_Raw_data___Sheet13[[#This Row],[Customer Rating]], "")</f>
        <v>8</v>
      </c>
      <c r="R942" t="b">
        <f>IF(EPe_BA_intern_assesment_Raw_data___Sheet13[[#This Row],[Customer Rating]]&lt;7,EPe_BA_intern_assesment_Raw_data___Sheet13[[#This Row],[Customer Rating]])</f>
        <v>0</v>
      </c>
    </row>
    <row r="943" spans="1:18" x14ac:dyDescent="0.3">
      <c r="A943" t="s">
        <v>971</v>
      </c>
      <c r="B943" t="s">
        <v>23</v>
      </c>
      <c r="C943" t="s">
        <v>17</v>
      </c>
      <c r="D943" s="1">
        <v>45958</v>
      </c>
      <c r="E943" s="1">
        <v>45963</v>
      </c>
      <c r="F943" s="1">
        <v>45965</v>
      </c>
      <c r="G943" s="1">
        <v>45971</v>
      </c>
      <c r="H943" t="s">
        <v>18</v>
      </c>
      <c r="I943" t="s">
        <v>19</v>
      </c>
      <c r="J943" s="1">
        <v>45991</v>
      </c>
      <c r="K943">
        <v>5</v>
      </c>
      <c r="L943">
        <v>2</v>
      </c>
      <c r="M943">
        <v>6</v>
      </c>
      <c r="N943">
        <v>5</v>
      </c>
      <c r="O943">
        <v>13</v>
      </c>
      <c r="P943" t="b">
        <f>IF(EPe_BA_intern_assesment_Raw_data___Sheet13[[#This Row],[Customer Rating]]&gt;8,EPe_BA_intern_assesment_Raw_data___Sheet13[[#This Row],[Customer Rating]])</f>
        <v>0</v>
      </c>
      <c r="Q943" t="str">
        <f>IF(AND(EPe_BA_intern_assesment_Raw_data___Sheet13[[#This Row],[Customer Rating]]&gt;6,EPe_BA_intern_assesment_Raw_data___Sheet13[[#This Row],[Customer Rating]]&lt;9), EPe_BA_intern_assesment_Raw_data___Sheet13[[#This Row],[Customer Rating]], "")</f>
        <v/>
      </c>
      <c r="R943">
        <f>IF(EPe_BA_intern_assesment_Raw_data___Sheet13[[#This Row],[Customer Rating]]&lt;7,EPe_BA_intern_assesment_Raw_data___Sheet13[[#This Row],[Customer Rating]])</f>
        <v>5</v>
      </c>
    </row>
    <row r="944" spans="1:18" x14ac:dyDescent="0.3">
      <c r="A944" t="s">
        <v>972</v>
      </c>
      <c r="B944" t="s">
        <v>34</v>
      </c>
      <c r="C944" t="s">
        <v>32</v>
      </c>
      <c r="D944" s="1">
        <v>45952</v>
      </c>
      <c r="E944" s="1">
        <v>45955</v>
      </c>
      <c r="F944" s="1">
        <v>45959</v>
      </c>
      <c r="G944" s="1">
        <v>45963</v>
      </c>
      <c r="H944" t="s">
        <v>18</v>
      </c>
      <c r="I944" t="s">
        <v>19</v>
      </c>
      <c r="J944" s="1">
        <v>45978</v>
      </c>
      <c r="K944">
        <v>3</v>
      </c>
      <c r="L944">
        <v>4</v>
      </c>
      <c r="M944">
        <v>4</v>
      </c>
      <c r="N944">
        <v>4</v>
      </c>
      <c r="O944">
        <v>11</v>
      </c>
      <c r="P944" t="b">
        <f>IF(EPe_BA_intern_assesment_Raw_data___Sheet13[[#This Row],[Customer Rating]]&gt;8,EPe_BA_intern_assesment_Raw_data___Sheet13[[#This Row],[Customer Rating]])</f>
        <v>0</v>
      </c>
      <c r="Q944" t="str">
        <f>IF(AND(EPe_BA_intern_assesment_Raw_data___Sheet13[[#This Row],[Customer Rating]]&gt;6,EPe_BA_intern_assesment_Raw_data___Sheet13[[#This Row],[Customer Rating]]&lt;9), EPe_BA_intern_assesment_Raw_data___Sheet13[[#This Row],[Customer Rating]], "")</f>
        <v/>
      </c>
      <c r="R944">
        <f>IF(EPe_BA_intern_assesment_Raw_data___Sheet13[[#This Row],[Customer Rating]]&lt;7,EPe_BA_intern_assesment_Raw_data___Sheet13[[#This Row],[Customer Rating]])</f>
        <v>4</v>
      </c>
    </row>
    <row r="945" spans="1:18" x14ac:dyDescent="0.3">
      <c r="A945" t="s">
        <v>973</v>
      </c>
      <c r="B945" t="s">
        <v>23</v>
      </c>
      <c r="C945" t="s">
        <v>17</v>
      </c>
      <c r="D945" s="1">
        <v>45947</v>
      </c>
      <c r="E945" s="1">
        <v>45948</v>
      </c>
      <c r="F945" s="1">
        <v>45951</v>
      </c>
      <c r="G945" s="1">
        <v>45956</v>
      </c>
      <c r="H945" t="s">
        <v>18</v>
      </c>
      <c r="I945" t="s">
        <v>19</v>
      </c>
      <c r="J945" s="1">
        <v>45969</v>
      </c>
      <c r="K945">
        <v>1</v>
      </c>
      <c r="L945">
        <v>3</v>
      </c>
      <c r="M945">
        <v>5</v>
      </c>
      <c r="N945">
        <v>2</v>
      </c>
      <c r="O945">
        <v>9</v>
      </c>
      <c r="P945" t="b">
        <f>IF(EPe_BA_intern_assesment_Raw_data___Sheet13[[#This Row],[Customer Rating]]&gt;8,EPe_BA_intern_assesment_Raw_data___Sheet13[[#This Row],[Customer Rating]])</f>
        <v>0</v>
      </c>
      <c r="Q945" t="str">
        <f>IF(AND(EPe_BA_intern_assesment_Raw_data___Sheet13[[#This Row],[Customer Rating]]&gt;6,EPe_BA_intern_assesment_Raw_data___Sheet13[[#This Row],[Customer Rating]]&lt;9), EPe_BA_intern_assesment_Raw_data___Sheet13[[#This Row],[Customer Rating]], "")</f>
        <v/>
      </c>
      <c r="R945">
        <f>IF(EPe_BA_intern_assesment_Raw_data___Sheet13[[#This Row],[Customer Rating]]&lt;7,EPe_BA_intern_assesment_Raw_data___Sheet13[[#This Row],[Customer Rating]])</f>
        <v>2</v>
      </c>
    </row>
    <row r="946" spans="1:18" x14ac:dyDescent="0.3">
      <c r="A946" t="s">
        <v>974</v>
      </c>
      <c r="B946" t="s">
        <v>16</v>
      </c>
      <c r="C946" t="s">
        <v>32</v>
      </c>
      <c r="D946" s="1">
        <v>45940</v>
      </c>
      <c r="E946" s="1">
        <v>45944</v>
      </c>
      <c r="F946" s="1">
        <v>45948</v>
      </c>
      <c r="G946" s="1">
        <v>45952</v>
      </c>
      <c r="H946" t="s">
        <v>18</v>
      </c>
      <c r="I946" t="s">
        <v>19</v>
      </c>
      <c r="J946" s="1">
        <v>45974</v>
      </c>
      <c r="K946">
        <v>4</v>
      </c>
      <c r="L946">
        <v>4</v>
      </c>
      <c r="M946">
        <v>4</v>
      </c>
      <c r="N946">
        <v>3</v>
      </c>
      <c r="O946">
        <v>12</v>
      </c>
      <c r="P946" t="b">
        <f>IF(EPe_BA_intern_assesment_Raw_data___Sheet13[[#This Row],[Customer Rating]]&gt;8,EPe_BA_intern_assesment_Raw_data___Sheet13[[#This Row],[Customer Rating]])</f>
        <v>0</v>
      </c>
      <c r="Q946" t="str">
        <f>IF(AND(EPe_BA_intern_assesment_Raw_data___Sheet13[[#This Row],[Customer Rating]]&gt;6,EPe_BA_intern_assesment_Raw_data___Sheet13[[#This Row],[Customer Rating]]&lt;9), EPe_BA_intern_assesment_Raw_data___Sheet13[[#This Row],[Customer Rating]], "")</f>
        <v/>
      </c>
      <c r="R946">
        <f>IF(EPe_BA_intern_assesment_Raw_data___Sheet13[[#This Row],[Customer Rating]]&lt;7,EPe_BA_intern_assesment_Raw_data___Sheet13[[#This Row],[Customer Rating]])</f>
        <v>3</v>
      </c>
    </row>
    <row r="947" spans="1:18" x14ac:dyDescent="0.3">
      <c r="A947" t="s">
        <v>975</v>
      </c>
      <c r="B947" t="s">
        <v>21</v>
      </c>
      <c r="C947" t="s">
        <v>17</v>
      </c>
      <c r="D947" s="1">
        <v>45945</v>
      </c>
      <c r="E947" s="1">
        <v>45950</v>
      </c>
      <c r="F947" s="1">
        <v>45954</v>
      </c>
      <c r="G947" s="1">
        <v>45957</v>
      </c>
      <c r="H947" t="s">
        <v>18</v>
      </c>
      <c r="I947" t="s">
        <v>19</v>
      </c>
      <c r="J947" s="1">
        <v>45979</v>
      </c>
      <c r="K947">
        <v>5</v>
      </c>
      <c r="L947">
        <v>4</v>
      </c>
      <c r="M947">
        <v>3</v>
      </c>
      <c r="N947">
        <v>6</v>
      </c>
      <c r="O947">
        <v>12</v>
      </c>
      <c r="P947" t="b">
        <f>IF(EPe_BA_intern_assesment_Raw_data___Sheet13[[#This Row],[Customer Rating]]&gt;8,EPe_BA_intern_assesment_Raw_data___Sheet13[[#This Row],[Customer Rating]])</f>
        <v>0</v>
      </c>
      <c r="Q947" t="str">
        <f>IF(AND(EPe_BA_intern_assesment_Raw_data___Sheet13[[#This Row],[Customer Rating]]&gt;6,EPe_BA_intern_assesment_Raw_data___Sheet13[[#This Row],[Customer Rating]]&lt;9), EPe_BA_intern_assesment_Raw_data___Sheet13[[#This Row],[Customer Rating]], "")</f>
        <v/>
      </c>
      <c r="R947">
        <f>IF(EPe_BA_intern_assesment_Raw_data___Sheet13[[#This Row],[Customer Rating]]&lt;7,EPe_BA_intern_assesment_Raw_data___Sheet13[[#This Row],[Customer Rating]])</f>
        <v>6</v>
      </c>
    </row>
    <row r="948" spans="1:18" x14ac:dyDescent="0.3">
      <c r="A948" t="s">
        <v>976</v>
      </c>
      <c r="B948" t="s">
        <v>23</v>
      </c>
      <c r="C948" t="s">
        <v>32</v>
      </c>
      <c r="D948" s="1">
        <v>45951</v>
      </c>
      <c r="E948" s="1">
        <v>45955</v>
      </c>
      <c r="F948" s="1">
        <v>45960</v>
      </c>
      <c r="G948" s="1">
        <v>45962</v>
      </c>
      <c r="H948" t="s">
        <v>18</v>
      </c>
      <c r="I948" t="s">
        <v>19</v>
      </c>
      <c r="J948" s="1">
        <v>45986</v>
      </c>
      <c r="K948">
        <v>4</v>
      </c>
      <c r="L948">
        <v>5</v>
      </c>
      <c r="M948">
        <v>2</v>
      </c>
      <c r="N948">
        <v>6</v>
      </c>
      <c r="O948">
        <v>11</v>
      </c>
      <c r="P948" t="b">
        <f>IF(EPe_BA_intern_assesment_Raw_data___Sheet13[[#This Row],[Customer Rating]]&gt;8,EPe_BA_intern_assesment_Raw_data___Sheet13[[#This Row],[Customer Rating]])</f>
        <v>0</v>
      </c>
      <c r="Q948" t="str">
        <f>IF(AND(EPe_BA_intern_assesment_Raw_data___Sheet13[[#This Row],[Customer Rating]]&gt;6,EPe_BA_intern_assesment_Raw_data___Sheet13[[#This Row],[Customer Rating]]&lt;9), EPe_BA_intern_assesment_Raw_data___Sheet13[[#This Row],[Customer Rating]], "")</f>
        <v/>
      </c>
      <c r="R948">
        <f>IF(EPe_BA_intern_assesment_Raw_data___Sheet13[[#This Row],[Customer Rating]]&lt;7,EPe_BA_intern_assesment_Raw_data___Sheet13[[#This Row],[Customer Rating]])</f>
        <v>6</v>
      </c>
    </row>
    <row r="949" spans="1:18" x14ac:dyDescent="0.3">
      <c r="A949" t="s">
        <v>977</v>
      </c>
      <c r="B949" t="s">
        <v>16</v>
      </c>
      <c r="C949" t="s">
        <v>24</v>
      </c>
      <c r="D949" s="1">
        <v>45961</v>
      </c>
      <c r="E949" s="1"/>
      <c r="F949" s="1"/>
      <c r="G949" s="1"/>
      <c r="H949" t="s">
        <v>25</v>
      </c>
      <c r="I949" t="s">
        <v>26</v>
      </c>
      <c r="J949" s="1"/>
      <c r="P949" t="b">
        <f>IF(EPe_BA_intern_assesment_Raw_data___Sheet13[[#This Row],[Customer Rating]]&gt;8,EPe_BA_intern_assesment_Raw_data___Sheet13[[#This Row],[Customer Rating]])</f>
        <v>0</v>
      </c>
      <c r="Q949" t="str">
        <f>IF(AND(EPe_BA_intern_assesment_Raw_data___Sheet13[[#This Row],[Customer Rating]]&gt;6,EPe_BA_intern_assesment_Raw_data___Sheet13[[#This Row],[Customer Rating]]&lt;9), EPe_BA_intern_assesment_Raw_data___Sheet13[[#This Row],[Customer Rating]], "")</f>
        <v/>
      </c>
      <c r="R949">
        <f>IF(EPe_BA_intern_assesment_Raw_data___Sheet13[[#This Row],[Customer Rating]]&lt;7,EPe_BA_intern_assesment_Raw_data___Sheet13[[#This Row],[Customer Rating]])</f>
        <v>0</v>
      </c>
    </row>
    <row r="950" spans="1:18" x14ac:dyDescent="0.3">
      <c r="A950" t="s">
        <v>978</v>
      </c>
      <c r="B950" t="s">
        <v>23</v>
      </c>
      <c r="C950" t="s">
        <v>17</v>
      </c>
      <c r="D950" s="1">
        <v>45931</v>
      </c>
      <c r="E950" s="1">
        <v>45936</v>
      </c>
      <c r="F950" s="1">
        <v>45941</v>
      </c>
      <c r="G950" s="1">
        <v>45945</v>
      </c>
      <c r="H950" t="s">
        <v>18</v>
      </c>
      <c r="I950" t="s">
        <v>19</v>
      </c>
      <c r="J950" s="1">
        <v>45963</v>
      </c>
      <c r="K950">
        <v>5</v>
      </c>
      <c r="L950">
        <v>5</v>
      </c>
      <c r="M950">
        <v>4</v>
      </c>
      <c r="N950">
        <v>8</v>
      </c>
      <c r="O950">
        <v>14</v>
      </c>
      <c r="P950" t="b">
        <f>IF(EPe_BA_intern_assesment_Raw_data___Sheet13[[#This Row],[Customer Rating]]&gt;8,EPe_BA_intern_assesment_Raw_data___Sheet13[[#This Row],[Customer Rating]])</f>
        <v>0</v>
      </c>
      <c r="Q950">
        <f>IF(AND(EPe_BA_intern_assesment_Raw_data___Sheet13[[#This Row],[Customer Rating]]&gt;6,EPe_BA_intern_assesment_Raw_data___Sheet13[[#This Row],[Customer Rating]]&lt;9), EPe_BA_intern_assesment_Raw_data___Sheet13[[#This Row],[Customer Rating]], "")</f>
        <v>8</v>
      </c>
      <c r="R950" t="b">
        <f>IF(EPe_BA_intern_assesment_Raw_data___Sheet13[[#This Row],[Customer Rating]]&lt;7,EPe_BA_intern_assesment_Raw_data___Sheet13[[#This Row],[Customer Rating]])</f>
        <v>0</v>
      </c>
    </row>
    <row r="951" spans="1:18" x14ac:dyDescent="0.3">
      <c r="A951" t="s">
        <v>979</v>
      </c>
      <c r="B951" t="s">
        <v>21</v>
      </c>
      <c r="C951" t="s">
        <v>17</v>
      </c>
      <c r="D951" s="1">
        <v>45932</v>
      </c>
      <c r="E951" s="1">
        <v>45935</v>
      </c>
      <c r="F951" s="1">
        <v>45937</v>
      </c>
      <c r="G951" s="1">
        <v>45943</v>
      </c>
      <c r="H951" t="s">
        <v>18</v>
      </c>
      <c r="I951" t="s">
        <v>19</v>
      </c>
      <c r="J951" s="1">
        <v>45965</v>
      </c>
      <c r="K951">
        <v>3</v>
      </c>
      <c r="L951">
        <v>2</v>
      </c>
      <c r="M951">
        <v>6</v>
      </c>
      <c r="N951">
        <v>2</v>
      </c>
      <c r="O951">
        <v>11</v>
      </c>
      <c r="P951" t="b">
        <f>IF(EPe_BA_intern_assesment_Raw_data___Sheet13[[#This Row],[Customer Rating]]&gt;8,EPe_BA_intern_assesment_Raw_data___Sheet13[[#This Row],[Customer Rating]])</f>
        <v>0</v>
      </c>
      <c r="Q951" t="str">
        <f>IF(AND(EPe_BA_intern_assesment_Raw_data___Sheet13[[#This Row],[Customer Rating]]&gt;6,EPe_BA_intern_assesment_Raw_data___Sheet13[[#This Row],[Customer Rating]]&lt;9), EPe_BA_intern_assesment_Raw_data___Sheet13[[#This Row],[Customer Rating]], "")</f>
        <v/>
      </c>
      <c r="R951">
        <f>IF(EPe_BA_intern_assesment_Raw_data___Sheet13[[#This Row],[Customer Rating]]&lt;7,EPe_BA_intern_assesment_Raw_data___Sheet13[[#This Row],[Customer Rating]])</f>
        <v>2</v>
      </c>
    </row>
    <row r="952" spans="1:18" x14ac:dyDescent="0.3">
      <c r="A952" t="s">
        <v>980</v>
      </c>
      <c r="B952" t="s">
        <v>16</v>
      </c>
      <c r="C952" t="s">
        <v>32</v>
      </c>
      <c r="D952" s="1">
        <v>45946</v>
      </c>
      <c r="E952" s="1">
        <v>45951</v>
      </c>
      <c r="F952" s="1">
        <v>45954</v>
      </c>
      <c r="G952" s="1">
        <v>45957</v>
      </c>
      <c r="H952" t="s">
        <v>18</v>
      </c>
      <c r="I952" t="s">
        <v>19</v>
      </c>
      <c r="J952" s="1">
        <v>45982</v>
      </c>
      <c r="K952">
        <v>5</v>
      </c>
      <c r="L952">
        <v>3</v>
      </c>
      <c r="M952">
        <v>3</v>
      </c>
      <c r="N952">
        <v>3</v>
      </c>
      <c r="O952">
        <v>11</v>
      </c>
      <c r="P952" t="b">
        <f>IF(EPe_BA_intern_assesment_Raw_data___Sheet13[[#This Row],[Customer Rating]]&gt;8,EPe_BA_intern_assesment_Raw_data___Sheet13[[#This Row],[Customer Rating]])</f>
        <v>0</v>
      </c>
      <c r="Q952" t="str">
        <f>IF(AND(EPe_BA_intern_assesment_Raw_data___Sheet13[[#This Row],[Customer Rating]]&gt;6,EPe_BA_intern_assesment_Raw_data___Sheet13[[#This Row],[Customer Rating]]&lt;9), EPe_BA_intern_assesment_Raw_data___Sheet13[[#This Row],[Customer Rating]], "")</f>
        <v/>
      </c>
      <c r="R952">
        <f>IF(EPe_BA_intern_assesment_Raw_data___Sheet13[[#This Row],[Customer Rating]]&lt;7,EPe_BA_intern_assesment_Raw_data___Sheet13[[#This Row],[Customer Rating]])</f>
        <v>3</v>
      </c>
    </row>
    <row r="953" spans="1:18" x14ac:dyDescent="0.3">
      <c r="A953" t="s">
        <v>981</v>
      </c>
      <c r="B953" t="s">
        <v>21</v>
      </c>
      <c r="C953" t="s">
        <v>32</v>
      </c>
      <c r="D953" s="1">
        <v>45958</v>
      </c>
      <c r="E953" s="1">
        <v>45963</v>
      </c>
      <c r="F953" s="1">
        <v>45964</v>
      </c>
      <c r="G953" s="1">
        <v>45966</v>
      </c>
      <c r="H953" t="s">
        <v>18</v>
      </c>
      <c r="I953" t="s">
        <v>19</v>
      </c>
      <c r="J953" s="1">
        <v>45989</v>
      </c>
      <c r="K953">
        <v>5</v>
      </c>
      <c r="L953">
        <v>1</v>
      </c>
      <c r="M953">
        <v>2</v>
      </c>
      <c r="N953">
        <v>1</v>
      </c>
      <c r="O953">
        <v>8</v>
      </c>
      <c r="P953" t="b">
        <f>IF(EPe_BA_intern_assesment_Raw_data___Sheet13[[#This Row],[Customer Rating]]&gt;8,EPe_BA_intern_assesment_Raw_data___Sheet13[[#This Row],[Customer Rating]])</f>
        <v>0</v>
      </c>
      <c r="Q953" t="str">
        <f>IF(AND(EPe_BA_intern_assesment_Raw_data___Sheet13[[#This Row],[Customer Rating]]&gt;6,EPe_BA_intern_assesment_Raw_data___Sheet13[[#This Row],[Customer Rating]]&lt;9), EPe_BA_intern_assesment_Raw_data___Sheet13[[#This Row],[Customer Rating]], "")</f>
        <v/>
      </c>
      <c r="R953">
        <f>IF(EPe_BA_intern_assesment_Raw_data___Sheet13[[#This Row],[Customer Rating]]&lt;7,EPe_BA_intern_assesment_Raw_data___Sheet13[[#This Row],[Customer Rating]])</f>
        <v>1</v>
      </c>
    </row>
    <row r="954" spans="1:18" x14ac:dyDescent="0.3">
      <c r="A954" t="s">
        <v>982</v>
      </c>
      <c r="B954" t="s">
        <v>21</v>
      </c>
      <c r="C954" t="s">
        <v>17</v>
      </c>
      <c r="D954" s="1">
        <v>45943</v>
      </c>
      <c r="E954" s="1">
        <v>45944</v>
      </c>
      <c r="F954" s="1">
        <v>45948</v>
      </c>
      <c r="G954" s="1">
        <v>45952</v>
      </c>
      <c r="H954" t="s">
        <v>18</v>
      </c>
      <c r="I954" t="s">
        <v>19</v>
      </c>
      <c r="J954" s="1">
        <v>45982</v>
      </c>
      <c r="K954">
        <v>1</v>
      </c>
      <c r="L954">
        <v>4</v>
      </c>
      <c r="M954">
        <v>4</v>
      </c>
      <c r="N954">
        <v>1</v>
      </c>
      <c r="O954">
        <v>9</v>
      </c>
      <c r="P954" t="b">
        <f>IF(EPe_BA_intern_assesment_Raw_data___Sheet13[[#This Row],[Customer Rating]]&gt;8,EPe_BA_intern_assesment_Raw_data___Sheet13[[#This Row],[Customer Rating]])</f>
        <v>0</v>
      </c>
      <c r="Q954" t="str">
        <f>IF(AND(EPe_BA_intern_assesment_Raw_data___Sheet13[[#This Row],[Customer Rating]]&gt;6,EPe_BA_intern_assesment_Raw_data___Sheet13[[#This Row],[Customer Rating]]&lt;9), EPe_BA_intern_assesment_Raw_data___Sheet13[[#This Row],[Customer Rating]], "")</f>
        <v/>
      </c>
      <c r="R954">
        <f>IF(EPe_BA_intern_assesment_Raw_data___Sheet13[[#This Row],[Customer Rating]]&lt;7,EPe_BA_intern_assesment_Raw_data___Sheet13[[#This Row],[Customer Rating]])</f>
        <v>1</v>
      </c>
    </row>
    <row r="955" spans="1:18" x14ac:dyDescent="0.3">
      <c r="A955" t="s">
        <v>983</v>
      </c>
      <c r="B955" t="s">
        <v>16</v>
      </c>
      <c r="C955" t="s">
        <v>17</v>
      </c>
      <c r="D955" s="1">
        <v>45944</v>
      </c>
      <c r="E955" s="1">
        <v>45946</v>
      </c>
      <c r="F955" s="1">
        <v>45947</v>
      </c>
      <c r="G955" s="1">
        <v>45949</v>
      </c>
      <c r="H955" t="s">
        <v>18</v>
      </c>
      <c r="I955" t="s">
        <v>19</v>
      </c>
      <c r="J955" s="1">
        <v>45964</v>
      </c>
      <c r="K955">
        <v>2</v>
      </c>
      <c r="L955">
        <v>1</v>
      </c>
      <c r="M955">
        <v>2</v>
      </c>
      <c r="N955">
        <v>6</v>
      </c>
      <c r="O955">
        <v>5</v>
      </c>
      <c r="P955" t="b">
        <f>IF(EPe_BA_intern_assesment_Raw_data___Sheet13[[#This Row],[Customer Rating]]&gt;8,EPe_BA_intern_assesment_Raw_data___Sheet13[[#This Row],[Customer Rating]])</f>
        <v>0</v>
      </c>
      <c r="Q955" t="str">
        <f>IF(AND(EPe_BA_intern_assesment_Raw_data___Sheet13[[#This Row],[Customer Rating]]&gt;6,EPe_BA_intern_assesment_Raw_data___Sheet13[[#This Row],[Customer Rating]]&lt;9), EPe_BA_intern_assesment_Raw_data___Sheet13[[#This Row],[Customer Rating]], "")</f>
        <v/>
      </c>
      <c r="R955">
        <f>IF(EPe_BA_intern_assesment_Raw_data___Sheet13[[#This Row],[Customer Rating]]&lt;7,EPe_BA_intern_assesment_Raw_data___Sheet13[[#This Row],[Customer Rating]])</f>
        <v>6</v>
      </c>
    </row>
    <row r="956" spans="1:18" x14ac:dyDescent="0.3">
      <c r="A956" t="s">
        <v>984</v>
      </c>
      <c r="B956" t="s">
        <v>16</v>
      </c>
      <c r="C956" t="s">
        <v>32</v>
      </c>
      <c r="D956" s="1">
        <v>45952</v>
      </c>
      <c r="E956" s="1">
        <v>45953</v>
      </c>
      <c r="F956" s="1">
        <v>45956</v>
      </c>
      <c r="G956" s="1">
        <v>45961</v>
      </c>
      <c r="H956" t="s">
        <v>18</v>
      </c>
      <c r="I956" t="s">
        <v>19</v>
      </c>
      <c r="J956" s="1">
        <v>45974</v>
      </c>
      <c r="K956">
        <v>1</v>
      </c>
      <c r="L956">
        <v>3</v>
      </c>
      <c r="M956">
        <v>5</v>
      </c>
      <c r="N956">
        <v>1</v>
      </c>
      <c r="O956">
        <v>9</v>
      </c>
      <c r="P956" t="b">
        <f>IF(EPe_BA_intern_assesment_Raw_data___Sheet13[[#This Row],[Customer Rating]]&gt;8,EPe_BA_intern_assesment_Raw_data___Sheet13[[#This Row],[Customer Rating]])</f>
        <v>0</v>
      </c>
      <c r="Q956" t="str">
        <f>IF(AND(EPe_BA_intern_assesment_Raw_data___Sheet13[[#This Row],[Customer Rating]]&gt;6,EPe_BA_intern_assesment_Raw_data___Sheet13[[#This Row],[Customer Rating]]&lt;9), EPe_BA_intern_assesment_Raw_data___Sheet13[[#This Row],[Customer Rating]], "")</f>
        <v/>
      </c>
      <c r="R956">
        <f>IF(EPe_BA_intern_assesment_Raw_data___Sheet13[[#This Row],[Customer Rating]]&lt;7,EPe_BA_intern_assesment_Raw_data___Sheet13[[#This Row],[Customer Rating]])</f>
        <v>1</v>
      </c>
    </row>
    <row r="957" spans="1:18" x14ac:dyDescent="0.3">
      <c r="A957" t="s">
        <v>985</v>
      </c>
      <c r="B957" t="s">
        <v>16</v>
      </c>
      <c r="C957" t="s">
        <v>17</v>
      </c>
      <c r="D957" s="1">
        <v>45934</v>
      </c>
      <c r="E957" s="1">
        <v>45938</v>
      </c>
      <c r="F957" s="1">
        <v>45942</v>
      </c>
      <c r="G957" s="1">
        <v>45948</v>
      </c>
      <c r="H957" t="s">
        <v>18</v>
      </c>
      <c r="I957" t="s">
        <v>19</v>
      </c>
      <c r="J957" s="1">
        <v>45962</v>
      </c>
      <c r="K957">
        <v>4</v>
      </c>
      <c r="L957">
        <v>4</v>
      </c>
      <c r="M957">
        <v>6</v>
      </c>
      <c r="N957">
        <v>2</v>
      </c>
      <c r="O957">
        <v>14</v>
      </c>
      <c r="P957" t="b">
        <f>IF(EPe_BA_intern_assesment_Raw_data___Sheet13[[#This Row],[Customer Rating]]&gt;8,EPe_BA_intern_assesment_Raw_data___Sheet13[[#This Row],[Customer Rating]])</f>
        <v>0</v>
      </c>
      <c r="Q957" t="str">
        <f>IF(AND(EPe_BA_intern_assesment_Raw_data___Sheet13[[#This Row],[Customer Rating]]&gt;6,EPe_BA_intern_assesment_Raw_data___Sheet13[[#This Row],[Customer Rating]]&lt;9), EPe_BA_intern_assesment_Raw_data___Sheet13[[#This Row],[Customer Rating]], "")</f>
        <v/>
      </c>
      <c r="R957">
        <f>IF(EPe_BA_intern_assesment_Raw_data___Sheet13[[#This Row],[Customer Rating]]&lt;7,EPe_BA_intern_assesment_Raw_data___Sheet13[[#This Row],[Customer Rating]])</f>
        <v>2</v>
      </c>
    </row>
    <row r="958" spans="1:18" x14ac:dyDescent="0.3">
      <c r="A958" t="s">
        <v>986</v>
      </c>
      <c r="B958" t="s">
        <v>34</v>
      </c>
      <c r="C958" t="s">
        <v>24</v>
      </c>
      <c r="D958" s="1">
        <v>45946</v>
      </c>
      <c r="E958" s="1"/>
      <c r="F958" s="1"/>
      <c r="G958" s="1"/>
      <c r="H958" t="s">
        <v>25</v>
      </c>
      <c r="I958" t="s">
        <v>103</v>
      </c>
      <c r="J958" s="1"/>
      <c r="P958" t="b">
        <f>IF(EPe_BA_intern_assesment_Raw_data___Sheet13[[#This Row],[Customer Rating]]&gt;8,EPe_BA_intern_assesment_Raw_data___Sheet13[[#This Row],[Customer Rating]])</f>
        <v>0</v>
      </c>
      <c r="Q958" t="str">
        <f>IF(AND(EPe_BA_intern_assesment_Raw_data___Sheet13[[#This Row],[Customer Rating]]&gt;6,EPe_BA_intern_assesment_Raw_data___Sheet13[[#This Row],[Customer Rating]]&lt;9), EPe_BA_intern_assesment_Raw_data___Sheet13[[#This Row],[Customer Rating]], "")</f>
        <v/>
      </c>
      <c r="R958">
        <f>IF(EPe_BA_intern_assesment_Raw_data___Sheet13[[#This Row],[Customer Rating]]&lt;7,EPe_BA_intern_assesment_Raw_data___Sheet13[[#This Row],[Customer Rating]])</f>
        <v>0</v>
      </c>
    </row>
    <row r="959" spans="1:18" x14ac:dyDescent="0.3">
      <c r="A959" t="s">
        <v>987</v>
      </c>
      <c r="B959" t="s">
        <v>16</v>
      </c>
      <c r="C959" t="s">
        <v>17</v>
      </c>
      <c r="D959" s="1">
        <v>45953</v>
      </c>
      <c r="E959" s="1">
        <v>45956</v>
      </c>
      <c r="F959" s="1">
        <v>45957</v>
      </c>
      <c r="G959" s="1">
        <v>45961</v>
      </c>
      <c r="H959" t="s">
        <v>18</v>
      </c>
      <c r="I959" t="s">
        <v>19</v>
      </c>
      <c r="J959" s="1">
        <v>45972</v>
      </c>
      <c r="K959">
        <v>3</v>
      </c>
      <c r="L959">
        <v>1</v>
      </c>
      <c r="M959">
        <v>4</v>
      </c>
      <c r="N959">
        <v>10</v>
      </c>
      <c r="O959">
        <v>8</v>
      </c>
      <c r="P959">
        <f>IF(EPe_BA_intern_assesment_Raw_data___Sheet13[[#This Row],[Customer Rating]]&gt;8,EPe_BA_intern_assesment_Raw_data___Sheet13[[#This Row],[Customer Rating]])</f>
        <v>10</v>
      </c>
      <c r="Q959" t="str">
        <f>IF(AND(EPe_BA_intern_assesment_Raw_data___Sheet13[[#This Row],[Customer Rating]]&gt;6,EPe_BA_intern_assesment_Raw_data___Sheet13[[#This Row],[Customer Rating]]&lt;9), EPe_BA_intern_assesment_Raw_data___Sheet13[[#This Row],[Customer Rating]], "")</f>
        <v/>
      </c>
      <c r="R959" t="b">
        <f>IF(EPe_BA_intern_assesment_Raw_data___Sheet13[[#This Row],[Customer Rating]]&lt;7,EPe_BA_intern_assesment_Raw_data___Sheet13[[#This Row],[Customer Rating]])</f>
        <v>0</v>
      </c>
    </row>
    <row r="960" spans="1:18" x14ac:dyDescent="0.3">
      <c r="A960" t="s">
        <v>988</v>
      </c>
      <c r="B960" t="s">
        <v>16</v>
      </c>
      <c r="C960" t="s">
        <v>17</v>
      </c>
      <c r="D960" s="1">
        <v>45960</v>
      </c>
      <c r="E960" s="1">
        <v>45963</v>
      </c>
      <c r="F960" s="1">
        <v>45964</v>
      </c>
      <c r="G960" s="1">
        <v>45970</v>
      </c>
      <c r="H960" t="s">
        <v>18</v>
      </c>
      <c r="I960" t="s">
        <v>19</v>
      </c>
      <c r="J960" s="1">
        <v>45985</v>
      </c>
      <c r="K960">
        <v>3</v>
      </c>
      <c r="L960">
        <v>1</v>
      </c>
      <c r="M960">
        <v>6</v>
      </c>
      <c r="N960">
        <v>1</v>
      </c>
      <c r="O960">
        <v>10</v>
      </c>
      <c r="P960" t="b">
        <f>IF(EPe_BA_intern_assesment_Raw_data___Sheet13[[#This Row],[Customer Rating]]&gt;8,EPe_BA_intern_assesment_Raw_data___Sheet13[[#This Row],[Customer Rating]])</f>
        <v>0</v>
      </c>
      <c r="Q960" t="str">
        <f>IF(AND(EPe_BA_intern_assesment_Raw_data___Sheet13[[#This Row],[Customer Rating]]&gt;6,EPe_BA_intern_assesment_Raw_data___Sheet13[[#This Row],[Customer Rating]]&lt;9), EPe_BA_intern_assesment_Raw_data___Sheet13[[#This Row],[Customer Rating]], "")</f>
        <v/>
      </c>
      <c r="R960">
        <f>IF(EPe_BA_intern_assesment_Raw_data___Sheet13[[#This Row],[Customer Rating]]&lt;7,EPe_BA_intern_assesment_Raw_data___Sheet13[[#This Row],[Customer Rating]])</f>
        <v>1</v>
      </c>
    </row>
    <row r="961" spans="1:18" x14ac:dyDescent="0.3">
      <c r="A961" t="s">
        <v>989</v>
      </c>
      <c r="B961" t="s">
        <v>16</v>
      </c>
      <c r="C961" t="s">
        <v>24</v>
      </c>
      <c r="D961" s="1">
        <v>45945</v>
      </c>
      <c r="E961" s="1"/>
      <c r="F961" s="1"/>
      <c r="G961" s="1"/>
      <c r="H961" t="s">
        <v>25</v>
      </c>
      <c r="I961" t="s">
        <v>35</v>
      </c>
      <c r="J961" s="1"/>
      <c r="P961" t="b">
        <f>IF(EPe_BA_intern_assesment_Raw_data___Sheet13[[#This Row],[Customer Rating]]&gt;8,EPe_BA_intern_assesment_Raw_data___Sheet13[[#This Row],[Customer Rating]])</f>
        <v>0</v>
      </c>
      <c r="Q961" t="str">
        <f>IF(AND(EPe_BA_intern_assesment_Raw_data___Sheet13[[#This Row],[Customer Rating]]&gt;6,EPe_BA_intern_assesment_Raw_data___Sheet13[[#This Row],[Customer Rating]]&lt;9), EPe_BA_intern_assesment_Raw_data___Sheet13[[#This Row],[Customer Rating]], "")</f>
        <v/>
      </c>
      <c r="R961">
        <f>IF(EPe_BA_intern_assesment_Raw_data___Sheet13[[#This Row],[Customer Rating]]&lt;7,EPe_BA_intern_assesment_Raw_data___Sheet13[[#This Row],[Customer Rating]])</f>
        <v>0</v>
      </c>
    </row>
    <row r="962" spans="1:18" x14ac:dyDescent="0.3">
      <c r="A962" t="s">
        <v>990</v>
      </c>
      <c r="B962" t="s">
        <v>16</v>
      </c>
      <c r="C962" t="s">
        <v>32</v>
      </c>
      <c r="D962" s="1">
        <v>45933</v>
      </c>
      <c r="E962" s="1">
        <v>45938</v>
      </c>
      <c r="F962" s="1">
        <v>45940</v>
      </c>
      <c r="G962" s="1">
        <v>45943</v>
      </c>
      <c r="H962" t="s">
        <v>18</v>
      </c>
      <c r="I962" t="s">
        <v>19</v>
      </c>
      <c r="J962" s="1">
        <v>45956</v>
      </c>
      <c r="K962">
        <v>5</v>
      </c>
      <c r="L962">
        <v>2</v>
      </c>
      <c r="M962">
        <v>3</v>
      </c>
      <c r="N962">
        <v>8</v>
      </c>
      <c r="O962">
        <v>10</v>
      </c>
      <c r="P962" t="b">
        <f>IF(EPe_BA_intern_assesment_Raw_data___Sheet13[[#This Row],[Customer Rating]]&gt;8,EPe_BA_intern_assesment_Raw_data___Sheet13[[#This Row],[Customer Rating]])</f>
        <v>0</v>
      </c>
      <c r="Q962">
        <f>IF(AND(EPe_BA_intern_assesment_Raw_data___Sheet13[[#This Row],[Customer Rating]]&gt;6,EPe_BA_intern_assesment_Raw_data___Sheet13[[#This Row],[Customer Rating]]&lt;9), EPe_BA_intern_assesment_Raw_data___Sheet13[[#This Row],[Customer Rating]], "")</f>
        <v>8</v>
      </c>
      <c r="R962" t="b">
        <f>IF(EPe_BA_intern_assesment_Raw_data___Sheet13[[#This Row],[Customer Rating]]&lt;7,EPe_BA_intern_assesment_Raw_data___Sheet13[[#This Row],[Customer Rating]])</f>
        <v>0</v>
      </c>
    </row>
    <row r="963" spans="1:18" x14ac:dyDescent="0.3">
      <c r="A963" t="s">
        <v>991</v>
      </c>
      <c r="B963" t="s">
        <v>23</v>
      </c>
      <c r="C963" t="s">
        <v>17</v>
      </c>
      <c r="D963" s="1">
        <v>45959</v>
      </c>
      <c r="E963" s="1">
        <v>45962</v>
      </c>
      <c r="F963" s="1">
        <v>45965</v>
      </c>
      <c r="G963" s="1">
        <v>45968</v>
      </c>
      <c r="H963" t="s">
        <v>18</v>
      </c>
      <c r="I963" t="s">
        <v>19</v>
      </c>
      <c r="J963" s="1">
        <v>45991</v>
      </c>
      <c r="K963">
        <v>3</v>
      </c>
      <c r="L963">
        <v>3</v>
      </c>
      <c r="M963">
        <v>3</v>
      </c>
      <c r="N963">
        <v>6</v>
      </c>
      <c r="O963">
        <v>9</v>
      </c>
      <c r="P963" t="b">
        <f>IF(EPe_BA_intern_assesment_Raw_data___Sheet13[[#This Row],[Customer Rating]]&gt;8,EPe_BA_intern_assesment_Raw_data___Sheet13[[#This Row],[Customer Rating]])</f>
        <v>0</v>
      </c>
      <c r="Q963" t="str">
        <f>IF(AND(EPe_BA_intern_assesment_Raw_data___Sheet13[[#This Row],[Customer Rating]]&gt;6,EPe_BA_intern_assesment_Raw_data___Sheet13[[#This Row],[Customer Rating]]&lt;9), EPe_BA_intern_assesment_Raw_data___Sheet13[[#This Row],[Customer Rating]], "")</f>
        <v/>
      </c>
      <c r="R963">
        <f>IF(EPe_BA_intern_assesment_Raw_data___Sheet13[[#This Row],[Customer Rating]]&lt;7,EPe_BA_intern_assesment_Raw_data___Sheet13[[#This Row],[Customer Rating]])</f>
        <v>6</v>
      </c>
    </row>
    <row r="964" spans="1:18" x14ac:dyDescent="0.3">
      <c r="A964" t="s">
        <v>992</v>
      </c>
      <c r="B964" t="s">
        <v>34</v>
      </c>
      <c r="C964" t="s">
        <v>24</v>
      </c>
      <c r="D964" s="1">
        <v>45933</v>
      </c>
      <c r="E964" s="1"/>
      <c r="F964" s="1"/>
      <c r="G964" s="1"/>
      <c r="H964" t="s">
        <v>25</v>
      </c>
      <c r="I964" t="s">
        <v>26</v>
      </c>
      <c r="J964" s="1"/>
      <c r="P964" t="b">
        <f>IF(EPe_BA_intern_assesment_Raw_data___Sheet13[[#This Row],[Customer Rating]]&gt;8,EPe_BA_intern_assesment_Raw_data___Sheet13[[#This Row],[Customer Rating]])</f>
        <v>0</v>
      </c>
      <c r="Q964" t="str">
        <f>IF(AND(EPe_BA_intern_assesment_Raw_data___Sheet13[[#This Row],[Customer Rating]]&gt;6,EPe_BA_intern_assesment_Raw_data___Sheet13[[#This Row],[Customer Rating]]&lt;9), EPe_BA_intern_assesment_Raw_data___Sheet13[[#This Row],[Customer Rating]], "")</f>
        <v/>
      </c>
      <c r="R964">
        <f>IF(EPe_BA_intern_assesment_Raw_data___Sheet13[[#This Row],[Customer Rating]]&lt;7,EPe_BA_intern_assesment_Raw_data___Sheet13[[#This Row],[Customer Rating]])</f>
        <v>0</v>
      </c>
    </row>
    <row r="965" spans="1:18" x14ac:dyDescent="0.3">
      <c r="A965" t="s">
        <v>993</v>
      </c>
      <c r="B965" t="s">
        <v>21</v>
      </c>
      <c r="C965" t="s">
        <v>32</v>
      </c>
      <c r="D965" s="1">
        <v>45941</v>
      </c>
      <c r="E965" s="1">
        <v>45943</v>
      </c>
      <c r="F965" s="1">
        <v>45946</v>
      </c>
      <c r="G965" s="1">
        <v>45948</v>
      </c>
      <c r="H965" t="s">
        <v>18</v>
      </c>
      <c r="I965" t="s">
        <v>19</v>
      </c>
      <c r="J965" s="1">
        <v>45976</v>
      </c>
      <c r="K965">
        <v>2</v>
      </c>
      <c r="L965">
        <v>3</v>
      </c>
      <c r="M965">
        <v>2</v>
      </c>
      <c r="N965">
        <v>3</v>
      </c>
      <c r="O965">
        <v>7</v>
      </c>
      <c r="P965" t="b">
        <f>IF(EPe_BA_intern_assesment_Raw_data___Sheet13[[#This Row],[Customer Rating]]&gt;8,EPe_BA_intern_assesment_Raw_data___Sheet13[[#This Row],[Customer Rating]])</f>
        <v>0</v>
      </c>
      <c r="Q965" t="str">
        <f>IF(AND(EPe_BA_intern_assesment_Raw_data___Sheet13[[#This Row],[Customer Rating]]&gt;6,EPe_BA_intern_assesment_Raw_data___Sheet13[[#This Row],[Customer Rating]]&lt;9), EPe_BA_intern_assesment_Raw_data___Sheet13[[#This Row],[Customer Rating]], "")</f>
        <v/>
      </c>
      <c r="R965">
        <f>IF(EPe_BA_intern_assesment_Raw_data___Sheet13[[#This Row],[Customer Rating]]&lt;7,EPe_BA_intern_assesment_Raw_data___Sheet13[[#This Row],[Customer Rating]])</f>
        <v>3</v>
      </c>
    </row>
    <row r="966" spans="1:18" x14ac:dyDescent="0.3">
      <c r="A966" t="s">
        <v>994</v>
      </c>
      <c r="B966" t="s">
        <v>16</v>
      </c>
      <c r="C966" t="s">
        <v>17</v>
      </c>
      <c r="D966" s="1">
        <v>45950</v>
      </c>
      <c r="E966" s="1">
        <v>45952</v>
      </c>
      <c r="F966" s="1">
        <v>45955</v>
      </c>
      <c r="G966" s="1">
        <v>45958</v>
      </c>
      <c r="H966" t="s">
        <v>18</v>
      </c>
      <c r="I966" t="s">
        <v>19</v>
      </c>
      <c r="J966" s="1">
        <v>45983</v>
      </c>
      <c r="K966">
        <v>2</v>
      </c>
      <c r="L966">
        <v>3</v>
      </c>
      <c r="M966">
        <v>3</v>
      </c>
      <c r="N966">
        <v>9</v>
      </c>
      <c r="O966">
        <v>8</v>
      </c>
      <c r="P966">
        <f>IF(EPe_BA_intern_assesment_Raw_data___Sheet13[[#This Row],[Customer Rating]]&gt;8,EPe_BA_intern_assesment_Raw_data___Sheet13[[#This Row],[Customer Rating]])</f>
        <v>9</v>
      </c>
      <c r="Q966" t="str">
        <f>IF(AND(EPe_BA_intern_assesment_Raw_data___Sheet13[[#This Row],[Customer Rating]]&gt;6,EPe_BA_intern_assesment_Raw_data___Sheet13[[#This Row],[Customer Rating]]&lt;9), EPe_BA_intern_assesment_Raw_data___Sheet13[[#This Row],[Customer Rating]], "")</f>
        <v/>
      </c>
      <c r="R966" t="b">
        <f>IF(EPe_BA_intern_assesment_Raw_data___Sheet13[[#This Row],[Customer Rating]]&lt;7,EPe_BA_intern_assesment_Raw_data___Sheet13[[#This Row],[Customer Rating]])</f>
        <v>0</v>
      </c>
    </row>
    <row r="967" spans="1:18" x14ac:dyDescent="0.3">
      <c r="A967" t="s">
        <v>995</v>
      </c>
      <c r="B967" t="s">
        <v>23</v>
      </c>
      <c r="C967" t="s">
        <v>17</v>
      </c>
      <c r="D967" s="1">
        <v>45935</v>
      </c>
      <c r="E967" s="1">
        <v>45940</v>
      </c>
      <c r="F967" s="1">
        <v>45944</v>
      </c>
      <c r="G967" s="1">
        <v>45951</v>
      </c>
      <c r="H967" t="s">
        <v>18</v>
      </c>
      <c r="I967" t="s">
        <v>19</v>
      </c>
      <c r="J967" s="1">
        <v>45979</v>
      </c>
      <c r="K967">
        <v>5</v>
      </c>
      <c r="L967">
        <v>4</v>
      </c>
      <c r="M967">
        <v>7</v>
      </c>
      <c r="N967">
        <v>7</v>
      </c>
      <c r="O967">
        <v>16</v>
      </c>
      <c r="P967" t="b">
        <f>IF(EPe_BA_intern_assesment_Raw_data___Sheet13[[#This Row],[Customer Rating]]&gt;8,EPe_BA_intern_assesment_Raw_data___Sheet13[[#This Row],[Customer Rating]])</f>
        <v>0</v>
      </c>
      <c r="Q967">
        <f>IF(AND(EPe_BA_intern_assesment_Raw_data___Sheet13[[#This Row],[Customer Rating]]&gt;6,EPe_BA_intern_assesment_Raw_data___Sheet13[[#This Row],[Customer Rating]]&lt;9), EPe_BA_intern_assesment_Raw_data___Sheet13[[#This Row],[Customer Rating]], "")</f>
        <v>7</v>
      </c>
      <c r="R967" t="b">
        <f>IF(EPe_BA_intern_assesment_Raw_data___Sheet13[[#This Row],[Customer Rating]]&lt;7,EPe_BA_intern_assesment_Raw_data___Sheet13[[#This Row],[Customer Rating]])</f>
        <v>0</v>
      </c>
    </row>
    <row r="968" spans="1:18" x14ac:dyDescent="0.3">
      <c r="A968" t="s">
        <v>996</v>
      </c>
      <c r="B968" t="s">
        <v>23</v>
      </c>
      <c r="C968" t="s">
        <v>17</v>
      </c>
      <c r="D968" s="1">
        <v>45933</v>
      </c>
      <c r="E968" s="1">
        <v>45938</v>
      </c>
      <c r="F968" s="1">
        <v>45940</v>
      </c>
      <c r="G968" s="1">
        <v>45943</v>
      </c>
      <c r="H968" t="s">
        <v>18</v>
      </c>
      <c r="I968" t="s">
        <v>19</v>
      </c>
      <c r="J968" s="1">
        <v>45967</v>
      </c>
      <c r="K968">
        <v>5</v>
      </c>
      <c r="L968">
        <v>2</v>
      </c>
      <c r="M968">
        <v>3</v>
      </c>
      <c r="N968">
        <v>4</v>
      </c>
      <c r="O968">
        <v>10</v>
      </c>
      <c r="P968" t="b">
        <f>IF(EPe_BA_intern_assesment_Raw_data___Sheet13[[#This Row],[Customer Rating]]&gt;8,EPe_BA_intern_assesment_Raw_data___Sheet13[[#This Row],[Customer Rating]])</f>
        <v>0</v>
      </c>
      <c r="Q968" t="str">
        <f>IF(AND(EPe_BA_intern_assesment_Raw_data___Sheet13[[#This Row],[Customer Rating]]&gt;6,EPe_BA_intern_assesment_Raw_data___Sheet13[[#This Row],[Customer Rating]]&lt;9), EPe_BA_intern_assesment_Raw_data___Sheet13[[#This Row],[Customer Rating]], "")</f>
        <v/>
      </c>
      <c r="R968">
        <f>IF(EPe_BA_intern_assesment_Raw_data___Sheet13[[#This Row],[Customer Rating]]&lt;7,EPe_BA_intern_assesment_Raw_data___Sheet13[[#This Row],[Customer Rating]])</f>
        <v>4</v>
      </c>
    </row>
    <row r="969" spans="1:18" x14ac:dyDescent="0.3">
      <c r="A969" t="s">
        <v>997</v>
      </c>
      <c r="B969" t="s">
        <v>23</v>
      </c>
      <c r="C969" t="s">
        <v>17</v>
      </c>
      <c r="D969" s="1">
        <v>45935</v>
      </c>
      <c r="E969" s="1">
        <v>45939</v>
      </c>
      <c r="F969" s="1">
        <v>45944</v>
      </c>
      <c r="G969" s="1">
        <v>45948</v>
      </c>
      <c r="H969" t="s">
        <v>18</v>
      </c>
      <c r="I969" t="s">
        <v>19</v>
      </c>
      <c r="J969" s="1">
        <v>45963</v>
      </c>
      <c r="K969">
        <v>4</v>
      </c>
      <c r="L969">
        <v>5</v>
      </c>
      <c r="M969">
        <v>4</v>
      </c>
      <c r="N969">
        <v>7</v>
      </c>
      <c r="O969">
        <v>13</v>
      </c>
      <c r="P969" t="b">
        <f>IF(EPe_BA_intern_assesment_Raw_data___Sheet13[[#This Row],[Customer Rating]]&gt;8,EPe_BA_intern_assesment_Raw_data___Sheet13[[#This Row],[Customer Rating]])</f>
        <v>0</v>
      </c>
      <c r="Q969">
        <f>IF(AND(EPe_BA_intern_assesment_Raw_data___Sheet13[[#This Row],[Customer Rating]]&gt;6,EPe_BA_intern_assesment_Raw_data___Sheet13[[#This Row],[Customer Rating]]&lt;9), EPe_BA_intern_assesment_Raw_data___Sheet13[[#This Row],[Customer Rating]], "")</f>
        <v>7</v>
      </c>
      <c r="R969" t="b">
        <f>IF(EPe_BA_intern_assesment_Raw_data___Sheet13[[#This Row],[Customer Rating]]&lt;7,EPe_BA_intern_assesment_Raw_data___Sheet13[[#This Row],[Customer Rating]])</f>
        <v>0</v>
      </c>
    </row>
    <row r="970" spans="1:18" x14ac:dyDescent="0.3">
      <c r="A970" t="s">
        <v>998</v>
      </c>
      <c r="B970" t="s">
        <v>21</v>
      </c>
      <c r="C970" t="s">
        <v>24</v>
      </c>
      <c r="D970" s="1">
        <v>45939</v>
      </c>
      <c r="E970" s="1"/>
      <c r="F970" s="1"/>
      <c r="G970" s="1"/>
      <c r="H970" t="s">
        <v>25</v>
      </c>
      <c r="I970" t="s">
        <v>65</v>
      </c>
      <c r="J970" s="1"/>
      <c r="P970" t="b">
        <f>IF(EPe_BA_intern_assesment_Raw_data___Sheet13[[#This Row],[Customer Rating]]&gt;8,EPe_BA_intern_assesment_Raw_data___Sheet13[[#This Row],[Customer Rating]])</f>
        <v>0</v>
      </c>
      <c r="Q970" t="str">
        <f>IF(AND(EPe_BA_intern_assesment_Raw_data___Sheet13[[#This Row],[Customer Rating]]&gt;6,EPe_BA_intern_assesment_Raw_data___Sheet13[[#This Row],[Customer Rating]]&lt;9), EPe_BA_intern_assesment_Raw_data___Sheet13[[#This Row],[Customer Rating]], "")</f>
        <v/>
      </c>
      <c r="R970">
        <f>IF(EPe_BA_intern_assesment_Raw_data___Sheet13[[#This Row],[Customer Rating]]&lt;7,EPe_BA_intern_assesment_Raw_data___Sheet13[[#This Row],[Customer Rating]])</f>
        <v>0</v>
      </c>
    </row>
    <row r="971" spans="1:18" x14ac:dyDescent="0.3">
      <c r="A971" t="s">
        <v>999</v>
      </c>
      <c r="B971" t="s">
        <v>16</v>
      </c>
      <c r="C971" t="s">
        <v>17</v>
      </c>
      <c r="D971" s="1">
        <v>45950</v>
      </c>
      <c r="E971" s="1">
        <v>45955</v>
      </c>
      <c r="F971" s="1">
        <v>45959</v>
      </c>
      <c r="G971" s="1">
        <v>45965</v>
      </c>
      <c r="H971" t="s">
        <v>18</v>
      </c>
      <c r="I971" t="s">
        <v>19</v>
      </c>
      <c r="J971" s="1">
        <v>45994</v>
      </c>
      <c r="K971">
        <v>5</v>
      </c>
      <c r="L971">
        <v>4</v>
      </c>
      <c r="M971">
        <v>6</v>
      </c>
      <c r="N971">
        <v>6</v>
      </c>
      <c r="O971">
        <v>15</v>
      </c>
      <c r="P971" t="b">
        <f>IF(EPe_BA_intern_assesment_Raw_data___Sheet13[[#This Row],[Customer Rating]]&gt;8,EPe_BA_intern_assesment_Raw_data___Sheet13[[#This Row],[Customer Rating]])</f>
        <v>0</v>
      </c>
      <c r="Q971" t="str">
        <f>IF(AND(EPe_BA_intern_assesment_Raw_data___Sheet13[[#This Row],[Customer Rating]]&gt;6,EPe_BA_intern_assesment_Raw_data___Sheet13[[#This Row],[Customer Rating]]&lt;9), EPe_BA_intern_assesment_Raw_data___Sheet13[[#This Row],[Customer Rating]], "")</f>
        <v/>
      </c>
      <c r="R971">
        <f>IF(EPe_BA_intern_assesment_Raw_data___Sheet13[[#This Row],[Customer Rating]]&lt;7,EPe_BA_intern_assesment_Raw_data___Sheet13[[#This Row],[Customer Rating]])</f>
        <v>6</v>
      </c>
    </row>
    <row r="972" spans="1:18" x14ac:dyDescent="0.3">
      <c r="A972" t="s">
        <v>1000</v>
      </c>
      <c r="B972" t="s">
        <v>34</v>
      </c>
      <c r="C972" t="s">
        <v>32</v>
      </c>
      <c r="D972" s="1">
        <v>45951</v>
      </c>
      <c r="E972" s="1">
        <v>45952</v>
      </c>
      <c r="F972" s="1">
        <v>45955</v>
      </c>
      <c r="G972" s="1">
        <v>45962</v>
      </c>
      <c r="H972" t="s">
        <v>18</v>
      </c>
      <c r="I972" t="s">
        <v>19</v>
      </c>
      <c r="J972" s="1">
        <v>45984</v>
      </c>
      <c r="K972">
        <v>1</v>
      </c>
      <c r="L972">
        <v>3</v>
      </c>
      <c r="M972">
        <v>7</v>
      </c>
      <c r="N972">
        <v>10</v>
      </c>
      <c r="O972">
        <v>11</v>
      </c>
      <c r="P972">
        <f>IF(EPe_BA_intern_assesment_Raw_data___Sheet13[[#This Row],[Customer Rating]]&gt;8,EPe_BA_intern_assesment_Raw_data___Sheet13[[#This Row],[Customer Rating]])</f>
        <v>10</v>
      </c>
      <c r="Q972" t="str">
        <f>IF(AND(EPe_BA_intern_assesment_Raw_data___Sheet13[[#This Row],[Customer Rating]]&gt;6,EPe_BA_intern_assesment_Raw_data___Sheet13[[#This Row],[Customer Rating]]&lt;9), EPe_BA_intern_assesment_Raw_data___Sheet13[[#This Row],[Customer Rating]], "")</f>
        <v/>
      </c>
      <c r="R972" t="b">
        <f>IF(EPe_BA_intern_assesment_Raw_data___Sheet13[[#This Row],[Customer Rating]]&lt;7,EPe_BA_intern_assesment_Raw_data___Sheet13[[#This Row],[Customer Rating]])</f>
        <v>0</v>
      </c>
    </row>
    <row r="973" spans="1:18" x14ac:dyDescent="0.3">
      <c r="A973" t="s">
        <v>1001</v>
      </c>
      <c r="B973" t="s">
        <v>34</v>
      </c>
      <c r="C973" t="s">
        <v>24</v>
      </c>
      <c r="D973" s="1">
        <v>45949</v>
      </c>
      <c r="E973" s="1"/>
      <c r="F973" s="1"/>
      <c r="G973" s="1"/>
      <c r="H973" t="s">
        <v>25</v>
      </c>
      <c r="I973" t="s">
        <v>103</v>
      </c>
      <c r="J973" s="1"/>
      <c r="P973" t="b">
        <f>IF(EPe_BA_intern_assesment_Raw_data___Sheet13[[#This Row],[Customer Rating]]&gt;8,EPe_BA_intern_assesment_Raw_data___Sheet13[[#This Row],[Customer Rating]])</f>
        <v>0</v>
      </c>
      <c r="Q973" t="str">
        <f>IF(AND(EPe_BA_intern_assesment_Raw_data___Sheet13[[#This Row],[Customer Rating]]&gt;6,EPe_BA_intern_assesment_Raw_data___Sheet13[[#This Row],[Customer Rating]]&lt;9), EPe_BA_intern_assesment_Raw_data___Sheet13[[#This Row],[Customer Rating]], "")</f>
        <v/>
      </c>
      <c r="R973">
        <f>IF(EPe_BA_intern_assesment_Raw_data___Sheet13[[#This Row],[Customer Rating]]&lt;7,EPe_BA_intern_assesment_Raw_data___Sheet13[[#This Row],[Customer Rating]])</f>
        <v>0</v>
      </c>
    </row>
    <row r="974" spans="1:18" x14ac:dyDescent="0.3">
      <c r="A974" t="s">
        <v>1002</v>
      </c>
      <c r="B974" t="s">
        <v>23</v>
      </c>
      <c r="C974" t="s">
        <v>32</v>
      </c>
      <c r="D974" s="1">
        <v>45948</v>
      </c>
      <c r="E974" s="1">
        <v>45949</v>
      </c>
      <c r="F974" s="1">
        <v>45953</v>
      </c>
      <c r="G974" s="1">
        <v>45955</v>
      </c>
      <c r="H974" t="s">
        <v>18</v>
      </c>
      <c r="I974" t="s">
        <v>19</v>
      </c>
      <c r="J974" s="1">
        <v>45976</v>
      </c>
      <c r="K974">
        <v>1</v>
      </c>
      <c r="L974">
        <v>4</v>
      </c>
      <c r="M974">
        <v>2</v>
      </c>
      <c r="N974">
        <v>10</v>
      </c>
      <c r="O974">
        <v>7</v>
      </c>
      <c r="P974">
        <f>IF(EPe_BA_intern_assesment_Raw_data___Sheet13[[#This Row],[Customer Rating]]&gt;8,EPe_BA_intern_assesment_Raw_data___Sheet13[[#This Row],[Customer Rating]])</f>
        <v>10</v>
      </c>
      <c r="Q974" t="str">
        <f>IF(AND(EPe_BA_intern_assesment_Raw_data___Sheet13[[#This Row],[Customer Rating]]&gt;6,EPe_BA_intern_assesment_Raw_data___Sheet13[[#This Row],[Customer Rating]]&lt;9), EPe_BA_intern_assesment_Raw_data___Sheet13[[#This Row],[Customer Rating]], "")</f>
        <v/>
      </c>
      <c r="R974" t="b">
        <f>IF(EPe_BA_intern_assesment_Raw_data___Sheet13[[#This Row],[Customer Rating]]&lt;7,EPe_BA_intern_assesment_Raw_data___Sheet13[[#This Row],[Customer Rating]])</f>
        <v>0</v>
      </c>
    </row>
    <row r="975" spans="1:18" x14ac:dyDescent="0.3">
      <c r="A975" t="s">
        <v>1003</v>
      </c>
      <c r="B975" t="s">
        <v>21</v>
      </c>
      <c r="C975" t="s">
        <v>17</v>
      </c>
      <c r="D975" s="1">
        <v>45953</v>
      </c>
      <c r="E975" s="1">
        <v>45954</v>
      </c>
      <c r="F975" s="1">
        <v>45955</v>
      </c>
      <c r="G975" s="1">
        <v>45958</v>
      </c>
      <c r="H975" t="s">
        <v>18</v>
      </c>
      <c r="I975" t="s">
        <v>19</v>
      </c>
      <c r="J975" s="1">
        <v>45987</v>
      </c>
      <c r="K975">
        <v>1</v>
      </c>
      <c r="L975">
        <v>1</v>
      </c>
      <c r="M975">
        <v>3</v>
      </c>
      <c r="N975">
        <v>9</v>
      </c>
      <c r="O975">
        <v>5</v>
      </c>
      <c r="P975">
        <f>IF(EPe_BA_intern_assesment_Raw_data___Sheet13[[#This Row],[Customer Rating]]&gt;8,EPe_BA_intern_assesment_Raw_data___Sheet13[[#This Row],[Customer Rating]])</f>
        <v>9</v>
      </c>
      <c r="Q975" t="str">
        <f>IF(AND(EPe_BA_intern_assesment_Raw_data___Sheet13[[#This Row],[Customer Rating]]&gt;6,EPe_BA_intern_assesment_Raw_data___Sheet13[[#This Row],[Customer Rating]]&lt;9), EPe_BA_intern_assesment_Raw_data___Sheet13[[#This Row],[Customer Rating]], "")</f>
        <v/>
      </c>
      <c r="R975" t="b">
        <f>IF(EPe_BA_intern_assesment_Raw_data___Sheet13[[#This Row],[Customer Rating]]&lt;7,EPe_BA_intern_assesment_Raw_data___Sheet13[[#This Row],[Customer Rating]])</f>
        <v>0</v>
      </c>
    </row>
    <row r="976" spans="1:18" x14ac:dyDescent="0.3">
      <c r="A976" t="s">
        <v>1004</v>
      </c>
      <c r="B976" t="s">
        <v>21</v>
      </c>
      <c r="C976" t="s">
        <v>17</v>
      </c>
      <c r="D976" s="1">
        <v>45941</v>
      </c>
      <c r="E976" s="1">
        <v>45943</v>
      </c>
      <c r="F976" s="1">
        <v>45947</v>
      </c>
      <c r="G976" s="1">
        <v>45953</v>
      </c>
      <c r="H976" t="s">
        <v>18</v>
      </c>
      <c r="I976" t="s">
        <v>19</v>
      </c>
      <c r="J976" s="1">
        <v>45963</v>
      </c>
      <c r="K976">
        <v>2</v>
      </c>
      <c r="L976">
        <v>4</v>
      </c>
      <c r="M976">
        <v>6</v>
      </c>
      <c r="N976">
        <v>7</v>
      </c>
      <c r="O976">
        <v>12</v>
      </c>
      <c r="P976" t="b">
        <f>IF(EPe_BA_intern_assesment_Raw_data___Sheet13[[#This Row],[Customer Rating]]&gt;8,EPe_BA_intern_assesment_Raw_data___Sheet13[[#This Row],[Customer Rating]])</f>
        <v>0</v>
      </c>
      <c r="Q976">
        <f>IF(AND(EPe_BA_intern_assesment_Raw_data___Sheet13[[#This Row],[Customer Rating]]&gt;6,EPe_BA_intern_assesment_Raw_data___Sheet13[[#This Row],[Customer Rating]]&lt;9), EPe_BA_intern_assesment_Raw_data___Sheet13[[#This Row],[Customer Rating]], "")</f>
        <v>7</v>
      </c>
      <c r="R976" t="b">
        <f>IF(EPe_BA_intern_assesment_Raw_data___Sheet13[[#This Row],[Customer Rating]]&lt;7,EPe_BA_intern_assesment_Raw_data___Sheet13[[#This Row],[Customer Rating]])</f>
        <v>0</v>
      </c>
    </row>
    <row r="977" spans="1:18" x14ac:dyDescent="0.3">
      <c r="A977" t="s">
        <v>1005</v>
      </c>
      <c r="B977" t="s">
        <v>21</v>
      </c>
      <c r="C977" t="s">
        <v>17</v>
      </c>
      <c r="D977" s="1">
        <v>45943</v>
      </c>
      <c r="E977" s="1">
        <v>45946</v>
      </c>
      <c r="F977" s="1">
        <v>45950</v>
      </c>
      <c r="G977" s="1">
        <v>45955</v>
      </c>
      <c r="H977" t="s">
        <v>25</v>
      </c>
      <c r="I977" t="s">
        <v>28</v>
      </c>
      <c r="J977" s="1"/>
      <c r="K977">
        <v>3</v>
      </c>
      <c r="L977">
        <v>4</v>
      </c>
      <c r="M977">
        <v>5</v>
      </c>
      <c r="O977">
        <v>12</v>
      </c>
      <c r="P977" t="b">
        <f>IF(EPe_BA_intern_assesment_Raw_data___Sheet13[[#This Row],[Customer Rating]]&gt;8,EPe_BA_intern_assesment_Raw_data___Sheet13[[#This Row],[Customer Rating]])</f>
        <v>0</v>
      </c>
      <c r="Q977" t="str">
        <f>IF(AND(EPe_BA_intern_assesment_Raw_data___Sheet13[[#This Row],[Customer Rating]]&gt;6,EPe_BA_intern_assesment_Raw_data___Sheet13[[#This Row],[Customer Rating]]&lt;9), EPe_BA_intern_assesment_Raw_data___Sheet13[[#This Row],[Customer Rating]], "")</f>
        <v/>
      </c>
      <c r="R977">
        <f>IF(EPe_BA_intern_assesment_Raw_data___Sheet13[[#This Row],[Customer Rating]]&lt;7,EPe_BA_intern_assesment_Raw_data___Sheet13[[#This Row],[Customer Rating]])</f>
        <v>0</v>
      </c>
    </row>
    <row r="978" spans="1:18" x14ac:dyDescent="0.3">
      <c r="A978" t="s">
        <v>1006</v>
      </c>
      <c r="B978" t="s">
        <v>34</v>
      </c>
      <c r="C978" t="s">
        <v>17</v>
      </c>
      <c r="D978" s="1">
        <v>45950</v>
      </c>
      <c r="E978" s="1">
        <v>45954</v>
      </c>
      <c r="F978" s="1">
        <v>45957</v>
      </c>
      <c r="G978" s="1">
        <v>45961</v>
      </c>
      <c r="H978" t="s">
        <v>25</v>
      </c>
      <c r="I978" t="s">
        <v>103</v>
      </c>
      <c r="J978" s="1"/>
      <c r="K978">
        <v>4</v>
      </c>
      <c r="L978">
        <v>3</v>
      </c>
      <c r="M978">
        <v>4</v>
      </c>
      <c r="O978">
        <v>11</v>
      </c>
      <c r="P978" t="b">
        <f>IF(EPe_BA_intern_assesment_Raw_data___Sheet13[[#This Row],[Customer Rating]]&gt;8,EPe_BA_intern_assesment_Raw_data___Sheet13[[#This Row],[Customer Rating]])</f>
        <v>0</v>
      </c>
      <c r="Q978" t="str">
        <f>IF(AND(EPe_BA_intern_assesment_Raw_data___Sheet13[[#This Row],[Customer Rating]]&gt;6,EPe_BA_intern_assesment_Raw_data___Sheet13[[#This Row],[Customer Rating]]&lt;9), EPe_BA_intern_assesment_Raw_data___Sheet13[[#This Row],[Customer Rating]], "")</f>
        <v/>
      </c>
      <c r="R978">
        <f>IF(EPe_BA_intern_assesment_Raw_data___Sheet13[[#This Row],[Customer Rating]]&lt;7,EPe_BA_intern_assesment_Raw_data___Sheet13[[#This Row],[Customer Rating]])</f>
        <v>0</v>
      </c>
    </row>
    <row r="979" spans="1:18" x14ac:dyDescent="0.3">
      <c r="A979" t="s">
        <v>1007</v>
      </c>
      <c r="B979" t="s">
        <v>23</v>
      </c>
      <c r="C979" t="s">
        <v>24</v>
      </c>
      <c r="D979" s="1">
        <v>45947</v>
      </c>
      <c r="E979" s="1"/>
      <c r="F979" s="1"/>
      <c r="G979" s="1"/>
      <c r="H979" t="s">
        <v>25</v>
      </c>
      <c r="I979" t="s">
        <v>65</v>
      </c>
      <c r="J979" s="1"/>
      <c r="P979" t="b">
        <f>IF(EPe_BA_intern_assesment_Raw_data___Sheet13[[#This Row],[Customer Rating]]&gt;8,EPe_BA_intern_assesment_Raw_data___Sheet13[[#This Row],[Customer Rating]])</f>
        <v>0</v>
      </c>
      <c r="Q979" t="str">
        <f>IF(AND(EPe_BA_intern_assesment_Raw_data___Sheet13[[#This Row],[Customer Rating]]&gt;6,EPe_BA_intern_assesment_Raw_data___Sheet13[[#This Row],[Customer Rating]]&lt;9), EPe_BA_intern_assesment_Raw_data___Sheet13[[#This Row],[Customer Rating]], "")</f>
        <v/>
      </c>
      <c r="R979">
        <f>IF(EPe_BA_intern_assesment_Raw_data___Sheet13[[#This Row],[Customer Rating]]&lt;7,EPe_BA_intern_assesment_Raw_data___Sheet13[[#This Row],[Customer Rating]])</f>
        <v>0</v>
      </c>
    </row>
    <row r="980" spans="1:18" x14ac:dyDescent="0.3">
      <c r="A980" t="s">
        <v>1008</v>
      </c>
      <c r="B980" t="s">
        <v>16</v>
      </c>
      <c r="C980" t="s">
        <v>17</v>
      </c>
      <c r="D980" s="1">
        <v>45940</v>
      </c>
      <c r="E980" s="1">
        <v>45945</v>
      </c>
      <c r="F980" s="1">
        <v>45946</v>
      </c>
      <c r="G980" s="1">
        <v>45949</v>
      </c>
      <c r="H980" t="s">
        <v>18</v>
      </c>
      <c r="I980" t="s">
        <v>19</v>
      </c>
      <c r="J980" s="1">
        <v>45963</v>
      </c>
      <c r="K980">
        <v>5</v>
      </c>
      <c r="L980">
        <v>1</v>
      </c>
      <c r="M980">
        <v>3</v>
      </c>
      <c r="N980">
        <v>8</v>
      </c>
      <c r="O980">
        <v>9</v>
      </c>
      <c r="P980" t="b">
        <f>IF(EPe_BA_intern_assesment_Raw_data___Sheet13[[#This Row],[Customer Rating]]&gt;8,EPe_BA_intern_assesment_Raw_data___Sheet13[[#This Row],[Customer Rating]])</f>
        <v>0</v>
      </c>
      <c r="Q980">
        <f>IF(AND(EPe_BA_intern_assesment_Raw_data___Sheet13[[#This Row],[Customer Rating]]&gt;6,EPe_BA_intern_assesment_Raw_data___Sheet13[[#This Row],[Customer Rating]]&lt;9), EPe_BA_intern_assesment_Raw_data___Sheet13[[#This Row],[Customer Rating]], "")</f>
        <v>8</v>
      </c>
      <c r="R980" t="b">
        <f>IF(EPe_BA_intern_assesment_Raw_data___Sheet13[[#This Row],[Customer Rating]]&lt;7,EPe_BA_intern_assesment_Raw_data___Sheet13[[#This Row],[Customer Rating]])</f>
        <v>0</v>
      </c>
    </row>
    <row r="981" spans="1:18" x14ac:dyDescent="0.3">
      <c r="A981" t="s">
        <v>1009</v>
      </c>
      <c r="B981" t="s">
        <v>34</v>
      </c>
      <c r="C981" t="s">
        <v>17</v>
      </c>
      <c r="D981" s="1">
        <v>45945</v>
      </c>
      <c r="E981" s="1">
        <v>45949</v>
      </c>
      <c r="F981" s="1">
        <v>45952</v>
      </c>
      <c r="G981" s="1">
        <v>45955</v>
      </c>
      <c r="H981" t="s">
        <v>18</v>
      </c>
      <c r="I981" t="s">
        <v>19</v>
      </c>
      <c r="J981" s="1">
        <v>45980</v>
      </c>
      <c r="K981">
        <v>4</v>
      </c>
      <c r="L981">
        <v>3</v>
      </c>
      <c r="M981">
        <v>3</v>
      </c>
      <c r="N981">
        <v>5</v>
      </c>
      <c r="O981">
        <v>10</v>
      </c>
      <c r="P981" t="b">
        <f>IF(EPe_BA_intern_assesment_Raw_data___Sheet13[[#This Row],[Customer Rating]]&gt;8,EPe_BA_intern_assesment_Raw_data___Sheet13[[#This Row],[Customer Rating]])</f>
        <v>0</v>
      </c>
      <c r="Q981" t="str">
        <f>IF(AND(EPe_BA_intern_assesment_Raw_data___Sheet13[[#This Row],[Customer Rating]]&gt;6,EPe_BA_intern_assesment_Raw_data___Sheet13[[#This Row],[Customer Rating]]&lt;9), EPe_BA_intern_assesment_Raw_data___Sheet13[[#This Row],[Customer Rating]], "")</f>
        <v/>
      </c>
      <c r="R981">
        <f>IF(EPe_BA_intern_assesment_Raw_data___Sheet13[[#This Row],[Customer Rating]]&lt;7,EPe_BA_intern_assesment_Raw_data___Sheet13[[#This Row],[Customer Rating]])</f>
        <v>5</v>
      </c>
    </row>
    <row r="982" spans="1:18" x14ac:dyDescent="0.3">
      <c r="A982" t="s">
        <v>1010</v>
      </c>
      <c r="B982" t="s">
        <v>23</v>
      </c>
      <c r="C982" t="s">
        <v>32</v>
      </c>
      <c r="D982" s="1">
        <v>45947</v>
      </c>
      <c r="E982" s="1">
        <v>45949</v>
      </c>
      <c r="F982" s="1">
        <v>45950</v>
      </c>
      <c r="G982" s="1">
        <v>45953</v>
      </c>
      <c r="H982" t="s">
        <v>18</v>
      </c>
      <c r="I982" t="s">
        <v>19</v>
      </c>
      <c r="J982" s="1">
        <v>45978</v>
      </c>
      <c r="K982">
        <v>2</v>
      </c>
      <c r="L982">
        <v>1</v>
      </c>
      <c r="M982">
        <v>3</v>
      </c>
      <c r="N982">
        <v>0</v>
      </c>
      <c r="O982">
        <v>6</v>
      </c>
      <c r="P982" t="b">
        <f>IF(EPe_BA_intern_assesment_Raw_data___Sheet13[[#This Row],[Customer Rating]]&gt;8,EPe_BA_intern_assesment_Raw_data___Sheet13[[#This Row],[Customer Rating]])</f>
        <v>0</v>
      </c>
      <c r="Q982" t="str">
        <f>IF(AND(EPe_BA_intern_assesment_Raw_data___Sheet13[[#This Row],[Customer Rating]]&gt;6,EPe_BA_intern_assesment_Raw_data___Sheet13[[#This Row],[Customer Rating]]&lt;9), EPe_BA_intern_assesment_Raw_data___Sheet13[[#This Row],[Customer Rating]], "")</f>
        <v/>
      </c>
      <c r="R982">
        <f>IF(EPe_BA_intern_assesment_Raw_data___Sheet13[[#This Row],[Customer Rating]]&lt;7,EPe_BA_intern_assesment_Raw_data___Sheet13[[#This Row],[Customer Rating]])</f>
        <v>0</v>
      </c>
    </row>
    <row r="983" spans="1:18" x14ac:dyDescent="0.3">
      <c r="A983" t="s">
        <v>1011</v>
      </c>
      <c r="B983" t="s">
        <v>23</v>
      </c>
      <c r="C983" t="s">
        <v>24</v>
      </c>
      <c r="D983" s="1">
        <v>45950</v>
      </c>
      <c r="E983" s="1"/>
      <c r="F983" s="1"/>
      <c r="G983" s="1"/>
      <c r="H983" t="s">
        <v>25</v>
      </c>
      <c r="I983" t="s">
        <v>26</v>
      </c>
      <c r="J983" s="1"/>
      <c r="P983" t="b">
        <f>IF(EPe_BA_intern_assesment_Raw_data___Sheet13[[#This Row],[Customer Rating]]&gt;8,EPe_BA_intern_assesment_Raw_data___Sheet13[[#This Row],[Customer Rating]])</f>
        <v>0</v>
      </c>
      <c r="Q983" t="str">
        <f>IF(AND(EPe_BA_intern_assesment_Raw_data___Sheet13[[#This Row],[Customer Rating]]&gt;6,EPe_BA_intern_assesment_Raw_data___Sheet13[[#This Row],[Customer Rating]]&lt;9), EPe_BA_intern_assesment_Raw_data___Sheet13[[#This Row],[Customer Rating]], "")</f>
        <v/>
      </c>
      <c r="R983">
        <f>IF(EPe_BA_intern_assesment_Raw_data___Sheet13[[#This Row],[Customer Rating]]&lt;7,EPe_BA_intern_assesment_Raw_data___Sheet13[[#This Row],[Customer Rating]])</f>
        <v>0</v>
      </c>
    </row>
    <row r="984" spans="1:18" x14ac:dyDescent="0.3">
      <c r="A984" t="s">
        <v>1012</v>
      </c>
      <c r="B984" t="s">
        <v>16</v>
      </c>
      <c r="C984" t="s">
        <v>24</v>
      </c>
      <c r="D984" s="1">
        <v>45944</v>
      </c>
      <c r="E984" s="1"/>
      <c r="F984" s="1"/>
      <c r="G984" s="1"/>
      <c r="H984" t="s">
        <v>25</v>
      </c>
      <c r="I984" t="s">
        <v>65</v>
      </c>
      <c r="J984" s="1"/>
      <c r="P984" t="b">
        <f>IF(EPe_BA_intern_assesment_Raw_data___Sheet13[[#This Row],[Customer Rating]]&gt;8,EPe_BA_intern_assesment_Raw_data___Sheet13[[#This Row],[Customer Rating]])</f>
        <v>0</v>
      </c>
      <c r="Q984" t="str">
        <f>IF(AND(EPe_BA_intern_assesment_Raw_data___Sheet13[[#This Row],[Customer Rating]]&gt;6,EPe_BA_intern_assesment_Raw_data___Sheet13[[#This Row],[Customer Rating]]&lt;9), EPe_BA_intern_assesment_Raw_data___Sheet13[[#This Row],[Customer Rating]], "")</f>
        <v/>
      </c>
      <c r="R984">
        <f>IF(EPe_BA_intern_assesment_Raw_data___Sheet13[[#This Row],[Customer Rating]]&lt;7,EPe_BA_intern_assesment_Raw_data___Sheet13[[#This Row],[Customer Rating]])</f>
        <v>0</v>
      </c>
    </row>
    <row r="985" spans="1:18" x14ac:dyDescent="0.3">
      <c r="A985" t="s">
        <v>1013</v>
      </c>
      <c r="B985" t="s">
        <v>16</v>
      </c>
      <c r="C985" t="s">
        <v>17</v>
      </c>
      <c r="D985" s="1">
        <v>45934</v>
      </c>
      <c r="E985" s="1">
        <v>45939</v>
      </c>
      <c r="F985" s="1">
        <v>45940</v>
      </c>
      <c r="G985" s="1">
        <v>45946</v>
      </c>
      <c r="H985" t="s">
        <v>18</v>
      </c>
      <c r="I985" t="s">
        <v>19</v>
      </c>
      <c r="J985" s="1">
        <v>45959</v>
      </c>
      <c r="K985">
        <v>5</v>
      </c>
      <c r="L985">
        <v>1</v>
      </c>
      <c r="M985">
        <v>6</v>
      </c>
      <c r="N985">
        <v>2</v>
      </c>
      <c r="O985">
        <v>12</v>
      </c>
      <c r="P985" t="b">
        <f>IF(EPe_BA_intern_assesment_Raw_data___Sheet13[[#This Row],[Customer Rating]]&gt;8,EPe_BA_intern_assesment_Raw_data___Sheet13[[#This Row],[Customer Rating]])</f>
        <v>0</v>
      </c>
      <c r="Q985" t="str">
        <f>IF(AND(EPe_BA_intern_assesment_Raw_data___Sheet13[[#This Row],[Customer Rating]]&gt;6,EPe_BA_intern_assesment_Raw_data___Sheet13[[#This Row],[Customer Rating]]&lt;9), EPe_BA_intern_assesment_Raw_data___Sheet13[[#This Row],[Customer Rating]], "")</f>
        <v/>
      </c>
      <c r="R985">
        <f>IF(EPe_BA_intern_assesment_Raw_data___Sheet13[[#This Row],[Customer Rating]]&lt;7,EPe_BA_intern_assesment_Raw_data___Sheet13[[#This Row],[Customer Rating]])</f>
        <v>2</v>
      </c>
    </row>
    <row r="986" spans="1:18" x14ac:dyDescent="0.3">
      <c r="A986" t="s">
        <v>1014</v>
      </c>
      <c r="B986" t="s">
        <v>16</v>
      </c>
      <c r="C986" t="s">
        <v>32</v>
      </c>
      <c r="D986" s="1">
        <v>45956</v>
      </c>
      <c r="E986" s="1">
        <v>45961</v>
      </c>
      <c r="F986" s="1">
        <v>45962</v>
      </c>
      <c r="G986" s="1">
        <v>45966</v>
      </c>
      <c r="H986" t="s">
        <v>18</v>
      </c>
      <c r="I986" t="s">
        <v>19</v>
      </c>
      <c r="J986" s="1">
        <v>45989</v>
      </c>
      <c r="K986">
        <v>5</v>
      </c>
      <c r="L986">
        <v>1</v>
      </c>
      <c r="M986">
        <v>4</v>
      </c>
      <c r="N986">
        <v>2</v>
      </c>
      <c r="O986">
        <v>10</v>
      </c>
      <c r="P986" t="b">
        <f>IF(EPe_BA_intern_assesment_Raw_data___Sheet13[[#This Row],[Customer Rating]]&gt;8,EPe_BA_intern_assesment_Raw_data___Sheet13[[#This Row],[Customer Rating]])</f>
        <v>0</v>
      </c>
      <c r="Q986" t="str">
        <f>IF(AND(EPe_BA_intern_assesment_Raw_data___Sheet13[[#This Row],[Customer Rating]]&gt;6,EPe_BA_intern_assesment_Raw_data___Sheet13[[#This Row],[Customer Rating]]&lt;9), EPe_BA_intern_assesment_Raw_data___Sheet13[[#This Row],[Customer Rating]], "")</f>
        <v/>
      </c>
      <c r="R986">
        <f>IF(EPe_BA_intern_assesment_Raw_data___Sheet13[[#This Row],[Customer Rating]]&lt;7,EPe_BA_intern_assesment_Raw_data___Sheet13[[#This Row],[Customer Rating]])</f>
        <v>2</v>
      </c>
    </row>
    <row r="987" spans="1:18" x14ac:dyDescent="0.3">
      <c r="A987" t="s">
        <v>1015</v>
      </c>
      <c r="B987" t="s">
        <v>21</v>
      </c>
      <c r="C987" t="s">
        <v>32</v>
      </c>
      <c r="D987" s="1">
        <v>45953</v>
      </c>
      <c r="E987" s="1">
        <v>45955</v>
      </c>
      <c r="F987" s="1">
        <v>45958</v>
      </c>
      <c r="G987" s="1">
        <v>45965</v>
      </c>
      <c r="H987" t="s">
        <v>18</v>
      </c>
      <c r="I987" t="s">
        <v>19</v>
      </c>
      <c r="J987" s="1">
        <v>45989</v>
      </c>
      <c r="K987">
        <v>2</v>
      </c>
      <c r="L987">
        <v>3</v>
      </c>
      <c r="M987">
        <v>7</v>
      </c>
      <c r="N987">
        <v>7</v>
      </c>
      <c r="O987">
        <v>12</v>
      </c>
      <c r="P987" t="b">
        <f>IF(EPe_BA_intern_assesment_Raw_data___Sheet13[[#This Row],[Customer Rating]]&gt;8,EPe_BA_intern_assesment_Raw_data___Sheet13[[#This Row],[Customer Rating]])</f>
        <v>0</v>
      </c>
      <c r="Q987">
        <f>IF(AND(EPe_BA_intern_assesment_Raw_data___Sheet13[[#This Row],[Customer Rating]]&gt;6,EPe_BA_intern_assesment_Raw_data___Sheet13[[#This Row],[Customer Rating]]&lt;9), EPe_BA_intern_assesment_Raw_data___Sheet13[[#This Row],[Customer Rating]], "")</f>
        <v>7</v>
      </c>
      <c r="R987" t="b">
        <f>IF(EPe_BA_intern_assesment_Raw_data___Sheet13[[#This Row],[Customer Rating]]&lt;7,EPe_BA_intern_assesment_Raw_data___Sheet13[[#This Row],[Customer Rating]])</f>
        <v>0</v>
      </c>
    </row>
    <row r="988" spans="1:18" x14ac:dyDescent="0.3">
      <c r="A988" t="s">
        <v>1016</v>
      </c>
      <c r="B988" t="s">
        <v>16</v>
      </c>
      <c r="C988" t="s">
        <v>32</v>
      </c>
      <c r="D988" s="1">
        <v>45934</v>
      </c>
      <c r="E988" s="1">
        <v>45937</v>
      </c>
      <c r="F988" s="1">
        <v>45938</v>
      </c>
      <c r="G988" s="1">
        <v>45945</v>
      </c>
      <c r="H988" t="s">
        <v>18</v>
      </c>
      <c r="I988" t="s">
        <v>19</v>
      </c>
      <c r="J988" s="1">
        <v>45956</v>
      </c>
      <c r="K988">
        <v>3</v>
      </c>
      <c r="L988">
        <v>1</v>
      </c>
      <c r="M988">
        <v>7</v>
      </c>
      <c r="N988">
        <v>8</v>
      </c>
      <c r="O988">
        <v>11</v>
      </c>
      <c r="P988" t="b">
        <f>IF(EPe_BA_intern_assesment_Raw_data___Sheet13[[#This Row],[Customer Rating]]&gt;8,EPe_BA_intern_assesment_Raw_data___Sheet13[[#This Row],[Customer Rating]])</f>
        <v>0</v>
      </c>
      <c r="Q988">
        <f>IF(AND(EPe_BA_intern_assesment_Raw_data___Sheet13[[#This Row],[Customer Rating]]&gt;6,EPe_BA_intern_assesment_Raw_data___Sheet13[[#This Row],[Customer Rating]]&lt;9), EPe_BA_intern_assesment_Raw_data___Sheet13[[#This Row],[Customer Rating]], "")</f>
        <v>8</v>
      </c>
      <c r="R988" t="b">
        <f>IF(EPe_BA_intern_assesment_Raw_data___Sheet13[[#This Row],[Customer Rating]]&lt;7,EPe_BA_intern_assesment_Raw_data___Sheet13[[#This Row],[Customer Rating]])</f>
        <v>0</v>
      </c>
    </row>
    <row r="989" spans="1:18" x14ac:dyDescent="0.3">
      <c r="A989" t="s">
        <v>1017</v>
      </c>
      <c r="B989" t="s">
        <v>23</v>
      </c>
      <c r="C989" t="s">
        <v>32</v>
      </c>
      <c r="D989" s="1">
        <v>45958</v>
      </c>
      <c r="E989" s="1">
        <v>45963</v>
      </c>
      <c r="F989" s="1">
        <v>45965</v>
      </c>
      <c r="G989" s="1">
        <v>45969</v>
      </c>
      <c r="H989" t="s">
        <v>18</v>
      </c>
      <c r="I989" t="s">
        <v>19</v>
      </c>
      <c r="J989" s="1">
        <v>45981</v>
      </c>
      <c r="K989">
        <v>5</v>
      </c>
      <c r="L989">
        <v>2</v>
      </c>
      <c r="M989">
        <v>4</v>
      </c>
      <c r="N989">
        <v>0</v>
      </c>
      <c r="O989">
        <v>11</v>
      </c>
      <c r="P989" t="b">
        <f>IF(EPe_BA_intern_assesment_Raw_data___Sheet13[[#This Row],[Customer Rating]]&gt;8,EPe_BA_intern_assesment_Raw_data___Sheet13[[#This Row],[Customer Rating]])</f>
        <v>0</v>
      </c>
      <c r="Q989" t="str">
        <f>IF(AND(EPe_BA_intern_assesment_Raw_data___Sheet13[[#This Row],[Customer Rating]]&gt;6,EPe_BA_intern_assesment_Raw_data___Sheet13[[#This Row],[Customer Rating]]&lt;9), EPe_BA_intern_assesment_Raw_data___Sheet13[[#This Row],[Customer Rating]], "")</f>
        <v/>
      </c>
      <c r="R989">
        <f>IF(EPe_BA_intern_assesment_Raw_data___Sheet13[[#This Row],[Customer Rating]]&lt;7,EPe_BA_intern_assesment_Raw_data___Sheet13[[#This Row],[Customer Rating]])</f>
        <v>0</v>
      </c>
    </row>
    <row r="990" spans="1:18" x14ac:dyDescent="0.3">
      <c r="A990" t="s">
        <v>1018</v>
      </c>
      <c r="B990" t="s">
        <v>16</v>
      </c>
      <c r="C990" t="s">
        <v>17</v>
      </c>
      <c r="D990" s="1">
        <v>45951</v>
      </c>
      <c r="E990" s="1">
        <v>45954</v>
      </c>
      <c r="F990" s="1">
        <v>45956</v>
      </c>
      <c r="G990" s="1">
        <v>45962</v>
      </c>
      <c r="H990" t="s">
        <v>18</v>
      </c>
      <c r="I990" t="s">
        <v>19</v>
      </c>
      <c r="J990" s="1">
        <v>45980</v>
      </c>
      <c r="K990">
        <v>3</v>
      </c>
      <c r="L990">
        <v>2</v>
      </c>
      <c r="M990">
        <v>6</v>
      </c>
      <c r="N990">
        <v>4</v>
      </c>
      <c r="O990">
        <v>11</v>
      </c>
      <c r="P990" t="b">
        <f>IF(EPe_BA_intern_assesment_Raw_data___Sheet13[[#This Row],[Customer Rating]]&gt;8,EPe_BA_intern_assesment_Raw_data___Sheet13[[#This Row],[Customer Rating]])</f>
        <v>0</v>
      </c>
      <c r="Q990" t="str">
        <f>IF(AND(EPe_BA_intern_assesment_Raw_data___Sheet13[[#This Row],[Customer Rating]]&gt;6,EPe_BA_intern_assesment_Raw_data___Sheet13[[#This Row],[Customer Rating]]&lt;9), EPe_BA_intern_assesment_Raw_data___Sheet13[[#This Row],[Customer Rating]], "")</f>
        <v/>
      </c>
      <c r="R990">
        <f>IF(EPe_BA_intern_assesment_Raw_data___Sheet13[[#This Row],[Customer Rating]]&lt;7,EPe_BA_intern_assesment_Raw_data___Sheet13[[#This Row],[Customer Rating]])</f>
        <v>4</v>
      </c>
    </row>
    <row r="991" spans="1:18" x14ac:dyDescent="0.3">
      <c r="A991" t="s">
        <v>1019</v>
      </c>
      <c r="B991" t="s">
        <v>23</v>
      </c>
      <c r="C991" t="s">
        <v>24</v>
      </c>
      <c r="D991" s="1">
        <v>45951</v>
      </c>
      <c r="E991" s="1"/>
      <c r="F991" s="1"/>
      <c r="G991" s="1"/>
      <c r="H991" t="s">
        <v>25</v>
      </c>
      <c r="I991" t="s">
        <v>28</v>
      </c>
      <c r="J991" s="1"/>
      <c r="P991" t="b">
        <f>IF(EPe_BA_intern_assesment_Raw_data___Sheet13[[#This Row],[Customer Rating]]&gt;8,EPe_BA_intern_assesment_Raw_data___Sheet13[[#This Row],[Customer Rating]])</f>
        <v>0</v>
      </c>
      <c r="Q991" t="str">
        <f>IF(AND(EPe_BA_intern_assesment_Raw_data___Sheet13[[#This Row],[Customer Rating]]&gt;6,EPe_BA_intern_assesment_Raw_data___Sheet13[[#This Row],[Customer Rating]]&lt;9), EPe_BA_intern_assesment_Raw_data___Sheet13[[#This Row],[Customer Rating]], "")</f>
        <v/>
      </c>
      <c r="R991">
        <f>IF(EPe_BA_intern_assesment_Raw_data___Sheet13[[#This Row],[Customer Rating]]&lt;7,EPe_BA_intern_assesment_Raw_data___Sheet13[[#This Row],[Customer Rating]])</f>
        <v>0</v>
      </c>
    </row>
    <row r="992" spans="1:18" x14ac:dyDescent="0.3">
      <c r="A992" t="s">
        <v>1020</v>
      </c>
      <c r="B992" t="s">
        <v>34</v>
      </c>
      <c r="C992" t="s">
        <v>17</v>
      </c>
      <c r="D992" s="1">
        <v>45959</v>
      </c>
      <c r="E992" s="1">
        <v>45961</v>
      </c>
      <c r="F992" s="1">
        <v>45966</v>
      </c>
      <c r="G992" s="1">
        <v>45968</v>
      </c>
      <c r="H992" t="s">
        <v>18</v>
      </c>
      <c r="I992" t="s">
        <v>19</v>
      </c>
      <c r="J992" s="1">
        <v>45998</v>
      </c>
      <c r="K992">
        <v>2</v>
      </c>
      <c r="L992">
        <v>5</v>
      </c>
      <c r="M992">
        <v>2</v>
      </c>
      <c r="N992">
        <v>6</v>
      </c>
      <c r="O992">
        <v>9</v>
      </c>
      <c r="P992" t="b">
        <f>IF(EPe_BA_intern_assesment_Raw_data___Sheet13[[#This Row],[Customer Rating]]&gt;8,EPe_BA_intern_assesment_Raw_data___Sheet13[[#This Row],[Customer Rating]])</f>
        <v>0</v>
      </c>
      <c r="Q992" t="str">
        <f>IF(AND(EPe_BA_intern_assesment_Raw_data___Sheet13[[#This Row],[Customer Rating]]&gt;6,EPe_BA_intern_assesment_Raw_data___Sheet13[[#This Row],[Customer Rating]]&lt;9), EPe_BA_intern_assesment_Raw_data___Sheet13[[#This Row],[Customer Rating]], "")</f>
        <v/>
      </c>
      <c r="R992">
        <f>IF(EPe_BA_intern_assesment_Raw_data___Sheet13[[#This Row],[Customer Rating]]&lt;7,EPe_BA_intern_assesment_Raw_data___Sheet13[[#This Row],[Customer Rating]])</f>
        <v>6</v>
      </c>
    </row>
    <row r="993" spans="1:18" x14ac:dyDescent="0.3">
      <c r="A993" t="s">
        <v>1021</v>
      </c>
      <c r="B993" t="s">
        <v>21</v>
      </c>
      <c r="C993" t="s">
        <v>32</v>
      </c>
      <c r="D993" s="1">
        <v>45955</v>
      </c>
      <c r="E993" s="1">
        <v>45959</v>
      </c>
      <c r="F993" s="1">
        <v>45961</v>
      </c>
      <c r="G993" s="1">
        <v>45968</v>
      </c>
      <c r="H993" t="s">
        <v>18</v>
      </c>
      <c r="I993" t="s">
        <v>19</v>
      </c>
      <c r="J993" s="1">
        <v>45988</v>
      </c>
      <c r="K993">
        <v>4</v>
      </c>
      <c r="L993">
        <v>2</v>
      </c>
      <c r="M993">
        <v>7</v>
      </c>
      <c r="N993">
        <v>3</v>
      </c>
      <c r="O993">
        <v>13</v>
      </c>
      <c r="P993" t="b">
        <f>IF(EPe_BA_intern_assesment_Raw_data___Sheet13[[#This Row],[Customer Rating]]&gt;8,EPe_BA_intern_assesment_Raw_data___Sheet13[[#This Row],[Customer Rating]])</f>
        <v>0</v>
      </c>
      <c r="Q993" t="str">
        <f>IF(AND(EPe_BA_intern_assesment_Raw_data___Sheet13[[#This Row],[Customer Rating]]&gt;6,EPe_BA_intern_assesment_Raw_data___Sheet13[[#This Row],[Customer Rating]]&lt;9), EPe_BA_intern_assesment_Raw_data___Sheet13[[#This Row],[Customer Rating]], "")</f>
        <v/>
      </c>
      <c r="R993">
        <f>IF(EPe_BA_intern_assesment_Raw_data___Sheet13[[#This Row],[Customer Rating]]&lt;7,EPe_BA_intern_assesment_Raw_data___Sheet13[[#This Row],[Customer Rating]])</f>
        <v>3</v>
      </c>
    </row>
    <row r="994" spans="1:18" x14ac:dyDescent="0.3">
      <c r="A994" t="s">
        <v>1022</v>
      </c>
      <c r="B994" t="s">
        <v>34</v>
      </c>
      <c r="C994" t="s">
        <v>32</v>
      </c>
      <c r="D994" s="1">
        <v>45948</v>
      </c>
      <c r="E994" s="1">
        <v>45953</v>
      </c>
      <c r="F994" s="1">
        <v>45958</v>
      </c>
      <c r="G994" s="1">
        <v>45965</v>
      </c>
      <c r="H994" t="s">
        <v>18</v>
      </c>
      <c r="I994" t="s">
        <v>19</v>
      </c>
      <c r="J994" s="1">
        <v>45975</v>
      </c>
      <c r="K994">
        <v>5</v>
      </c>
      <c r="L994">
        <v>5</v>
      </c>
      <c r="M994">
        <v>7</v>
      </c>
      <c r="N994">
        <v>5</v>
      </c>
      <c r="O994">
        <v>17</v>
      </c>
      <c r="P994" t="b">
        <f>IF(EPe_BA_intern_assesment_Raw_data___Sheet13[[#This Row],[Customer Rating]]&gt;8,EPe_BA_intern_assesment_Raw_data___Sheet13[[#This Row],[Customer Rating]])</f>
        <v>0</v>
      </c>
      <c r="Q994" t="str">
        <f>IF(AND(EPe_BA_intern_assesment_Raw_data___Sheet13[[#This Row],[Customer Rating]]&gt;6,EPe_BA_intern_assesment_Raw_data___Sheet13[[#This Row],[Customer Rating]]&lt;9), EPe_BA_intern_assesment_Raw_data___Sheet13[[#This Row],[Customer Rating]], "")</f>
        <v/>
      </c>
      <c r="R994">
        <f>IF(EPe_BA_intern_assesment_Raw_data___Sheet13[[#This Row],[Customer Rating]]&lt;7,EPe_BA_intern_assesment_Raw_data___Sheet13[[#This Row],[Customer Rating]])</f>
        <v>5</v>
      </c>
    </row>
    <row r="995" spans="1:18" x14ac:dyDescent="0.3">
      <c r="A995" t="s">
        <v>1023</v>
      </c>
      <c r="B995" t="s">
        <v>34</v>
      </c>
      <c r="C995" t="s">
        <v>32</v>
      </c>
      <c r="D995" s="1">
        <v>45954</v>
      </c>
      <c r="E995" s="1">
        <v>45957</v>
      </c>
      <c r="F995" s="1">
        <v>45959</v>
      </c>
      <c r="G995" s="1">
        <v>45963</v>
      </c>
      <c r="H995" t="s">
        <v>18</v>
      </c>
      <c r="I995" t="s">
        <v>19</v>
      </c>
      <c r="J995" s="1">
        <v>45989</v>
      </c>
      <c r="K995">
        <v>3</v>
      </c>
      <c r="L995">
        <v>2</v>
      </c>
      <c r="M995">
        <v>4</v>
      </c>
      <c r="N995">
        <v>7</v>
      </c>
      <c r="O995">
        <v>9</v>
      </c>
      <c r="P995" t="b">
        <f>IF(EPe_BA_intern_assesment_Raw_data___Sheet13[[#This Row],[Customer Rating]]&gt;8,EPe_BA_intern_assesment_Raw_data___Sheet13[[#This Row],[Customer Rating]])</f>
        <v>0</v>
      </c>
      <c r="Q995">
        <f>IF(AND(EPe_BA_intern_assesment_Raw_data___Sheet13[[#This Row],[Customer Rating]]&gt;6,EPe_BA_intern_assesment_Raw_data___Sheet13[[#This Row],[Customer Rating]]&lt;9), EPe_BA_intern_assesment_Raw_data___Sheet13[[#This Row],[Customer Rating]], "")</f>
        <v>7</v>
      </c>
      <c r="R995" t="b">
        <f>IF(EPe_BA_intern_assesment_Raw_data___Sheet13[[#This Row],[Customer Rating]]&lt;7,EPe_BA_intern_assesment_Raw_data___Sheet13[[#This Row],[Customer Rating]])</f>
        <v>0</v>
      </c>
    </row>
    <row r="996" spans="1:18" x14ac:dyDescent="0.3">
      <c r="A996" t="s">
        <v>1024</v>
      </c>
      <c r="B996" t="s">
        <v>23</v>
      </c>
      <c r="C996" t="s">
        <v>32</v>
      </c>
      <c r="D996" s="1">
        <v>45958</v>
      </c>
      <c r="E996" s="1">
        <v>45963</v>
      </c>
      <c r="F996" s="1">
        <v>45966</v>
      </c>
      <c r="G996" s="1">
        <v>45972</v>
      </c>
      <c r="H996" t="s">
        <v>18</v>
      </c>
      <c r="I996" t="s">
        <v>19</v>
      </c>
      <c r="J996" s="1">
        <v>46000</v>
      </c>
      <c r="K996">
        <v>5</v>
      </c>
      <c r="L996">
        <v>3</v>
      </c>
      <c r="M996">
        <v>6</v>
      </c>
      <c r="N996">
        <v>1</v>
      </c>
      <c r="O996">
        <v>14</v>
      </c>
      <c r="P996" t="b">
        <f>IF(EPe_BA_intern_assesment_Raw_data___Sheet13[[#This Row],[Customer Rating]]&gt;8,EPe_BA_intern_assesment_Raw_data___Sheet13[[#This Row],[Customer Rating]])</f>
        <v>0</v>
      </c>
      <c r="Q996" t="str">
        <f>IF(AND(EPe_BA_intern_assesment_Raw_data___Sheet13[[#This Row],[Customer Rating]]&gt;6,EPe_BA_intern_assesment_Raw_data___Sheet13[[#This Row],[Customer Rating]]&lt;9), EPe_BA_intern_assesment_Raw_data___Sheet13[[#This Row],[Customer Rating]], "")</f>
        <v/>
      </c>
      <c r="R996">
        <f>IF(EPe_BA_intern_assesment_Raw_data___Sheet13[[#This Row],[Customer Rating]]&lt;7,EPe_BA_intern_assesment_Raw_data___Sheet13[[#This Row],[Customer Rating]])</f>
        <v>1</v>
      </c>
    </row>
    <row r="997" spans="1:18" x14ac:dyDescent="0.3">
      <c r="A997" t="s">
        <v>1025</v>
      </c>
      <c r="B997" t="s">
        <v>34</v>
      </c>
      <c r="C997" t="s">
        <v>32</v>
      </c>
      <c r="D997" s="1">
        <v>45937</v>
      </c>
      <c r="E997" s="1">
        <v>45940</v>
      </c>
      <c r="F997" s="1">
        <v>45945</v>
      </c>
      <c r="G997" s="1">
        <v>45951</v>
      </c>
      <c r="H997" t="s">
        <v>18</v>
      </c>
      <c r="I997" t="s">
        <v>19</v>
      </c>
      <c r="J997" s="1">
        <v>45979</v>
      </c>
      <c r="K997">
        <v>3</v>
      </c>
      <c r="L997">
        <v>5</v>
      </c>
      <c r="M997">
        <v>6</v>
      </c>
      <c r="N997">
        <v>5</v>
      </c>
      <c r="O997">
        <v>14</v>
      </c>
      <c r="P997" t="b">
        <f>IF(EPe_BA_intern_assesment_Raw_data___Sheet13[[#This Row],[Customer Rating]]&gt;8,EPe_BA_intern_assesment_Raw_data___Sheet13[[#This Row],[Customer Rating]])</f>
        <v>0</v>
      </c>
      <c r="Q997" t="str">
        <f>IF(AND(EPe_BA_intern_assesment_Raw_data___Sheet13[[#This Row],[Customer Rating]]&gt;6,EPe_BA_intern_assesment_Raw_data___Sheet13[[#This Row],[Customer Rating]]&lt;9), EPe_BA_intern_assesment_Raw_data___Sheet13[[#This Row],[Customer Rating]], "")</f>
        <v/>
      </c>
      <c r="R997">
        <f>IF(EPe_BA_intern_assesment_Raw_data___Sheet13[[#This Row],[Customer Rating]]&lt;7,EPe_BA_intern_assesment_Raw_data___Sheet13[[#This Row],[Customer Rating]])</f>
        <v>5</v>
      </c>
    </row>
    <row r="998" spans="1:18" x14ac:dyDescent="0.3">
      <c r="A998" t="s">
        <v>1026</v>
      </c>
      <c r="B998" t="s">
        <v>23</v>
      </c>
      <c r="C998" t="s">
        <v>32</v>
      </c>
      <c r="D998" s="1">
        <v>45944</v>
      </c>
      <c r="E998" s="1">
        <v>45949</v>
      </c>
      <c r="F998" s="1">
        <v>45953</v>
      </c>
      <c r="G998" s="1">
        <v>45956</v>
      </c>
      <c r="H998" t="s">
        <v>18</v>
      </c>
      <c r="I998" t="s">
        <v>19</v>
      </c>
      <c r="J998" s="1">
        <v>45973</v>
      </c>
      <c r="K998">
        <v>5</v>
      </c>
      <c r="L998">
        <v>4</v>
      </c>
      <c r="M998">
        <v>3</v>
      </c>
      <c r="N998">
        <v>7</v>
      </c>
      <c r="O998">
        <v>12</v>
      </c>
      <c r="P998" t="b">
        <f>IF(EPe_BA_intern_assesment_Raw_data___Sheet13[[#This Row],[Customer Rating]]&gt;8,EPe_BA_intern_assesment_Raw_data___Sheet13[[#This Row],[Customer Rating]])</f>
        <v>0</v>
      </c>
      <c r="Q998">
        <f>IF(AND(EPe_BA_intern_assesment_Raw_data___Sheet13[[#This Row],[Customer Rating]]&gt;6,EPe_BA_intern_assesment_Raw_data___Sheet13[[#This Row],[Customer Rating]]&lt;9), EPe_BA_intern_assesment_Raw_data___Sheet13[[#This Row],[Customer Rating]], "")</f>
        <v>7</v>
      </c>
      <c r="R998" t="b">
        <f>IF(EPe_BA_intern_assesment_Raw_data___Sheet13[[#This Row],[Customer Rating]]&lt;7,EPe_BA_intern_assesment_Raw_data___Sheet13[[#This Row],[Customer Rating]])</f>
        <v>0</v>
      </c>
    </row>
    <row r="999" spans="1:18" x14ac:dyDescent="0.3">
      <c r="A999" t="s">
        <v>1027</v>
      </c>
      <c r="B999" t="s">
        <v>16</v>
      </c>
      <c r="C999" t="s">
        <v>17</v>
      </c>
      <c r="D999" s="1">
        <v>45945</v>
      </c>
      <c r="E999" s="1">
        <v>45950</v>
      </c>
      <c r="F999" s="1">
        <v>45954</v>
      </c>
      <c r="G999" s="1">
        <v>45960</v>
      </c>
      <c r="H999" t="s">
        <v>18</v>
      </c>
      <c r="I999" t="s">
        <v>19</v>
      </c>
      <c r="J999" s="1">
        <v>45980</v>
      </c>
      <c r="K999">
        <v>5</v>
      </c>
      <c r="L999">
        <v>4</v>
      </c>
      <c r="M999">
        <v>6</v>
      </c>
      <c r="N999">
        <v>3</v>
      </c>
      <c r="O999">
        <v>15</v>
      </c>
      <c r="P999" t="b">
        <f>IF(EPe_BA_intern_assesment_Raw_data___Sheet13[[#This Row],[Customer Rating]]&gt;8,EPe_BA_intern_assesment_Raw_data___Sheet13[[#This Row],[Customer Rating]])</f>
        <v>0</v>
      </c>
      <c r="Q999" t="str">
        <f>IF(AND(EPe_BA_intern_assesment_Raw_data___Sheet13[[#This Row],[Customer Rating]]&gt;6,EPe_BA_intern_assesment_Raw_data___Sheet13[[#This Row],[Customer Rating]]&lt;9), EPe_BA_intern_assesment_Raw_data___Sheet13[[#This Row],[Customer Rating]], "")</f>
        <v/>
      </c>
      <c r="R999">
        <f>IF(EPe_BA_intern_assesment_Raw_data___Sheet13[[#This Row],[Customer Rating]]&lt;7,EPe_BA_intern_assesment_Raw_data___Sheet13[[#This Row],[Customer Rating]])</f>
        <v>3</v>
      </c>
    </row>
    <row r="1000" spans="1:18" x14ac:dyDescent="0.3">
      <c r="A1000" t="s">
        <v>1028</v>
      </c>
      <c r="B1000" t="s">
        <v>16</v>
      </c>
      <c r="C1000" t="s">
        <v>24</v>
      </c>
      <c r="D1000" s="1">
        <v>45959</v>
      </c>
      <c r="E1000" s="1"/>
      <c r="F1000" s="1"/>
      <c r="G1000" s="1"/>
      <c r="H1000" t="s">
        <v>25</v>
      </c>
      <c r="I1000" t="s">
        <v>35</v>
      </c>
      <c r="J1000" s="1"/>
      <c r="P1000" t="b">
        <f>IF(EPe_BA_intern_assesment_Raw_data___Sheet13[[#This Row],[Customer Rating]]&gt;8,EPe_BA_intern_assesment_Raw_data___Sheet13[[#This Row],[Customer Rating]])</f>
        <v>0</v>
      </c>
      <c r="Q1000" t="str">
        <f>IF(AND(EPe_BA_intern_assesment_Raw_data___Sheet13[[#This Row],[Customer Rating]]&gt;6,EPe_BA_intern_assesment_Raw_data___Sheet13[[#This Row],[Customer Rating]]&lt;9), EPe_BA_intern_assesment_Raw_data___Sheet13[[#This Row],[Customer Rating]], "")</f>
        <v/>
      </c>
      <c r="R1000">
        <f>IF(EPe_BA_intern_assesment_Raw_data___Sheet13[[#This Row],[Customer Rating]]&lt;7,EPe_BA_intern_assesment_Raw_data___Sheet13[[#This Row],[Customer Rating]])</f>
        <v>0</v>
      </c>
    </row>
    <row r="1001" spans="1:18" x14ac:dyDescent="0.3">
      <c r="A1001" t="s">
        <v>1029</v>
      </c>
      <c r="B1001" t="s">
        <v>23</v>
      </c>
      <c r="C1001" t="s">
        <v>17</v>
      </c>
      <c r="D1001" s="1">
        <v>45938</v>
      </c>
      <c r="E1001" s="1">
        <v>45943</v>
      </c>
      <c r="F1001" s="1">
        <v>45945</v>
      </c>
      <c r="G1001" s="1">
        <v>45948</v>
      </c>
      <c r="H1001" t="s">
        <v>18</v>
      </c>
      <c r="I1001" t="s">
        <v>19</v>
      </c>
      <c r="J1001" s="1">
        <v>45974</v>
      </c>
      <c r="K1001">
        <v>5</v>
      </c>
      <c r="L1001">
        <v>2</v>
      </c>
      <c r="M1001">
        <v>3</v>
      </c>
      <c r="N1001">
        <v>4</v>
      </c>
      <c r="O1001">
        <v>10</v>
      </c>
      <c r="P1001" t="b">
        <f>IF(EPe_BA_intern_assesment_Raw_data___Sheet13[[#This Row],[Customer Rating]]&gt;8,EPe_BA_intern_assesment_Raw_data___Sheet13[[#This Row],[Customer Rating]])</f>
        <v>0</v>
      </c>
      <c r="Q1001" t="str">
        <f>IF(AND(EPe_BA_intern_assesment_Raw_data___Sheet13[[#This Row],[Customer Rating]]&gt;6,EPe_BA_intern_assesment_Raw_data___Sheet13[[#This Row],[Customer Rating]]&lt;9), EPe_BA_intern_assesment_Raw_data___Sheet13[[#This Row],[Customer Rating]], "")</f>
        <v/>
      </c>
      <c r="R1001">
        <f>IF(EPe_BA_intern_assesment_Raw_data___Sheet13[[#This Row],[Customer Rating]]&lt;7,EPe_BA_intern_assesment_Raw_data___Sheet13[[#This Row],[Customer Rating]])</f>
        <v>4</v>
      </c>
    </row>
    <row r="1002" spans="1:18" x14ac:dyDescent="0.3">
      <c r="A1002" t="s">
        <v>1039</v>
      </c>
      <c r="N1002">
        <f>SUBTOTAL(103,EPe_BA_intern_assesment_Raw_data___Sheet13[Customer Rating])</f>
        <v>729</v>
      </c>
      <c r="O1002">
        <f>SUBTOTAL(109,EPe_BA_intern_assesment_Raw_data___Sheet13[TAT Overall(days)])</f>
        <v>8594</v>
      </c>
      <c r="P1002">
        <f>SUBTOTAL(103,EPe_BA_intern_assesment_Raw_data___Sheet13[PROMOTORS])</f>
        <v>1000</v>
      </c>
      <c r="Q1002">
        <f>SUBTOTAL(103,EPe_BA_intern_assesment_Raw_data___Sheet13[Passives])</f>
        <v>1000</v>
      </c>
      <c r="R1002">
        <f>SUBTOTAL(103,EPe_BA_intern_assesment_Raw_data___Sheet13[Detracters])</f>
        <v>1000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AA51-B218-48C4-9D76-0755C205A2AA}">
  <dimension ref="A1:P1001"/>
  <sheetViews>
    <sheetView topLeftCell="I974" workbookViewId="0">
      <selection activeCell="P988" sqref="P988"/>
    </sheetView>
  </sheetViews>
  <sheetFormatPr defaultRowHeight="14.4" x14ac:dyDescent="0.3"/>
  <cols>
    <col min="1" max="1" width="9.44140625" bestFit="1" customWidth="1"/>
    <col min="2" max="2" width="13.6640625" bestFit="1" customWidth="1"/>
    <col min="3" max="3" width="11.77734375" bestFit="1" customWidth="1"/>
    <col min="4" max="4" width="11.5546875" bestFit="1" customWidth="1"/>
    <col min="5" max="5" width="18" bestFit="1" customWidth="1"/>
    <col min="6" max="6" width="14.44140625" bestFit="1" customWidth="1"/>
    <col min="7" max="7" width="14.33203125" bestFit="1" customWidth="1"/>
    <col min="8" max="8" width="19.44140625" bestFit="1" customWidth="1"/>
    <col min="9" max="9" width="20.33203125" bestFit="1" customWidth="1"/>
    <col min="10" max="10" width="22.5546875" bestFit="1" customWidth="1"/>
    <col min="11" max="11" width="23.21875" bestFit="1" customWidth="1"/>
    <col min="12" max="12" width="19.77734375" bestFit="1" customWidth="1"/>
    <col min="13" max="13" width="19.6640625" bestFit="1" customWidth="1"/>
    <col min="14" max="14" width="17.21875" bestFit="1" customWidth="1"/>
    <col min="15" max="15" width="18.109375" bestFit="1" customWidth="1"/>
    <col min="16" max="16" width="12.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1048</v>
      </c>
    </row>
    <row r="2" spans="1:16" x14ac:dyDescent="0.3">
      <c r="A2" t="s">
        <v>15</v>
      </c>
      <c r="B2" t="s">
        <v>16</v>
      </c>
      <c r="C2" t="s">
        <v>17</v>
      </c>
      <c r="D2" s="1">
        <v>45951</v>
      </c>
      <c r="E2" s="1">
        <v>45955</v>
      </c>
      <c r="F2" s="1">
        <v>45959</v>
      </c>
      <c r="G2" s="1">
        <v>45964</v>
      </c>
      <c r="H2" t="s">
        <v>18</v>
      </c>
      <c r="I2" t="s">
        <v>19</v>
      </c>
      <c r="J2" s="1">
        <v>45989</v>
      </c>
      <c r="K2">
        <v>4</v>
      </c>
      <c r="L2">
        <v>4</v>
      </c>
      <c r="M2">
        <v>5</v>
      </c>
      <c r="N2">
        <v>2</v>
      </c>
      <c r="O2">
        <v>13</v>
      </c>
      <c r="P2" t="s">
        <v>1049</v>
      </c>
    </row>
    <row r="3" spans="1:16" x14ac:dyDescent="0.3">
      <c r="A3" t="s">
        <v>20</v>
      </c>
      <c r="B3" t="s">
        <v>21</v>
      </c>
      <c r="C3" t="s">
        <v>17</v>
      </c>
      <c r="D3" s="1">
        <v>45941</v>
      </c>
      <c r="E3" s="1">
        <v>45944</v>
      </c>
      <c r="F3" s="1">
        <v>45949</v>
      </c>
      <c r="G3" s="1">
        <v>45956</v>
      </c>
      <c r="H3" t="s">
        <v>18</v>
      </c>
      <c r="I3" t="s">
        <v>19</v>
      </c>
      <c r="J3" s="1">
        <v>45983</v>
      </c>
      <c r="K3">
        <v>3</v>
      </c>
      <c r="L3">
        <v>5</v>
      </c>
      <c r="M3">
        <v>7</v>
      </c>
      <c r="N3">
        <v>8</v>
      </c>
      <c r="O3">
        <v>15</v>
      </c>
      <c r="P3" t="s">
        <v>1041</v>
      </c>
    </row>
    <row r="4" spans="1:16" x14ac:dyDescent="0.3">
      <c r="A4" t="s">
        <v>22</v>
      </c>
      <c r="B4" t="s">
        <v>23</v>
      </c>
      <c r="C4" t="s">
        <v>24</v>
      </c>
      <c r="D4" s="1">
        <v>45931</v>
      </c>
      <c r="E4" s="1"/>
      <c r="F4" s="1"/>
      <c r="G4" s="1"/>
      <c r="H4" t="s">
        <v>25</v>
      </c>
      <c r="I4" t="s">
        <v>26</v>
      </c>
      <c r="J4" s="1"/>
    </row>
    <row r="5" spans="1:16" x14ac:dyDescent="0.3">
      <c r="A5" t="s">
        <v>27</v>
      </c>
      <c r="B5" t="s">
        <v>16</v>
      </c>
      <c r="C5" t="s">
        <v>24</v>
      </c>
      <c r="D5" s="1">
        <v>45958</v>
      </c>
      <c r="E5" s="1"/>
      <c r="F5" s="1"/>
      <c r="G5" s="1"/>
      <c r="H5" t="s">
        <v>25</v>
      </c>
      <c r="I5" t="s">
        <v>28</v>
      </c>
      <c r="J5" s="1"/>
    </row>
    <row r="6" spans="1:16" x14ac:dyDescent="0.3">
      <c r="A6" t="s">
        <v>29</v>
      </c>
      <c r="B6" t="s">
        <v>21</v>
      </c>
      <c r="C6" t="s">
        <v>17</v>
      </c>
      <c r="D6" s="1">
        <v>45944</v>
      </c>
      <c r="E6" s="1">
        <v>45948</v>
      </c>
      <c r="F6" s="1">
        <v>45951</v>
      </c>
      <c r="G6" s="1">
        <v>45954</v>
      </c>
      <c r="H6" t="s">
        <v>18</v>
      </c>
      <c r="I6" t="s">
        <v>19</v>
      </c>
      <c r="J6" s="1">
        <v>45973</v>
      </c>
      <c r="K6">
        <v>4</v>
      </c>
      <c r="L6">
        <v>3</v>
      </c>
      <c r="M6">
        <v>3</v>
      </c>
      <c r="N6">
        <v>8</v>
      </c>
      <c r="O6">
        <v>10</v>
      </c>
      <c r="P6" t="s">
        <v>1041</v>
      </c>
    </row>
    <row r="7" spans="1:16" x14ac:dyDescent="0.3">
      <c r="A7" t="s">
        <v>30</v>
      </c>
      <c r="B7" t="s">
        <v>21</v>
      </c>
      <c r="C7" t="s">
        <v>17</v>
      </c>
      <c r="D7" s="1">
        <v>45957</v>
      </c>
      <c r="E7" s="1">
        <v>45961</v>
      </c>
      <c r="F7" s="1">
        <v>45965</v>
      </c>
      <c r="G7" s="1">
        <v>45968</v>
      </c>
      <c r="H7" t="s">
        <v>18</v>
      </c>
      <c r="I7" t="s">
        <v>19</v>
      </c>
      <c r="J7" s="1">
        <v>45983</v>
      </c>
      <c r="K7">
        <v>4</v>
      </c>
      <c r="L7">
        <v>4</v>
      </c>
      <c r="M7">
        <v>3</v>
      </c>
      <c r="N7">
        <v>9</v>
      </c>
      <c r="O7">
        <v>11</v>
      </c>
      <c r="P7" t="s">
        <v>1050</v>
      </c>
    </row>
    <row r="8" spans="1:16" x14ac:dyDescent="0.3">
      <c r="A8" t="s">
        <v>31</v>
      </c>
      <c r="B8" t="s">
        <v>23</v>
      </c>
      <c r="C8" t="s">
        <v>32</v>
      </c>
      <c r="D8" s="1">
        <v>45946</v>
      </c>
      <c r="E8" s="1">
        <v>45950</v>
      </c>
      <c r="F8" s="1">
        <v>45951</v>
      </c>
      <c r="G8" s="1">
        <v>45958</v>
      </c>
      <c r="H8" t="s">
        <v>18</v>
      </c>
      <c r="I8" t="s">
        <v>19</v>
      </c>
      <c r="J8" s="1">
        <v>45983</v>
      </c>
      <c r="K8">
        <v>4</v>
      </c>
      <c r="L8">
        <v>1</v>
      </c>
      <c r="M8">
        <v>7</v>
      </c>
      <c r="N8">
        <v>10</v>
      </c>
      <c r="O8">
        <v>12</v>
      </c>
      <c r="P8" t="s">
        <v>1050</v>
      </c>
    </row>
    <row r="9" spans="1:16" x14ac:dyDescent="0.3">
      <c r="A9" t="s">
        <v>33</v>
      </c>
      <c r="B9" t="s">
        <v>34</v>
      </c>
      <c r="C9" t="s">
        <v>17</v>
      </c>
      <c r="D9" s="1">
        <v>45934</v>
      </c>
      <c r="E9" s="1">
        <v>45935</v>
      </c>
      <c r="F9" s="1">
        <v>45938</v>
      </c>
      <c r="G9" s="1">
        <v>45945</v>
      </c>
      <c r="H9" t="s">
        <v>25</v>
      </c>
      <c r="I9" t="s">
        <v>35</v>
      </c>
      <c r="J9" s="1"/>
      <c r="K9">
        <v>1</v>
      </c>
      <c r="L9">
        <v>3</v>
      </c>
      <c r="M9">
        <v>7</v>
      </c>
      <c r="O9">
        <v>11</v>
      </c>
    </row>
    <row r="10" spans="1:16" x14ac:dyDescent="0.3">
      <c r="A10" t="s">
        <v>36</v>
      </c>
      <c r="B10" t="s">
        <v>16</v>
      </c>
      <c r="C10" t="s">
        <v>32</v>
      </c>
      <c r="D10" s="1">
        <v>45944</v>
      </c>
      <c r="E10" s="1">
        <v>45947</v>
      </c>
      <c r="F10" s="1">
        <v>45950</v>
      </c>
      <c r="G10" s="1">
        <v>45955</v>
      </c>
      <c r="H10" t="s">
        <v>18</v>
      </c>
      <c r="I10" t="s">
        <v>19</v>
      </c>
      <c r="J10" s="1">
        <v>45966</v>
      </c>
      <c r="K10">
        <v>3</v>
      </c>
      <c r="L10">
        <v>3</v>
      </c>
      <c r="M10">
        <v>5</v>
      </c>
      <c r="N10">
        <v>8</v>
      </c>
      <c r="O10">
        <v>11</v>
      </c>
      <c r="P10" t="s">
        <v>1041</v>
      </c>
    </row>
    <row r="11" spans="1:16" x14ac:dyDescent="0.3">
      <c r="A11" t="s">
        <v>37</v>
      </c>
      <c r="B11" t="s">
        <v>23</v>
      </c>
      <c r="C11" t="s">
        <v>17</v>
      </c>
      <c r="D11" s="1">
        <v>45961</v>
      </c>
      <c r="E11" s="1">
        <v>45965</v>
      </c>
      <c r="F11" s="1">
        <v>45966</v>
      </c>
      <c r="G11" s="1">
        <v>45971</v>
      </c>
      <c r="H11" t="s">
        <v>18</v>
      </c>
      <c r="I11" t="s">
        <v>19</v>
      </c>
      <c r="J11" s="1">
        <v>45983</v>
      </c>
      <c r="K11">
        <v>4</v>
      </c>
      <c r="L11">
        <v>1</v>
      </c>
      <c r="M11">
        <v>5</v>
      </c>
      <c r="N11">
        <v>6</v>
      </c>
      <c r="O11">
        <v>10</v>
      </c>
      <c r="P11" t="s">
        <v>1049</v>
      </c>
    </row>
    <row r="12" spans="1:16" x14ac:dyDescent="0.3">
      <c r="A12" t="s">
        <v>38</v>
      </c>
      <c r="B12" t="s">
        <v>16</v>
      </c>
      <c r="C12" t="s">
        <v>24</v>
      </c>
      <c r="D12" s="1">
        <v>45942</v>
      </c>
      <c r="E12" s="1"/>
      <c r="F12" s="1"/>
      <c r="G12" s="1"/>
      <c r="H12" t="s">
        <v>25</v>
      </c>
      <c r="I12" t="s">
        <v>26</v>
      </c>
      <c r="J12" s="1"/>
    </row>
    <row r="13" spans="1:16" x14ac:dyDescent="0.3">
      <c r="A13" t="s">
        <v>39</v>
      </c>
      <c r="B13" t="s">
        <v>21</v>
      </c>
      <c r="C13" t="s">
        <v>17</v>
      </c>
      <c r="D13" s="1">
        <v>45951</v>
      </c>
      <c r="E13" s="1">
        <v>45954</v>
      </c>
      <c r="F13" s="1">
        <v>45958</v>
      </c>
      <c r="G13" s="1">
        <v>45960</v>
      </c>
      <c r="H13" t="s">
        <v>18</v>
      </c>
      <c r="I13" t="s">
        <v>19</v>
      </c>
      <c r="J13" s="1">
        <v>45971</v>
      </c>
      <c r="K13">
        <v>3</v>
      </c>
      <c r="L13">
        <v>4</v>
      </c>
      <c r="M13">
        <v>2</v>
      </c>
      <c r="N13">
        <v>0</v>
      </c>
      <c r="O13">
        <v>9</v>
      </c>
      <c r="P13" t="s">
        <v>1049</v>
      </c>
    </row>
    <row r="14" spans="1:16" x14ac:dyDescent="0.3">
      <c r="A14" t="s">
        <v>40</v>
      </c>
      <c r="B14" t="s">
        <v>21</v>
      </c>
      <c r="C14" t="s">
        <v>17</v>
      </c>
      <c r="D14" s="1">
        <v>45959</v>
      </c>
      <c r="E14" s="1">
        <v>45962</v>
      </c>
      <c r="F14" s="1">
        <v>45967</v>
      </c>
      <c r="G14" s="1">
        <v>45974</v>
      </c>
      <c r="H14" t="s">
        <v>18</v>
      </c>
      <c r="I14" t="s">
        <v>19</v>
      </c>
      <c r="J14" s="1">
        <v>45991</v>
      </c>
      <c r="K14">
        <v>3</v>
      </c>
      <c r="L14">
        <v>5</v>
      </c>
      <c r="M14">
        <v>7</v>
      </c>
      <c r="N14">
        <v>10</v>
      </c>
      <c r="O14">
        <v>15</v>
      </c>
      <c r="P14" t="s">
        <v>1050</v>
      </c>
    </row>
    <row r="15" spans="1:16" x14ac:dyDescent="0.3">
      <c r="A15" t="s">
        <v>41</v>
      </c>
      <c r="B15" t="s">
        <v>34</v>
      </c>
      <c r="C15" t="s">
        <v>17</v>
      </c>
      <c r="D15" s="1">
        <v>45957</v>
      </c>
      <c r="E15" s="1">
        <v>45960</v>
      </c>
      <c r="F15" s="1">
        <v>45963</v>
      </c>
      <c r="G15" s="1">
        <v>45969</v>
      </c>
      <c r="H15" t="s">
        <v>18</v>
      </c>
      <c r="I15" t="s">
        <v>19</v>
      </c>
      <c r="J15" s="1">
        <v>45998</v>
      </c>
      <c r="K15">
        <v>3</v>
      </c>
      <c r="L15">
        <v>3</v>
      </c>
      <c r="M15">
        <v>6</v>
      </c>
      <c r="N15">
        <v>2</v>
      </c>
      <c r="O15">
        <v>12</v>
      </c>
      <c r="P15" t="s">
        <v>1049</v>
      </c>
    </row>
    <row r="16" spans="1:16" x14ac:dyDescent="0.3">
      <c r="A16" t="s">
        <v>42</v>
      </c>
      <c r="B16" t="s">
        <v>21</v>
      </c>
      <c r="C16" t="s">
        <v>32</v>
      </c>
      <c r="D16" s="1">
        <v>45945</v>
      </c>
      <c r="E16" s="1">
        <v>45947</v>
      </c>
      <c r="F16" s="1">
        <v>45948</v>
      </c>
      <c r="G16" s="1">
        <v>45951</v>
      </c>
      <c r="H16" t="s">
        <v>25</v>
      </c>
      <c r="I16" t="s">
        <v>35</v>
      </c>
      <c r="J16" s="1"/>
      <c r="K16">
        <v>2</v>
      </c>
      <c r="L16">
        <v>1</v>
      </c>
      <c r="M16">
        <v>3</v>
      </c>
      <c r="O16">
        <v>6</v>
      </c>
    </row>
    <row r="17" spans="1:16" x14ac:dyDescent="0.3">
      <c r="A17" t="s">
        <v>43</v>
      </c>
      <c r="B17" t="s">
        <v>21</v>
      </c>
      <c r="C17" t="s">
        <v>17</v>
      </c>
      <c r="D17" s="1">
        <v>45953</v>
      </c>
      <c r="E17" s="1">
        <v>45957</v>
      </c>
      <c r="F17" s="1">
        <v>45962</v>
      </c>
      <c r="G17" s="1">
        <v>45967</v>
      </c>
      <c r="H17" t="s">
        <v>18</v>
      </c>
      <c r="I17" t="s">
        <v>19</v>
      </c>
      <c r="J17" s="1">
        <v>45984</v>
      </c>
      <c r="K17">
        <v>4</v>
      </c>
      <c r="L17">
        <v>5</v>
      </c>
      <c r="M17">
        <v>5</v>
      </c>
      <c r="N17">
        <v>8</v>
      </c>
      <c r="O17">
        <v>14</v>
      </c>
      <c r="P17" t="s">
        <v>1041</v>
      </c>
    </row>
    <row r="18" spans="1:16" x14ac:dyDescent="0.3">
      <c r="A18" t="s">
        <v>44</v>
      </c>
      <c r="B18" t="s">
        <v>23</v>
      </c>
      <c r="C18" t="s">
        <v>32</v>
      </c>
      <c r="D18" s="1">
        <v>45935</v>
      </c>
      <c r="E18" s="1">
        <v>45936</v>
      </c>
      <c r="F18" s="1">
        <v>45940</v>
      </c>
      <c r="G18" s="1">
        <v>45946</v>
      </c>
      <c r="H18" t="s">
        <v>18</v>
      </c>
      <c r="I18" t="s">
        <v>19</v>
      </c>
      <c r="J18" s="1">
        <v>45956</v>
      </c>
      <c r="K18">
        <v>1</v>
      </c>
      <c r="L18">
        <v>4</v>
      </c>
      <c r="M18">
        <v>6</v>
      </c>
      <c r="N18">
        <v>2</v>
      </c>
      <c r="O18">
        <v>11</v>
      </c>
      <c r="P18" t="s">
        <v>1049</v>
      </c>
    </row>
    <row r="19" spans="1:16" x14ac:dyDescent="0.3">
      <c r="A19" t="s">
        <v>45</v>
      </c>
      <c r="B19" t="s">
        <v>16</v>
      </c>
      <c r="C19" t="s">
        <v>32</v>
      </c>
      <c r="D19" s="1">
        <v>45944</v>
      </c>
      <c r="E19" s="1">
        <v>45945</v>
      </c>
      <c r="F19" s="1">
        <v>45948</v>
      </c>
      <c r="G19" s="1">
        <v>45953</v>
      </c>
      <c r="H19" t="s">
        <v>18</v>
      </c>
      <c r="I19" t="s">
        <v>19</v>
      </c>
      <c r="J19" s="1">
        <v>45979</v>
      </c>
      <c r="K19">
        <v>1</v>
      </c>
      <c r="L19">
        <v>3</v>
      </c>
      <c r="M19">
        <v>5</v>
      </c>
      <c r="N19">
        <v>0</v>
      </c>
      <c r="O19">
        <v>9</v>
      </c>
      <c r="P19" t="s">
        <v>1049</v>
      </c>
    </row>
    <row r="20" spans="1:16" x14ac:dyDescent="0.3">
      <c r="A20" t="s">
        <v>46</v>
      </c>
      <c r="B20" t="s">
        <v>16</v>
      </c>
      <c r="C20" t="s">
        <v>17</v>
      </c>
      <c r="D20" s="1">
        <v>45936</v>
      </c>
      <c r="E20" s="1">
        <v>45937</v>
      </c>
      <c r="F20" s="1">
        <v>45942</v>
      </c>
      <c r="G20" s="1">
        <v>45947</v>
      </c>
      <c r="H20" t="s">
        <v>18</v>
      </c>
      <c r="I20" t="s">
        <v>19</v>
      </c>
      <c r="J20" s="1">
        <v>45972</v>
      </c>
      <c r="K20">
        <v>1</v>
      </c>
      <c r="L20">
        <v>5</v>
      </c>
      <c r="M20">
        <v>5</v>
      </c>
      <c r="N20">
        <v>5</v>
      </c>
      <c r="O20">
        <v>11</v>
      </c>
      <c r="P20" t="s">
        <v>1049</v>
      </c>
    </row>
    <row r="21" spans="1:16" x14ac:dyDescent="0.3">
      <c r="A21" t="s">
        <v>47</v>
      </c>
      <c r="B21" t="s">
        <v>23</v>
      </c>
      <c r="C21" t="s">
        <v>17</v>
      </c>
      <c r="D21" s="1">
        <v>45954</v>
      </c>
      <c r="E21" s="1">
        <v>45955</v>
      </c>
      <c r="F21" s="1">
        <v>45960</v>
      </c>
      <c r="G21" s="1">
        <v>45962</v>
      </c>
      <c r="H21" t="s">
        <v>18</v>
      </c>
      <c r="I21" t="s">
        <v>19</v>
      </c>
      <c r="J21" s="1">
        <v>45972</v>
      </c>
      <c r="K21">
        <v>1</v>
      </c>
      <c r="L21">
        <v>5</v>
      </c>
      <c r="M21">
        <v>2</v>
      </c>
      <c r="N21">
        <v>4</v>
      </c>
      <c r="O21">
        <v>8</v>
      </c>
      <c r="P21" t="s">
        <v>1049</v>
      </c>
    </row>
    <row r="22" spans="1:16" x14ac:dyDescent="0.3">
      <c r="A22" t="s">
        <v>48</v>
      </c>
      <c r="B22" t="s">
        <v>34</v>
      </c>
      <c r="C22" t="s">
        <v>17</v>
      </c>
      <c r="D22" s="1">
        <v>45947</v>
      </c>
      <c r="E22" s="1">
        <v>45951</v>
      </c>
      <c r="F22" s="1">
        <v>45953</v>
      </c>
      <c r="G22" s="1">
        <v>45960</v>
      </c>
      <c r="H22" t="s">
        <v>18</v>
      </c>
      <c r="I22" t="s">
        <v>19</v>
      </c>
      <c r="J22" s="1">
        <v>45980</v>
      </c>
      <c r="K22">
        <v>4</v>
      </c>
      <c r="L22">
        <v>2</v>
      </c>
      <c r="M22">
        <v>7</v>
      </c>
      <c r="N22">
        <v>6</v>
      </c>
      <c r="O22">
        <v>13</v>
      </c>
      <c r="P22" t="s">
        <v>1049</v>
      </c>
    </row>
    <row r="23" spans="1:16" x14ac:dyDescent="0.3">
      <c r="A23" t="s">
        <v>49</v>
      </c>
      <c r="B23" t="s">
        <v>16</v>
      </c>
      <c r="C23" t="s">
        <v>32</v>
      </c>
      <c r="D23" s="1">
        <v>45961</v>
      </c>
      <c r="E23" s="1">
        <v>45962</v>
      </c>
      <c r="F23" s="1">
        <v>45963</v>
      </c>
      <c r="G23" s="1">
        <v>45966</v>
      </c>
      <c r="H23" t="s">
        <v>18</v>
      </c>
      <c r="I23" t="s">
        <v>19</v>
      </c>
      <c r="J23" s="1">
        <v>45995</v>
      </c>
      <c r="K23">
        <v>1</v>
      </c>
      <c r="L23">
        <v>1</v>
      </c>
      <c r="M23">
        <v>3</v>
      </c>
      <c r="N23">
        <v>3</v>
      </c>
      <c r="O23">
        <v>5</v>
      </c>
      <c r="P23" t="s">
        <v>1049</v>
      </c>
    </row>
    <row r="24" spans="1:16" x14ac:dyDescent="0.3">
      <c r="A24" t="s">
        <v>50</v>
      </c>
      <c r="B24" t="s">
        <v>21</v>
      </c>
      <c r="C24" t="s">
        <v>17</v>
      </c>
      <c r="D24" s="1">
        <v>45951</v>
      </c>
      <c r="E24" s="1">
        <v>45954</v>
      </c>
      <c r="F24" s="1">
        <v>45959</v>
      </c>
      <c r="G24" s="1">
        <v>45962</v>
      </c>
      <c r="H24" t="s">
        <v>18</v>
      </c>
      <c r="I24" t="s">
        <v>19</v>
      </c>
      <c r="J24" s="1">
        <v>45978</v>
      </c>
      <c r="K24">
        <v>3</v>
      </c>
      <c r="L24">
        <v>5</v>
      </c>
      <c r="M24">
        <v>3</v>
      </c>
      <c r="N24">
        <v>8</v>
      </c>
      <c r="O24">
        <v>11</v>
      </c>
      <c r="P24" t="s">
        <v>1041</v>
      </c>
    </row>
    <row r="25" spans="1:16" x14ac:dyDescent="0.3">
      <c r="A25" t="s">
        <v>51</v>
      </c>
      <c r="B25" t="s">
        <v>16</v>
      </c>
      <c r="C25" t="s">
        <v>17</v>
      </c>
      <c r="D25" s="1">
        <v>45939</v>
      </c>
      <c r="E25" s="1">
        <v>45941</v>
      </c>
      <c r="F25" s="1">
        <v>45945</v>
      </c>
      <c r="G25" s="1">
        <v>45949</v>
      </c>
      <c r="H25" t="s">
        <v>18</v>
      </c>
      <c r="I25" t="s">
        <v>19</v>
      </c>
      <c r="J25" s="1">
        <v>45963</v>
      </c>
      <c r="K25">
        <v>2</v>
      </c>
      <c r="L25">
        <v>4</v>
      </c>
      <c r="M25">
        <v>4</v>
      </c>
      <c r="N25">
        <v>3</v>
      </c>
      <c r="O25">
        <v>10</v>
      </c>
      <c r="P25" t="s">
        <v>1049</v>
      </c>
    </row>
    <row r="26" spans="1:16" x14ac:dyDescent="0.3">
      <c r="A26" t="s">
        <v>52</v>
      </c>
      <c r="B26" t="s">
        <v>21</v>
      </c>
      <c r="C26" t="s">
        <v>17</v>
      </c>
      <c r="D26" s="1">
        <v>45950</v>
      </c>
      <c r="E26" s="1">
        <v>45955</v>
      </c>
      <c r="F26" s="1">
        <v>45957</v>
      </c>
      <c r="G26" s="1">
        <v>45964</v>
      </c>
      <c r="H26" t="s">
        <v>18</v>
      </c>
      <c r="I26" t="s">
        <v>19</v>
      </c>
      <c r="J26" s="1">
        <v>45984</v>
      </c>
      <c r="K26">
        <v>5</v>
      </c>
      <c r="L26">
        <v>2</v>
      </c>
      <c r="M26">
        <v>7</v>
      </c>
      <c r="N26">
        <v>1</v>
      </c>
      <c r="O26">
        <v>14</v>
      </c>
      <c r="P26" t="s">
        <v>1049</v>
      </c>
    </row>
    <row r="27" spans="1:16" x14ac:dyDescent="0.3">
      <c r="A27" t="s">
        <v>53</v>
      </c>
      <c r="B27" t="s">
        <v>34</v>
      </c>
      <c r="C27" t="s">
        <v>17</v>
      </c>
      <c r="D27" s="1">
        <v>45956</v>
      </c>
      <c r="E27" s="1">
        <v>45957</v>
      </c>
      <c r="F27" s="1">
        <v>45962</v>
      </c>
      <c r="G27" s="1">
        <v>45964</v>
      </c>
      <c r="H27" t="s">
        <v>18</v>
      </c>
      <c r="I27" t="s">
        <v>19</v>
      </c>
      <c r="J27" s="1">
        <v>45979</v>
      </c>
      <c r="K27">
        <v>1</v>
      </c>
      <c r="L27">
        <v>5</v>
      </c>
      <c r="M27">
        <v>2</v>
      </c>
      <c r="N27">
        <v>4</v>
      </c>
      <c r="O27">
        <v>8</v>
      </c>
      <c r="P27" t="s">
        <v>1049</v>
      </c>
    </row>
    <row r="28" spans="1:16" x14ac:dyDescent="0.3">
      <c r="A28" t="s">
        <v>54</v>
      </c>
      <c r="B28" t="s">
        <v>23</v>
      </c>
      <c r="C28" t="s">
        <v>17</v>
      </c>
      <c r="D28" s="1">
        <v>45960</v>
      </c>
      <c r="E28" s="1">
        <v>45965</v>
      </c>
      <c r="F28" s="1">
        <v>45970</v>
      </c>
      <c r="G28" s="1">
        <v>45976</v>
      </c>
      <c r="H28" t="s">
        <v>18</v>
      </c>
      <c r="I28" t="s">
        <v>19</v>
      </c>
      <c r="J28" s="1">
        <v>45996</v>
      </c>
      <c r="K28">
        <v>5</v>
      </c>
      <c r="L28">
        <v>5</v>
      </c>
      <c r="M28">
        <v>6</v>
      </c>
      <c r="N28">
        <v>1</v>
      </c>
      <c r="O28">
        <v>16</v>
      </c>
      <c r="P28" t="s">
        <v>1049</v>
      </c>
    </row>
    <row r="29" spans="1:16" x14ac:dyDescent="0.3">
      <c r="A29" t="s">
        <v>55</v>
      </c>
      <c r="B29" t="s">
        <v>16</v>
      </c>
      <c r="C29" t="s">
        <v>17</v>
      </c>
      <c r="D29" s="1">
        <v>45948</v>
      </c>
      <c r="E29" s="1">
        <v>45953</v>
      </c>
      <c r="F29" s="1">
        <v>45957</v>
      </c>
      <c r="G29" s="1">
        <v>45959</v>
      </c>
      <c r="H29" t="s">
        <v>18</v>
      </c>
      <c r="I29" t="s">
        <v>19</v>
      </c>
      <c r="J29" s="1">
        <v>45970</v>
      </c>
      <c r="K29">
        <v>5</v>
      </c>
      <c r="L29">
        <v>4</v>
      </c>
      <c r="M29">
        <v>2</v>
      </c>
      <c r="N29">
        <v>3</v>
      </c>
      <c r="O29">
        <v>11</v>
      </c>
      <c r="P29" t="s">
        <v>1049</v>
      </c>
    </row>
    <row r="30" spans="1:16" x14ac:dyDescent="0.3">
      <c r="A30" t="s">
        <v>56</v>
      </c>
      <c r="B30" t="s">
        <v>23</v>
      </c>
      <c r="C30" t="s">
        <v>17</v>
      </c>
      <c r="D30" s="1">
        <v>45955</v>
      </c>
      <c r="E30" s="1">
        <v>45960</v>
      </c>
      <c r="F30" s="1">
        <v>45962</v>
      </c>
      <c r="G30" s="1">
        <v>45968</v>
      </c>
      <c r="H30" t="s">
        <v>18</v>
      </c>
      <c r="I30" t="s">
        <v>19</v>
      </c>
      <c r="J30" s="1">
        <v>45978</v>
      </c>
      <c r="K30">
        <v>5</v>
      </c>
      <c r="L30">
        <v>2</v>
      </c>
      <c r="M30">
        <v>6</v>
      </c>
      <c r="N30">
        <v>3</v>
      </c>
      <c r="O30">
        <v>13</v>
      </c>
      <c r="P30" t="s">
        <v>1049</v>
      </c>
    </row>
    <row r="31" spans="1:16" x14ac:dyDescent="0.3">
      <c r="A31" t="s">
        <v>57</v>
      </c>
      <c r="B31" t="s">
        <v>16</v>
      </c>
      <c r="C31" t="s">
        <v>24</v>
      </c>
      <c r="D31" s="1">
        <v>45946</v>
      </c>
      <c r="E31" s="1"/>
      <c r="F31" s="1"/>
      <c r="G31" s="1"/>
      <c r="H31" t="s">
        <v>25</v>
      </c>
      <c r="I31" t="s">
        <v>35</v>
      </c>
      <c r="J31" s="1"/>
    </row>
    <row r="32" spans="1:16" x14ac:dyDescent="0.3">
      <c r="A32" t="s">
        <v>58</v>
      </c>
      <c r="B32" t="s">
        <v>21</v>
      </c>
      <c r="C32" t="s">
        <v>17</v>
      </c>
      <c r="D32" s="1">
        <v>45945</v>
      </c>
      <c r="E32" s="1">
        <v>45948</v>
      </c>
      <c r="F32" s="1">
        <v>45950</v>
      </c>
      <c r="G32" s="1">
        <v>45953</v>
      </c>
      <c r="H32" t="s">
        <v>18</v>
      </c>
      <c r="I32" t="s">
        <v>19</v>
      </c>
      <c r="J32" s="1">
        <v>45967</v>
      </c>
      <c r="K32">
        <v>3</v>
      </c>
      <c r="L32">
        <v>2</v>
      </c>
      <c r="M32">
        <v>3</v>
      </c>
      <c r="N32">
        <v>3</v>
      </c>
      <c r="O32">
        <v>8</v>
      </c>
      <c r="P32" t="s">
        <v>1049</v>
      </c>
    </row>
    <row r="33" spans="1:16" x14ac:dyDescent="0.3">
      <c r="A33" t="s">
        <v>59</v>
      </c>
      <c r="B33" t="s">
        <v>23</v>
      </c>
      <c r="C33" t="s">
        <v>17</v>
      </c>
      <c r="D33" s="1">
        <v>45944</v>
      </c>
      <c r="E33" s="1">
        <v>45945</v>
      </c>
      <c r="F33" s="1">
        <v>45946</v>
      </c>
      <c r="G33" s="1">
        <v>45950</v>
      </c>
      <c r="H33" t="s">
        <v>18</v>
      </c>
      <c r="I33" t="s">
        <v>19</v>
      </c>
      <c r="J33" s="1">
        <v>45978</v>
      </c>
      <c r="K33">
        <v>1</v>
      </c>
      <c r="L33">
        <v>1</v>
      </c>
      <c r="M33">
        <v>4</v>
      </c>
      <c r="N33">
        <v>5</v>
      </c>
      <c r="O33">
        <v>6</v>
      </c>
      <c r="P33" t="s">
        <v>1049</v>
      </c>
    </row>
    <row r="34" spans="1:16" x14ac:dyDescent="0.3">
      <c r="A34" t="s">
        <v>60</v>
      </c>
      <c r="B34" t="s">
        <v>16</v>
      </c>
      <c r="C34" t="s">
        <v>17</v>
      </c>
      <c r="D34" s="1">
        <v>45957</v>
      </c>
      <c r="E34" s="1">
        <v>45961</v>
      </c>
      <c r="F34" s="1">
        <v>45966</v>
      </c>
      <c r="G34" s="1">
        <v>45970</v>
      </c>
      <c r="H34" t="s">
        <v>18</v>
      </c>
      <c r="I34" t="s">
        <v>19</v>
      </c>
      <c r="J34" s="1">
        <v>45984</v>
      </c>
      <c r="K34">
        <v>4</v>
      </c>
      <c r="L34">
        <v>5</v>
      </c>
      <c r="M34">
        <v>4</v>
      </c>
      <c r="N34">
        <v>3</v>
      </c>
      <c r="O34">
        <v>13</v>
      </c>
      <c r="P34" t="s">
        <v>1049</v>
      </c>
    </row>
    <row r="35" spans="1:16" x14ac:dyDescent="0.3">
      <c r="A35" t="s">
        <v>61</v>
      </c>
      <c r="B35" t="s">
        <v>21</v>
      </c>
      <c r="C35" t="s">
        <v>17</v>
      </c>
      <c r="D35" s="1">
        <v>45954</v>
      </c>
      <c r="E35" s="1">
        <v>45957</v>
      </c>
      <c r="F35" s="1">
        <v>45958</v>
      </c>
      <c r="G35" s="1">
        <v>45961</v>
      </c>
      <c r="H35" t="s">
        <v>18</v>
      </c>
      <c r="I35" t="s">
        <v>19</v>
      </c>
      <c r="J35" s="1">
        <v>45974</v>
      </c>
      <c r="K35">
        <v>3</v>
      </c>
      <c r="L35">
        <v>1</v>
      </c>
      <c r="M35">
        <v>3</v>
      </c>
      <c r="N35">
        <v>3</v>
      </c>
      <c r="O35">
        <v>7</v>
      </c>
      <c r="P35" t="s">
        <v>1049</v>
      </c>
    </row>
    <row r="36" spans="1:16" x14ac:dyDescent="0.3">
      <c r="A36" t="s">
        <v>62</v>
      </c>
      <c r="B36" t="s">
        <v>23</v>
      </c>
      <c r="C36" t="s">
        <v>24</v>
      </c>
      <c r="D36" s="1">
        <v>45949</v>
      </c>
      <c r="E36" s="1"/>
      <c r="F36" s="1"/>
      <c r="G36" s="1"/>
      <c r="H36" t="s">
        <v>25</v>
      </c>
      <c r="I36" t="s">
        <v>28</v>
      </c>
      <c r="J36" s="1"/>
    </row>
    <row r="37" spans="1:16" x14ac:dyDescent="0.3">
      <c r="A37" t="s">
        <v>63</v>
      </c>
      <c r="B37" t="s">
        <v>23</v>
      </c>
      <c r="C37" t="s">
        <v>17</v>
      </c>
      <c r="D37" s="1">
        <v>45939</v>
      </c>
      <c r="E37" s="1">
        <v>45943</v>
      </c>
      <c r="F37" s="1">
        <v>45945</v>
      </c>
      <c r="G37" s="1">
        <v>45950</v>
      </c>
      <c r="H37" t="s">
        <v>18</v>
      </c>
      <c r="I37" t="s">
        <v>19</v>
      </c>
      <c r="J37" s="1">
        <v>45976</v>
      </c>
      <c r="K37">
        <v>4</v>
      </c>
      <c r="L37">
        <v>2</v>
      </c>
      <c r="M37">
        <v>5</v>
      </c>
      <c r="N37">
        <v>9</v>
      </c>
      <c r="O37">
        <v>11</v>
      </c>
      <c r="P37" t="s">
        <v>1050</v>
      </c>
    </row>
    <row r="38" spans="1:16" x14ac:dyDescent="0.3">
      <c r="A38" t="s">
        <v>64</v>
      </c>
      <c r="B38" t="s">
        <v>16</v>
      </c>
      <c r="C38" t="s">
        <v>17</v>
      </c>
      <c r="D38" s="1">
        <v>45941</v>
      </c>
      <c r="E38" s="1">
        <v>45942</v>
      </c>
      <c r="F38" s="1">
        <v>45943</v>
      </c>
      <c r="G38" s="1">
        <v>45945</v>
      </c>
      <c r="H38" t="s">
        <v>25</v>
      </c>
      <c r="I38" t="s">
        <v>65</v>
      </c>
      <c r="J38" s="1"/>
      <c r="K38">
        <v>1</v>
      </c>
      <c r="L38">
        <v>1</v>
      </c>
      <c r="M38">
        <v>2</v>
      </c>
      <c r="O38">
        <v>4</v>
      </c>
    </row>
    <row r="39" spans="1:16" x14ac:dyDescent="0.3">
      <c r="A39" t="s">
        <v>66</v>
      </c>
      <c r="B39" t="s">
        <v>16</v>
      </c>
      <c r="C39" t="s">
        <v>17</v>
      </c>
      <c r="D39" s="1">
        <v>45958</v>
      </c>
      <c r="E39" s="1">
        <v>45961</v>
      </c>
      <c r="F39" s="1">
        <v>45965</v>
      </c>
      <c r="G39" s="1">
        <v>45969</v>
      </c>
      <c r="H39" t="s">
        <v>18</v>
      </c>
      <c r="I39" t="s">
        <v>19</v>
      </c>
      <c r="J39" s="1">
        <v>45990</v>
      </c>
      <c r="K39">
        <v>3</v>
      </c>
      <c r="L39">
        <v>4</v>
      </c>
      <c r="M39">
        <v>4</v>
      </c>
      <c r="N39">
        <v>2</v>
      </c>
      <c r="O39">
        <v>11</v>
      </c>
      <c r="P39" t="s">
        <v>1049</v>
      </c>
    </row>
    <row r="40" spans="1:16" x14ac:dyDescent="0.3">
      <c r="A40" t="s">
        <v>67</v>
      </c>
      <c r="B40" t="s">
        <v>16</v>
      </c>
      <c r="C40" t="s">
        <v>17</v>
      </c>
      <c r="D40" s="1">
        <v>45938</v>
      </c>
      <c r="E40" s="1">
        <v>45943</v>
      </c>
      <c r="F40" s="1">
        <v>45946</v>
      </c>
      <c r="G40" s="1">
        <v>45953</v>
      </c>
      <c r="H40" t="s">
        <v>18</v>
      </c>
      <c r="I40" t="s">
        <v>19</v>
      </c>
      <c r="J40" s="1">
        <v>45965</v>
      </c>
      <c r="K40">
        <v>5</v>
      </c>
      <c r="L40">
        <v>3</v>
      </c>
      <c r="M40">
        <v>7</v>
      </c>
      <c r="N40">
        <v>9</v>
      </c>
      <c r="O40">
        <v>15</v>
      </c>
      <c r="P40" t="s">
        <v>1050</v>
      </c>
    </row>
    <row r="41" spans="1:16" x14ac:dyDescent="0.3">
      <c r="A41" t="s">
        <v>68</v>
      </c>
      <c r="B41" t="s">
        <v>21</v>
      </c>
      <c r="C41" t="s">
        <v>17</v>
      </c>
      <c r="D41" s="1">
        <v>45957</v>
      </c>
      <c r="E41" s="1">
        <v>45960</v>
      </c>
      <c r="F41" s="1">
        <v>45964</v>
      </c>
      <c r="G41" s="1">
        <v>45969</v>
      </c>
      <c r="H41" t="s">
        <v>25</v>
      </c>
      <c r="I41" t="s">
        <v>26</v>
      </c>
      <c r="J41" s="1"/>
      <c r="K41">
        <v>3</v>
      </c>
      <c r="L41">
        <v>4</v>
      </c>
      <c r="M41">
        <v>5</v>
      </c>
      <c r="O41">
        <v>12</v>
      </c>
    </row>
    <row r="42" spans="1:16" x14ac:dyDescent="0.3">
      <c r="A42" t="s">
        <v>69</v>
      </c>
      <c r="B42" t="s">
        <v>16</v>
      </c>
      <c r="C42" t="s">
        <v>24</v>
      </c>
      <c r="D42" s="1">
        <v>45960</v>
      </c>
      <c r="E42" s="1"/>
      <c r="F42" s="1"/>
      <c r="G42" s="1"/>
      <c r="H42" t="s">
        <v>25</v>
      </c>
      <c r="I42" t="s">
        <v>28</v>
      </c>
      <c r="J42" s="1"/>
    </row>
    <row r="43" spans="1:16" x14ac:dyDescent="0.3">
      <c r="A43" t="s">
        <v>70</v>
      </c>
      <c r="B43" t="s">
        <v>23</v>
      </c>
      <c r="C43" t="s">
        <v>17</v>
      </c>
      <c r="D43" s="1">
        <v>45933</v>
      </c>
      <c r="E43" s="1">
        <v>45936</v>
      </c>
      <c r="F43" s="1">
        <v>45938</v>
      </c>
      <c r="G43" s="1">
        <v>45944</v>
      </c>
      <c r="H43" t="s">
        <v>18</v>
      </c>
      <c r="I43" t="s">
        <v>19</v>
      </c>
      <c r="J43" s="1">
        <v>45965</v>
      </c>
      <c r="K43">
        <v>3</v>
      </c>
      <c r="L43">
        <v>2</v>
      </c>
      <c r="M43">
        <v>6</v>
      </c>
      <c r="N43">
        <v>6</v>
      </c>
      <c r="O43">
        <v>11</v>
      </c>
      <c r="P43" t="s">
        <v>1049</v>
      </c>
    </row>
    <row r="44" spans="1:16" x14ac:dyDescent="0.3">
      <c r="A44" t="s">
        <v>71</v>
      </c>
      <c r="B44" t="s">
        <v>23</v>
      </c>
      <c r="C44" t="s">
        <v>17</v>
      </c>
      <c r="D44" s="1">
        <v>45939</v>
      </c>
      <c r="E44" s="1">
        <v>45940</v>
      </c>
      <c r="F44" s="1">
        <v>45944</v>
      </c>
      <c r="G44" s="1">
        <v>45951</v>
      </c>
      <c r="H44" t="s">
        <v>18</v>
      </c>
      <c r="I44" t="s">
        <v>19</v>
      </c>
      <c r="J44" s="1">
        <v>45973</v>
      </c>
      <c r="K44">
        <v>1</v>
      </c>
      <c r="L44">
        <v>4</v>
      </c>
      <c r="M44">
        <v>7</v>
      </c>
      <c r="N44">
        <v>7</v>
      </c>
      <c r="O44">
        <v>12</v>
      </c>
      <c r="P44" t="s">
        <v>1041</v>
      </c>
    </row>
    <row r="45" spans="1:16" x14ac:dyDescent="0.3">
      <c r="A45" t="s">
        <v>72</v>
      </c>
      <c r="B45" t="s">
        <v>16</v>
      </c>
      <c r="C45" t="s">
        <v>24</v>
      </c>
      <c r="D45" s="1">
        <v>45959</v>
      </c>
      <c r="E45" s="1"/>
      <c r="F45" s="1"/>
      <c r="G45" s="1"/>
      <c r="H45" t="s">
        <v>25</v>
      </c>
      <c r="I45" t="s">
        <v>35</v>
      </c>
      <c r="J45" s="1"/>
    </row>
    <row r="46" spans="1:16" x14ac:dyDescent="0.3">
      <c r="A46" t="s">
        <v>73</v>
      </c>
      <c r="B46" t="s">
        <v>16</v>
      </c>
      <c r="C46" t="s">
        <v>32</v>
      </c>
      <c r="D46" s="1">
        <v>45945</v>
      </c>
      <c r="E46" s="1">
        <v>45950</v>
      </c>
      <c r="F46" s="1">
        <v>45952</v>
      </c>
      <c r="G46" s="1">
        <v>45956</v>
      </c>
      <c r="H46" t="s">
        <v>18</v>
      </c>
      <c r="I46" t="s">
        <v>19</v>
      </c>
      <c r="J46" s="1">
        <v>45984</v>
      </c>
      <c r="K46">
        <v>5</v>
      </c>
      <c r="L46">
        <v>2</v>
      </c>
      <c r="M46">
        <v>4</v>
      </c>
      <c r="N46">
        <v>8</v>
      </c>
      <c r="O46">
        <v>11</v>
      </c>
      <c r="P46" t="s">
        <v>1041</v>
      </c>
    </row>
    <row r="47" spans="1:16" x14ac:dyDescent="0.3">
      <c r="A47" t="s">
        <v>74</v>
      </c>
      <c r="B47" t="s">
        <v>34</v>
      </c>
      <c r="C47" t="s">
        <v>32</v>
      </c>
      <c r="D47" s="1">
        <v>45938</v>
      </c>
      <c r="E47" s="1">
        <v>45943</v>
      </c>
      <c r="F47" s="1">
        <v>45947</v>
      </c>
      <c r="G47" s="1">
        <v>45953</v>
      </c>
      <c r="H47" t="s">
        <v>18</v>
      </c>
      <c r="I47" t="s">
        <v>19</v>
      </c>
      <c r="J47" s="1">
        <v>45966</v>
      </c>
      <c r="K47">
        <v>5</v>
      </c>
      <c r="L47">
        <v>4</v>
      </c>
      <c r="M47">
        <v>6</v>
      </c>
      <c r="N47">
        <v>3</v>
      </c>
      <c r="O47">
        <v>15</v>
      </c>
      <c r="P47" t="s">
        <v>1049</v>
      </c>
    </row>
    <row r="48" spans="1:16" x14ac:dyDescent="0.3">
      <c r="A48" t="s">
        <v>75</v>
      </c>
      <c r="B48" t="s">
        <v>23</v>
      </c>
      <c r="C48" t="s">
        <v>17</v>
      </c>
      <c r="D48" s="1">
        <v>45955</v>
      </c>
      <c r="E48" s="1">
        <v>45957</v>
      </c>
      <c r="F48" s="1">
        <v>45962</v>
      </c>
      <c r="G48" s="1">
        <v>45967</v>
      </c>
      <c r="H48" t="s">
        <v>18</v>
      </c>
      <c r="I48" t="s">
        <v>19</v>
      </c>
      <c r="J48" s="1">
        <v>45987</v>
      </c>
      <c r="K48">
        <v>2</v>
      </c>
      <c r="L48">
        <v>5</v>
      </c>
      <c r="M48">
        <v>5</v>
      </c>
      <c r="N48">
        <v>5</v>
      </c>
      <c r="O48">
        <v>12</v>
      </c>
      <c r="P48" t="s">
        <v>1049</v>
      </c>
    </row>
    <row r="49" spans="1:16" x14ac:dyDescent="0.3">
      <c r="A49" t="s">
        <v>76</v>
      </c>
      <c r="B49" t="s">
        <v>21</v>
      </c>
      <c r="C49" t="s">
        <v>24</v>
      </c>
      <c r="D49" s="1">
        <v>45945</v>
      </c>
      <c r="E49" s="1"/>
      <c r="F49" s="1"/>
      <c r="G49" s="1"/>
      <c r="H49" t="s">
        <v>25</v>
      </c>
      <c r="I49" t="s">
        <v>28</v>
      </c>
      <c r="J49" s="1"/>
    </row>
    <row r="50" spans="1:16" x14ac:dyDescent="0.3">
      <c r="A50" t="s">
        <v>77</v>
      </c>
      <c r="B50" t="s">
        <v>34</v>
      </c>
      <c r="C50" t="s">
        <v>32</v>
      </c>
      <c r="D50" s="1">
        <v>45949</v>
      </c>
      <c r="E50" s="1">
        <v>45951</v>
      </c>
      <c r="F50" s="1">
        <v>45956</v>
      </c>
      <c r="G50" s="1">
        <v>45962</v>
      </c>
      <c r="H50" t="s">
        <v>18</v>
      </c>
      <c r="I50" t="s">
        <v>19</v>
      </c>
      <c r="J50" s="1">
        <v>45981</v>
      </c>
      <c r="K50">
        <v>2</v>
      </c>
      <c r="L50">
        <v>5</v>
      </c>
      <c r="M50">
        <v>6</v>
      </c>
      <c r="N50">
        <v>0</v>
      </c>
      <c r="O50">
        <v>13</v>
      </c>
      <c r="P50" t="s">
        <v>1049</v>
      </c>
    </row>
    <row r="51" spans="1:16" x14ac:dyDescent="0.3">
      <c r="A51" t="s">
        <v>78</v>
      </c>
      <c r="B51" t="s">
        <v>16</v>
      </c>
      <c r="C51" t="s">
        <v>32</v>
      </c>
      <c r="D51" s="1">
        <v>45950</v>
      </c>
      <c r="E51" s="1">
        <v>45954</v>
      </c>
      <c r="F51" s="1">
        <v>45958</v>
      </c>
      <c r="G51" s="1">
        <v>45963</v>
      </c>
      <c r="H51" t="s">
        <v>18</v>
      </c>
      <c r="I51" t="s">
        <v>19</v>
      </c>
      <c r="J51" s="1">
        <v>45983</v>
      </c>
      <c r="K51">
        <v>4</v>
      </c>
      <c r="L51">
        <v>4</v>
      </c>
      <c r="M51">
        <v>5</v>
      </c>
      <c r="N51">
        <v>6</v>
      </c>
      <c r="O51">
        <v>13</v>
      </c>
      <c r="P51" t="s">
        <v>1049</v>
      </c>
    </row>
    <row r="52" spans="1:16" x14ac:dyDescent="0.3">
      <c r="A52" t="s">
        <v>79</v>
      </c>
      <c r="B52" t="s">
        <v>16</v>
      </c>
      <c r="C52" t="s">
        <v>32</v>
      </c>
      <c r="D52" s="1">
        <v>45952</v>
      </c>
      <c r="E52" s="1">
        <v>45954</v>
      </c>
      <c r="F52" s="1">
        <v>45955</v>
      </c>
      <c r="G52" s="1">
        <v>45961</v>
      </c>
      <c r="H52" t="s">
        <v>18</v>
      </c>
      <c r="I52" t="s">
        <v>19</v>
      </c>
      <c r="J52" s="1">
        <v>45975</v>
      </c>
      <c r="K52">
        <v>2</v>
      </c>
      <c r="L52">
        <v>1</v>
      </c>
      <c r="M52">
        <v>6</v>
      </c>
      <c r="N52">
        <v>6</v>
      </c>
      <c r="O52">
        <v>9</v>
      </c>
      <c r="P52" t="s">
        <v>1049</v>
      </c>
    </row>
    <row r="53" spans="1:16" x14ac:dyDescent="0.3">
      <c r="A53" t="s">
        <v>80</v>
      </c>
      <c r="B53" t="s">
        <v>23</v>
      </c>
      <c r="C53" t="s">
        <v>32</v>
      </c>
      <c r="D53" s="1">
        <v>45943</v>
      </c>
      <c r="E53" s="1">
        <v>45944</v>
      </c>
      <c r="F53" s="1">
        <v>45946</v>
      </c>
      <c r="G53" s="1">
        <v>45948</v>
      </c>
      <c r="H53" t="s">
        <v>18</v>
      </c>
      <c r="I53" t="s">
        <v>19</v>
      </c>
      <c r="J53" s="1">
        <v>45963</v>
      </c>
      <c r="K53">
        <v>1</v>
      </c>
      <c r="L53">
        <v>2</v>
      </c>
      <c r="M53">
        <v>2</v>
      </c>
      <c r="N53">
        <v>6</v>
      </c>
      <c r="O53">
        <v>5</v>
      </c>
      <c r="P53" t="s">
        <v>1049</v>
      </c>
    </row>
    <row r="54" spans="1:16" x14ac:dyDescent="0.3">
      <c r="A54" t="s">
        <v>81</v>
      </c>
      <c r="B54" t="s">
        <v>16</v>
      </c>
      <c r="C54" t="s">
        <v>32</v>
      </c>
      <c r="D54" s="1">
        <v>45941</v>
      </c>
      <c r="E54" s="1">
        <v>45944</v>
      </c>
      <c r="F54" s="1">
        <v>45949</v>
      </c>
      <c r="G54" s="1">
        <v>45953</v>
      </c>
      <c r="H54" t="s">
        <v>18</v>
      </c>
      <c r="I54" t="s">
        <v>19</v>
      </c>
      <c r="J54" s="1">
        <v>45976</v>
      </c>
      <c r="K54">
        <v>3</v>
      </c>
      <c r="L54">
        <v>5</v>
      </c>
      <c r="M54">
        <v>4</v>
      </c>
      <c r="N54">
        <v>4</v>
      </c>
      <c r="O54">
        <v>12</v>
      </c>
      <c r="P54" t="s">
        <v>1049</v>
      </c>
    </row>
    <row r="55" spans="1:16" x14ac:dyDescent="0.3">
      <c r="A55" t="s">
        <v>82</v>
      </c>
      <c r="B55" t="s">
        <v>21</v>
      </c>
      <c r="C55" t="s">
        <v>17</v>
      </c>
      <c r="D55" s="1">
        <v>45931</v>
      </c>
      <c r="E55" s="1">
        <v>45936</v>
      </c>
      <c r="F55" s="1">
        <v>45938</v>
      </c>
      <c r="G55" s="1">
        <v>45942</v>
      </c>
      <c r="H55" t="s">
        <v>18</v>
      </c>
      <c r="I55" t="s">
        <v>19</v>
      </c>
      <c r="J55" s="1">
        <v>45972</v>
      </c>
      <c r="K55">
        <v>5</v>
      </c>
      <c r="L55">
        <v>2</v>
      </c>
      <c r="M55">
        <v>4</v>
      </c>
      <c r="N55">
        <v>4</v>
      </c>
      <c r="O55">
        <v>11</v>
      </c>
      <c r="P55" t="s">
        <v>1049</v>
      </c>
    </row>
    <row r="56" spans="1:16" x14ac:dyDescent="0.3">
      <c r="A56" t="s">
        <v>83</v>
      </c>
      <c r="B56" t="s">
        <v>23</v>
      </c>
      <c r="C56" t="s">
        <v>17</v>
      </c>
      <c r="D56" s="1">
        <v>45946</v>
      </c>
      <c r="E56" s="1">
        <v>45949</v>
      </c>
      <c r="F56" s="1">
        <v>45954</v>
      </c>
      <c r="G56" s="1">
        <v>45959</v>
      </c>
      <c r="H56" t="s">
        <v>18</v>
      </c>
      <c r="I56" t="s">
        <v>19</v>
      </c>
      <c r="J56" s="1">
        <v>45984</v>
      </c>
      <c r="K56">
        <v>3</v>
      </c>
      <c r="L56">
        <v>5</v>
      </c>
      <c r="M56">
        <v>5</v>
      </c>
      <c r="N56">
        <v>8</v>
      </c>
      <c r="O56">
        <v>13</v>
      </c>
      <c r="P56" t="s">
        <v>1041</v>
      </c>
    </row>
    <row r="57" spans="1:16" x14ac:dyDescent="0.3">
      <c r="A57" t="s">
        <v>84</v>
      </c>
      <c r="B57" t="s">
        <v>16</v>
      </c>
      <c r="C57" t="s">
        <v>32</v>
      </c>
      <c r="D57" s="1">
        <v>45958</v>
      </c>
      <c r="E57" s="1">
        <v>45959</v>
      </c>
      <c r="F57" s="1">
        <v>45962</v>
      </c>
      <c r="G57" s="1">
        <v>45968</v>
      </c>
      <c r="H57" t="s">
        <v>18</v>
      </c>
      <c r="I57" t="s">
        <v>19</v>
      </c>
      <c r="J57" s="1">
        <v>45998</v>
      </c>
      <c r="K57">
        <v>1</v>
      </c>
      <c r="L57">
        <v>3</v>
      </c>
      <c r="M57">
        <v>6</v>
      </c>
      <c r="N57">
        <v>3</v>
      </c>
      <c r="O57">
        <v>10</v>
      </c>
      <c r="P57" t="s">
        <v>1049</v>
      </c>
    </row>
    <row r="58" spans="1:16" x14ac:dyDescent="0.3">
      <c r="A58" t="s">
        <v>85</v>
      </c>
      <c r="B58" t="s">
        <v>23</v>
      </c>
      <c r="C58" t="s">
        <v>17</v>
      </c>
      <c r="D58" s="1">
        <v>45941</v>
      </c>
      <c r="E58" s="1">
        <v>45944</v>
      </c>
      <c r="F58" s="1">
        <v>45948</v>
      </c>
      <c r="G58" s="1">
        <v>45951</v>
      </c>
      <c r="H58" t="s">
        <v>18</v>
      </c>
      <c r="I58" t="s">
        <v>19</v>
      </c>
      <c r="J58" s="1">
        <v>45971</v>
      </c>
      <c r="K58">
        <v>3</v>
      </c>
      <c r="L58">
        <v>4</v>
      </c>
      <c r="M58">
        <v>3</v>
      </c>
      <c r="N58">
        <v>6</v>
      </c>
      <c r="O58">
        <v>10</v>
      </c>
      <c r="P58" t="s">
        <v>1049</v>
      </c>
    </row>
    <row r="59" spans="1:16" x14ac:dyDescent="0.3">
      <c r="A59" t="s">
        <v>86</v>
      </c>
      <c r="B59" t="s">
        <v>16</v>
      </c>
      <c r="C59" t="s">
        <v>32</v>
      </c>
      <c r="D59" s="1">
        <v>45936</v>
      </c>
      <c r="E59" s="1">
        <v>45941</v>
      </c>
      <c r="F59" s="1">
        <v>45946</v>
      </c>
      <c r="G59" s="1">
        <v>45953</v>
      </c>
      <c r="H59" t="s">
        <v>18</v>
      </c>
      <c r="I59" t="s">
        <v>19</v>
      </c>
      <c r="J59" s="1">
        <v>45968</v>
      </c>
      <c r="K59">
        <v>5</v>
      </c>
      <c r="L59">
        <v>5</v>
      </c>
      <c r="M59">
        <v>7</v>
      </c>
      <c r="N59">
        <v>1</v>
      </c>
      <c r="O59">
        <v>17</v>
      </c>
      <c r="P59" t="s">
        <v>1049</v>
      </c>
    </row>
    <row r="60" spans="1:16" x14ac:dyDescent="0.3">
      <c r="A60" t="s">
        <v>87</v>
      </c>
      <c r="B60" t="s">
        <v>16</v>
      </c>
      <c r="C60" t="s">
        <v>17</v>
      </c>
      <c r="D60" s="1">
        <v>45946</v>
      </c>
      <c r="E60" s="1">
        <v>45948</v>
      </c>
      <c r="F60" s="1">
        <v>45952</v>
      </c>
      <c r="G60" s="1">
        <v>45959</v>
      </c>
      <c r="H60" t="s">
        <v>25</v>
      </c>
      <c r="I60" t="s">
        <v>65</v>
      </c>
      <c r="J60" s="1"/>
      <c r="K60">
        <v>2</v>
      </c>
      <c r="L60">
        <v>4</v>
      </c>
      <c r="M60">
        <v>7</v>
      </c>
      <c r="O60">
        <v>13</v>
      </c>
    </row>
    <row r="61" spans="1:16" x14ac:dyDescent="0.3">
      <c r="A61" t="s">
        <v>88</v>
      </c>
      <c r="B61" t="s">
        <v>16</v>
      </c>
      <c r="C61" t="s">
        <v>17</v>
      </c>
      <c r="D61" s="1">
        <v>45937</v>
      </c>
      <c r="E61" s="1">
        <v>45941</v>
      </c>
      <c r="F61" s="1">
        <v>45944</v>
      </c>
      <c r="G61" s="1">
        <v>45948</v>
      </c>
      <c r="H61" t="s">
        <v>18</v>
      </c>
      <c r="I61" t="s">
        <v>19</v>
      </c>
      <c r="J61" s="1">
        <v>45975</v>
      </c>
      <c r="K61">
        <v>4</v>
      </c>
      <c r="L61">
        <v>3</v>
      </c>
      <c r="M61">
        <v>4</v>
      </c>
      <c r="N61">
        <v>2</v>
      </c>
      <c r="O61">
        <v>11</v>
      </c>
      <c r="P61" t="s">
        <v>1049</v>
      </c>
    </row>
    <row r="62" spans="1:16" x14ac:dyDescent="0.3">
      <c r="A62" t="s">
        <v>89</v>
      </c>
      <c r="B62" t="s">
        <v>21</v>
      </c>
      <c r="C62" t="s">
        <v>17</v>
      </c>
      <c r="D62" s="1">
        <v>45942</v>
      </c>
      <c r="E62" s="1">
        <v>45947</v>
      </c>
      <c r="F62" s="1">
        <v>45949</v>
      </c>
      <c r="G62" s="1">
        <v>45955</v>
      </c>
      <c r="H62" t="s">
        <v>18</v>
      </c>
      <c r="I62" t="s">
        <v>19</v>
      </c>
      <c r="J62" s="1">
        <v>45984</v>
      </c>
      <c r="K62">
        <v>5</v>
      </c>
      <c r="L62">
        <v>2</v>
      </c>
      <c r="M62">
        <v>6</v>
      </c>
      <c r="N62">
        <v>7</v>
      </c>
      <c r="O62">
        <v>13</v>
      </c>
      <c r="P62" t="s">
        <v>1041</v>
      </c>
    </row>
    <row r="63" spans="1:16" x14ac:dyDescent="0.3">
      <c r="A63" t="s">
        <v>90</v>
      </c>
      <c r="B63" t="s">
        <v>21</v>
      </c>
      <c r="C63" t="s">
        <v>32</v>
      </c>
      <c r="D63" s="1">
        <v>45956</v>
      </c>
      <c r="E63" s="1">
        <v>45961</v>
      </c>
      <c r="F63" s="1">
        <v>45965</v>
      </c>
      <c r="G63" s="1">
        <v>45971</v>
      </c>
      <c r="H63" t="s">
        <v>18</v>
      </c>
      <c r="I63" t="s">
        <v>19</v>
      </c>
      <c r="J63" s="1">
        <v>45992</v>
      </c>
      <c r="K63">
        <v>5</v>
      </c>
      <c r="L63">
        <v>4</v>
      </c>
      <c r="M63">
        <v>6</v>
      </c>
      <c r="N63">
        <v>9</v>
      </c>
      <c r="O63">
        <v>15</v>
      </c>
      <c r="P63" t="s">
        <v>1050</v>
      </c>
    </row>
    <row r="64" spans="1:16" x14ac:dyDescent="0.3">
      <c r="A64" t="s">
        <v>91</v>
      </c>
      <c r="B64" t="s">
        <v>23</v>
      </c>
      <c r="C64" t="s">
        <v>17</v>
      </c>
      <c r="D64" s="1">
        <v>45939</v>
      </c>
      <c r="E64" s="1">
        <v>45944</v>
      </c>
      <c r="F64" s="1">
        <v>45949</v>
      </c>
      <c r="G64" s="1">
        <v>45951</v>
      </c>
      <c r="H64" t="s">
        <v>18</v>
      </c>
      <c r="I64" t="s">
        <v>19</v>
      </c>
      <c r="J64" s="1">
        <v>45968</v>
      </c>
      <c r="K64">
        <v>5</v>
      </c>
      <c r="L64">
        <v>5</v>
      </c>
      <c r="M64">
        <v>2</v>
      </c>
      <c r="N64">
        <v>3</v>
      </c>
      <c r="O64">
        <v>12</v>
      </c>
      <c r="P64" t="s">
        <v>1049</v>
      </c>
    </row>
    <row r="65" spans="1:16" x14ac:dyDescent="0.3">
      <c r="A65" t="s">
        <v>92</v>
      </c>
      <c r="B65" t="s">
        <v>16</v>
      </c>
      <c r="C65" t="s">
        <v>32</v>
      </c>
      <c r="D65" s="1">
        <v>45941</v>
      </c>
      <c r="E65" s="1">
        <v>45946</v>
      </c>
      <c r="F65" s="1">
        <v>45949</v>
      </c>
      <c r="G65" s="1">
        <v>45956</v>
      </c>
      <c r="H65" t="s">
        <v>18</v>
      </c>
      <c r="I65" t="s">
        <v>19</v>
      </c>
      <c r="J65" s="1">
        <v>45984</v>
      </c>
      <c r="K65">
        <v>5</v>
      </c>
      <c r="L65">
        <v>3</v>
      </c>
      <c r="M65">
        <v>7</v>
      </c>
      <c r="N65">
        <v>3</v>
      </c>
      <c r="O65">
        <v>15</v>
      </c>
      <c r="P65" t="s">
        <v>1049</v>
      </c>
    </row>
    <row r="66" spans="1:16" x14ac:dyDescent="0.3">
      <c r="A66" t="s">
        <v>93</v>
      </c>
      <c r="B66" t="s">
        <v>16</v>
      </c>
      <c r="C66" t="s">
        <v>24</v>
      </c>
      <c r="D66" s="1">
        <v>45939</v>
      </c>
      <c r="E66" s="1"/>
      <c r="F66" s="1"/>
      <c r="G66" s="1"/>
      <c r="H66" t="s">
        <v>25</v>
      </c>
      <c r="I66" t="s">
        <v>26</v>
      </c>
      <c r="J66" s="1"/>
    </row>
    <row r="67" spans="1:16" x14ac:dyDescent="0.3">
      <c r="A67" t="s">
        <v>94</v>
      </c>
      <c r="B67" t="s">
        <v>21</v>
      </c>
      <c r="C67" t="s">
        <v>17</v>
      </c>
      <c r="D67" s="1">
        <v>45959</v>
      </c>
      <c r="E67" s="1">
        <v>45960</v>
      </c>
      <c r="F67" s="1">
        <v>45965</v>
      </c>
      <c r="G67" s="1">
        <v>45968</v>
      </c>
      <c r="H67" t="s">
        <v>18</v>
      </c>
      <c r="I67" t="s">
        <v>19</v>
      </c>
      <c r="J67" s="1">
        <v>45983</v>
      </c>
      <c r="K67">
        <v>1</v>
      </c>
      <c r="L67">
        <v>5</v>
      </c>
      <c r="M67">
        <v>3</v>
      </c>
      <c r="N67">
        <v>10</v>
      </c>
      <c r="O67">
        <v>9</v>
      </c>
      <c r="P67" t="s">
        <v>1050</v>
      </c>
    </row>
    <row r="68" spans="1:16" x14ac:dyDescent="0.3">
      <c r="A68" t="s">
        <v>95</v>
      </c>
      <c r="B68" t="s">
        <v>16</v>
      </c>
      <c r="C68" t="s">
        <v>17</v>
      </c>
      <c r="D68" s="1">
        <v>45950</v>
      </c>
      <c r="E68" s="1">
        <v>45955</v>
      </c>
      <c r="F68" s="1">
        <v>45958</v>
      </c>
      <c r="G68" s="1">
        <v>45962</v>
      </c>
      <c r="H68" t="s">
        <v>18</v>
      </c>
      <c r="I68" t="s">
        <v>19</v>
      </c>
      <c r="J68" s="1">
        <v>45984</v>
      </c>
      <c r="K68">
        <v>5</v>
      </c>
      <c r="L68">
        <v>3</v>
      </c>
      <c r="M68">
        <v>4</v>
      </c>
      <c r="N68">
        <v>4</v>
      </c>
      <c r="O68">
        <v>12</v>
      </c>
      <c r="P68" t="s">
        <v>1049</v>
      </c>
    </row>
    <row r="69" spans="1:16" x14ac:dyDescent="0.3">
      <c r="A69" t="s">
        <v>96</v>
      </c>
      <c r="B69" t="s">
        <v>21</v>
      </c>
      <c r="C69" t="s">
        <v>32</v>
      </c>
      <c r="D69" s="1">
        <v>45953</v>
      </c>
      <c r="E69" s="1">
        <v>45956</v>
      </c>
      <c r="F69" s="1">
        <v>45959</v>
      </c>
      <c r="G69" s="1">
        <v>45961</v>
      </c>
      <c r="H69" t="s">
        <v>18</v>
      </c>
      <c r="I69" t="s">
        <v>19</v>
      </c>
      <c r="J69" s="1">
        <v>45980</v>
      </c>
      <c r="K69">
        <v>3</v>
      </c>
      <c r="L69">
        <v>3</v>
      </c>
      <c r="M69">
        <v>2</v>
      </c>
      <c r="N69">
        <v>5</v>
      </c>
      <c r="O69">
        <v>8</v>
      </c>
      <c r="P69" t="s">
        <v>1049</v>
      </c>
    </row>
    <row r="70" spans="1:16" x14ac:dyDescent="0.3">
      <c r="A70" t="s">
        <v>97</v>
      </c>
      <c r="B70" t="s">
        <v>16</v>
      </c>
      <c r="C70" t="s">
        <v>24</v>
      </c>
      <c r="D70" s="1">
        <v>45959</v>
      </c>
      <c r="E70" s="1"/>
      <c r="F70" s="1"/>
      <c r="G70" s="1"/>
      <c r="H70" t="s">
        <v>25</v>
      </c>
      <c r="I70" t="s">
        <v>65</v>
      </c>
      <c r="J70" s="1"/>
    </row>
    <row r="71" spans="1:16" x14ac:dyDescent="0.3">
      <c r="A71" t="s">
        <v>98</v>
      </c>
      <c r="B71" t="s">
        <v>23</v>
      </c>
      <c r="C71" t="s">
        <v>32</v>
      </c>
      <c r="D71" s="1">
        <v>45939</v>
      </c>
      <c r="E71" s="1">
        <v>45940</v>
      </c>
      <c r="F71" s="1">
        <v>45945</v>
      </c>
      <c r="G71" s="1">
        <v>45948</v>
      </c>
      <c r="H71" t="s">
        <v>18</v>
      </c>
      <c r="I71" t="s">
        <v>19</v>
      </c>
      <c r="J71" s="1">
        <v>45967</v>
      </c>
      <c r="K71">
        <v>1</v>
      </c>
      <c r="L71">
        <v>5</v>
      </c>
      <c r="M71">
        <v>3</v>
      </c>
      <c r="N71">
        <v>1</v>
      </c>
      <c r="O71">
        <v>9</v>
      </c>
      <c r="P71" t="s">
        <v>1049</v>
      </c>
    </row>
    <row r="72" spans="1:16" x14ac:dyDescent="0.3">
      <c r="A72" t="s">
        <v>99</v>
      </c>
      <c r="B72" t="s">
        <v>16</v>
      </c>
      <c r="C72" t="s">
        <v>32</v>
      </c>
      <c r="D72" s="1">
        <v>45948</v>
      </c>
      <c r="E72" s="1">
        <v>45950</v>
      </c>
      <c r="F72" s="1">
        <v>45954</v>
      </c>
      <c r="G72" s="1">
        <v>45958</v>
      </c>
      <c r="H72" t="s">
        <v>18</v>
      </c>
      <c r="I72" t="s">
        <v>19</v>
      </c>
      <c r="J72" s="1">
        <v>45972</v>
      </c>
      <c r="K72">
        <v>2</v>
      </c>
      <c r="L72">
        <v>4</v>
      </c>
      <c r="M72">
        <v>4</v>
      </c>
      <c r="N72">
        <v>10</v>
      </c>
      <c r="O72">
        <v>10</v>
      </c>
      <c r="P72" t="s">
        <v>1050</v>
      </c>
    </row>
    <row r="73" spans="1:16" x14ac:dyDescent="0.3">
      <c r="A73" t="s">
        <v>100</v>
      </c>
      <c r="B73" t="s">
        <v>16</v>
      </c>
      <c r="C73" t="s">
        <v>17</v>
      </c>
      <c r="D73" s="1">
        <v>45931</v>
      </c>
      <c r="E73" s="1">
        <v>45934</v>
      </c>
      <c r="F73" s="1">
        <v>45936</v>
      </c>
      <c r="G73" s="1">
        <v>45938</v>
      </c>
      <c r="H73" t="s">
        <v>18</v>
      </c>
      <c r="I73" t="s">
        <v>19</v>
      </c>
      <c r="J73" s="1">
        <v>45953</v>
      </c>
      <c r="K73">
        <v>3</v>
      </c>
      <c r="L73">
        <v>2</v>
      </c>
      <c r="M73">
        <v>2</v>
      </c>
      <c r="N73">
        <v>7</v>
      </c>
      <c r="O73">
        <v>7</v>
      </c>
      <c r="P73" t="s">
        <v>1041</v>
      </c>
    </row>
    <row r="74" spans="1:16" x14ac:dyDescent="0.3">
      <c r="A74" t="s">
        <v>101</v>
      </c>
      <c r="B74" t="s">
        <v>34</v>
      </c>
      <c r="C74" t="s">
        <v>32</v>
      </c>
      <c r="D74" s="1">
        <v>45947</v>
      </c>
      <c r="E74" s="1">
        <v>45950</v>
      </c>
      <c r="F74" s="1">
        <v>45952</v>
      </c>
      <c r="G74" s="1">
        <v>45955</v>
      </c>
      <c r="H74" t="s">
        <v>18</v>
      </c>
      <c r="I74" t="s">
        <v>19</v>
      </c>
      <c r="J74" s="1">
        <v>45965</v>
      </c>
      <c r="K74">
        <v>3</v>
      </c>
      <c r="L74">
        <v>2</v>
      </c>
      <c r="M74">
        <v>3</v>
      </c>
      <c r="N74">
        <v>6</v>
      </c>
      <c r="O74">
        <v>8</v>
      </c>
      <c r="P74" t="s">
        <v>1049</v>
      </c>
    </row>
    <row r="75" spans="1:16" x14ac:dyDescent="0.3">
      <c r="A75" t="s">
        <v>102</v>
      </c>
      <c r="B75" t="s">
        <v>21</v>
      </c>
      <c r="C75" t="s">
        <v>24</v>
      </c>
      <c r="D75" s="1">
        <v>45961</v>
      </c>
      <c r="E75" s="1"/>
      <c r="F75" s="1"/>
      <c r="G75" s="1"/>
      <c r="H75" t="s">
        <v>25</v>
      </c>
      <c r="I75" t="s">
        <v>103</v>
      </c>
      <c r="J75" s="1"/>
    </row>
    <row r="76" spans="1:16" x14ac:dyDescent="0.3">
      <c r="A76" t="s">
        <v>104</v>
      </c>
      <c r="B76" t="s">
        <v>16</v>
      </c>
      <c r="C76" t="s">
        <v>17</v>
      </c>
      <c r="D76" s="1">
        <v>45937</v>
      </c>
      <c r="E76" s="1">
        <v>45940</v>
      </c>
      <c r="F76" s="1">
        <v>45943</v>
      </c>
      <c r="G76" s="1">
        <v>45947</v>
      </c>
      <c r="H76" t="s">
        <v>18</v>
      </c>
      <c r="I76" t="s">
        <v>19</v>
      </c>
      <c r="J76" s="1">
        <v>45975</v>
      </c>
      <c r="K76">
        <v>3</v>
      </c>
      <c r="L76">
        <v>3</v>
      </c>
      <c r="M76">
        <v>4</v>
      </c>
      <c r="N76">
        <v>0</v>
      </c>
      <c r="O76">
        <v>10</v>
      </c>
      <c r="P76" t="s">
        <v>1049</v>
      </c>
    </row>
    <row r="77" spans="1:16" x14ac:dyDescent="0.3">
      <c r="A77" t="s">
        <v>105</v>
      </c>
      <c r="B77" t="s">
        <v>16</v>
      </c>
      <c r="C77" t="s">
        <v>32</v>
      </c>
      <c r="D77" s="1">
        <v>45933</v>
      </c>
      <c r="E77" s="1">
        <v>45936</v>
      </c>
      <c r="F77" s="1">
        <v>45941</v>
      </c>
      <c r="G77" s="1">
        <v>45948</v>
      </c>
      <c r="H77" t="s">
        <v>18</v>
      </c>
      <c r="I77" t="s">
        <v>19</v>
      </c>
      <c r="J77" s="1">
        <v>45970</v>
      </c>
      <c r="K77">
        <v>3</v>
      </c>
      <c r="L77">
        <v>5</v>
      </c>
      <c r="M77">
        <v>7</v>
      </c>
      <c r="N77">
        <v>1</v>
      </c>
      <c r="O77">
        <v>15</v>
      </c>
      <c r="P77" t="s">
        <v>1049</v>
      </c>
    </row>
    <row r="78" spans="1:16" x14ac:dyDescent="0.3">
      <c r="A78" t="s">
        <v>106</v>
      </c>
      <c r="B78" t="s">
        <v>34</v>
      </c>
      <c r="C78" t="s">
        <v>17</v>
      </c>
      <c r="D78" s="1">
        <v>45938</v>
      </c>
      <c r="E78" s="1">
        <v>45939</v>
      </c>
      <c r="F78" s="1">
        <v>45942</v>
      </c>
      <c r="G78" s="1">
        <v>45945</v>
      </c>
      <c r="H78" t="s">
        <v>18</v>
      </c>
      <c r="I78" t="s">
        <v>19</v>
      </c>
      <c r="J78" s="1">
        <v>45973</v>
      </c>
      <c r="K78">
        <v>1</v>
      </c>
      <c r="L78">
        <v>3</v>
      </c>
      <c r="M78">
        <v>3</v>
      </c>
      <c r="N78">
        <v>8</v>
      </c>
      <c r="O78">
        <v>7</v>
      </c>
      <c r="P78" t="s">
        <v>1041</v>
      </c>
    </row>
    <row r="79" spans="1:16" x14ac:dyDescent="0.3">
      <c r="A79" t="s">
        <v>107</v>
      </c>
      <c r="B79" t="s">
        <v>34</v>
      </c>
      <c r="C79" t="s">
        <v>24</v>
      </c>
      <c r="D79" s="1">
        <v>45954</v>
      </c>
      <c r="E79" s="1"/>
      <c r="F79" s="1"/>
      <c r="G79" s="1"/>
      <c r="H79" t="s">
        <v>25</v>
      </c>
      <c r="I79" t="s">
        <v>26</v>
      </c>
      <c r="J79" s="1"/>
    </row>
    <row r="80" spans="1:16" x14ac:dyDescent="0.3">
      <c r="A80" t="s">
        <v>108</v>
      </c>
      <c r="B80" t="s">
        <v>21</v>
      </c>
      <c r="C80" t="s">
        <v>24</v>
      </c>
      <c r="D80" s="1">
        <v>45944</v>
      </c>
      <c r="E80" s="1"/>
      <c r="F80" s="1"/>
      <c r="G80" s="1"/>
      <c r="H80" t="s">
        <v>25</v>
      </c>
      <c r="I80" t="s">
        <v>65</v>
      </c>
      <c r="J80" s="1"/>
    </row>
    <row r="81" spans="1:16" x14ac:dyDescent="0.3">
      <c r="A81" t="s">
        <v>109</v>
      </c>
      <c r="B81" t="s">
        <v>34</v>
      </c>
      <c r="C81" t="s">
        <v>17</v>
      </c>
      <c r="D81" s="1">
        <v>45946</v>
      </c>
      <c r="E81" s="1">
        <v>45948</v>
      </c>
      <c r="F81" s="1">
        <v>45950</v>
      </c>
      <c r="G81" s="1">
        <v>45956</v>
      </c>
      <c r="H81" t="s">
        <v>25</v>
      </c>
      <c r="I81" t="s">
        <v>35</v>
      </c>
      <c r="J81" s="1"/>
      <c r="K81">
        <v>2</v>
      </c>
      <c r="L81">
        <v>2</v>
      </c>
      <c r="M81">
        <v>6</v>
      </c>
      <c r="O81">
        <v>10</v>
      </c>
    </row>
    <row r="82" spans="1:16" x14ac:dyDescent="0.3">
      <c r="A82" t="s">
        <v>110</v>
      </c>
      <c r="B82" t="s">
        <v>23</v>
      </c>
      <c r="C82" t="s">
        <v>24</v>
      </c>
      <c r="D82" s="1">
        <v>45948</v>
      </c>
      <c r="E82" s="1"/>
      <c r="F82" s="1"/>
      <c r="G82" s="1"/>
      <c r="H82" t="s">
        <v>25</v>
      </c>
      <c r="I82" t="s">
        <v>26</v>
      </c>
      <c r="J82" s="1"/>
    </row>
    <row r="83" spans="1:16" x14ac:dyDescent="0.3">
      <c r="A83" t="s">
        <v>111</v>
      </c>
      <c r="B83" t="s">
        <v>34</v>
      </c>
      <c r="C83" t="s">
        <v>24</v>
      </c>
      <c r="D83" s="1">
        <v>45955</v>
      </c>
      <c r="E83" s="1"/>
      <c r="F83" s="1"/>
      <c r="G83" s="1"/>
      <c r="H83" t="s">
        <v>25</v>
      </c>
      <c r="I83" t="s">
        <v>26</v>
      </c>
      <c r="J83" s="1"/>
    </row>
    <row r="84" spans="1:16" x14ac:dyDescent="0.3">
      <c r="A84" t="s">
        <v>112</v>
      </c>
      <c r="B84" t="s">
        <v>23</v>
      </c>
      <c r="C84" t="s">
        <v>17</v>
      </c>
      <c r="D84" s="1">
        <v>45938</v>
      </c>
      <c r="E84" s="1">
        <v>45940</v>
      </c>
      <c r="F84" s="1">
        <v>45943</v>
      </c>
      <c r="G84" s="1">
        <v>45948</v>
      </c>
      <c r="H84" t="s">
        <v>18</v>
      </c>
      <c r="I84" t="s">
        <v>19</v>
      </c>
      <c r="J84" s="1">
        <v>45959</v>
      </c>
      <c r="K84">
        <v>2</v>
      </c>
      <c r="L84">
        <v>3</v>
      </c>
      <c r="M84">
        <v>5</v>
      </c>
      <c r="N84">
        <v>5</v>
      </c>
      <c r="O84">
        <v>10</v>
      </c>
      <c r="P84" t="s">
        <v>1049</v>
      </c>
    </row>
    <row r="85" spans="1:16" x14ac:dyDescent="0.3">
      <c r="A85" t="s">
        <v>113</v>
      </c>
      <c r="B85" t="s">
        <v>21</v>
      </c>
      <c r="C85" t="s">
        <v>32</v>
      </c>
      <c r="D85" s="1">
        <v>45953</v>
      </c>
      <c r="E85" s="1">
        <v>45958</v>
      </c>
      <c r="F85" s="1">
        <v>45961</v>
      </c>
      <c r="G85" s="1">
        <v>45966</v>
      </c>
      <c r="H85" t="s">
        <v>18</v>
      </c>
      <c r="I85" t="s">
        <v>19</v>
      </c>
      <c r="J85" s="1">
        <v>45981</v>
      </c>
      <c r="K85">
        <v>5</v>
      </c>
      <c r="L85">
        <v>3</v>
      </c>
      <c r="M85">
        <v>5</v>
      </c>
      <c r="N85">
        <v>5</v>
      </c>
      <c r="O85">
        <v>13</v>
      </c>
      <c r="P85" t="s">
        <v>1049</v>
      </c>
    </row>
    <row r="86" spans="1:16" x14ac:dyDescent="0.3">
      <c r="A86" t="s">
        <v>114</v>
      </c>
      <c r="B86" t="s">
        <v>21</v>
      </c>
      <c r="C86" t="s">
        <v>17</v>
      </c>
      <c r="D86" s="1">
        <v>45946</v>
      </c>
      <c r="E86" s="1">
        <v>45950</v>
      </c>
      <c r="F86" s="1">
        <v>45952</v>
      </c>
      <c r="G86" s="1">
        <v>45958</v>
      </c>
      <c r="H86" t="s">
        <v>18</v>
      </c>
      <c r="I86" t="s">
        <v>19</v>
      </c>
      <c r="J86" s="1">
        <v>45987</v>
      </c>
      <c r="K86">
        <v>4</v>
      </c>
      <c r="L86">
        <v>2</v>
      </c>
      <c r="M86">
        <v>6</v>
      </c>
      <c r="N86">
        <v>4</v>
      </c>
      <c r="O86">
        <v>12</v>
      </c>
      <c r="P86" t="s">
        <v>1049</v>
      </c>
    </row>
    <row r="87" spans="1:16" x14ac:dyDescent="0.3">
      <c r="A87" t="s">
        <v>115</v>
      </c>
      <c r="B87" t="s">
        <v>21</v>
      </c>
      <c r="C87" t="s">
        <v>24</v>
      </c>
      <c r="D87" s="1">
        <v>45951</v>
      </c>
      <c r="E87" s="1"/>
      <c r="F87" s="1"/>
      <c r="G87" s="1"/>
      <c r="H87" t="s">
        <v>25</v>
      </c>
      <c r="I87" t="s">
        <v>28</v>
      </c>
      <c r="J87" s="1"/>
    </row>
    <row r="88" spans="1:16" x14ac:dyDescent="0.3">
      <c r="A88" t="s">
        <v>116</v>
      </c>
      <c r="B88" t="s">
        <v>21</v>
      </c>
      <c r="C88" t="s">
        <v>32</v>
      </c>
      <c r="D88" s="1">
        <v>45953</v>
      </c>
      <c r="E88" s="1">
        <v>45954</v>
      </c>
      <c r="F88" s="1">
        <v>45958</v>
      </c>
      <c r="G88" s="1">
        <v>45961</v>
      </c>
      <c r="H88" t="s">
        <v>18</v>
      </c>
      <c r="I88" t="s">
        <v>19</v>
      </c>
      <c r="J88" s="1">
        <v>45981</v>
      </c>
      <c r="K88">
        <v>1</v>
      </c>
      <c r="L88">
        <v>4</v>
      </c>
      <c r="M88">
        <v>3</v>
      </c>
      <c r="N88">
        <v>7</v>
      </c>
      <c r="O88">
        <v>8</v>
      </c>
      <c r="P88" t="s">
        <v>1041</v>
      </c>
    </row>
    <row r="89" spans="1:16" x14ac:dyDescent="0.3">
      <c r="A89" t="s">
        <v>117</v>
      </c>
      <c r="B89" t="s">
        <v>21</v>
      </c>
      <c r="C89" t="s">
        <v>24</v>
      </c>
      <c r="D89" s="1">
        <v>45946</v>
      </c>
      <c r="E89" s="1"/>
      <c r="F89" s="1"/>
      <c r="G89" s="1"/>
      <c r="H89" t="s">
        <v>25</v>
      </c>
      <c r="I89" t="s">
        <v>35</v>
      </c>
      <c r="J89" s="1"/>
    </row>
    <row r="90" spans="1:16" x14ac:dyDescent="0.3">
      <c r="A90" t="s">
        <v>118</v>
      </c>
      <c r="B90" t="s">
        <v>23</v>
      </c>
      <c r="C90" t="s">
        <v>32</v>
      </c>
      <c r="D90" s="1">
        <v>45945</v>
      </c>
      <c r="E90" s="1">
        <v>45947</v>
      </c>
      <c r="F90" s="1">
        <v>45950</v>
      </c>
      <c r="G90" s="1">
        <v>45956</v>
      </c>
      <c r="H90" t="s">
        <v>18</v>
      </c>
      <c r="I90" t="s">
        <v>19</v>
      </c>
      <c r="J90" s="1">
        <v>45985</v>
      </c>
      <c r="K90">
        <v>2</v>
      </c>
      <c r="L90">
        <v>3</v>
      </c>
      <c r="M90">
        <v>6</v>
      </c>
      <c r="N90">
        <v>5</v>
      </c>
      <c r="O90">
        <v>11</v>
      </c>
      <c r="P90" t="s">
        <v>1049</v>
      </c>
    </row>
    <row r="91" spans="1:16" x14ac:dyDescent="0.3">
      <c r="A91" t="s">
        <v>119</v>
      </c>
      <c r="B91" t="s">
        <v>23</v>
      </c>
      <c r="C91" t="s">
        <v>32</v>
      </c>
      <c r="D91" s="1">
        <v>45956</v>
      </c>
      <c r="E91" s="1">
        <v>45957</v>
      </c>
      <c r="F91" s="1">
        <v>45961</v>
      </c>
      <c r="G91" s="1">
        <v>45966</v>
      </c>
      <c r="H91" t="s">
        <v>18</v>
      </c>
      <c r="I91" t="s">
        <v>19</v>
      </c>
      <c r="J91" s="1">
        <v>45983</v>
      </c>
      <c r="K91">
        <v>1</v>
      </c>
      <c r="L91">
        <v>4</v>
      </c>
      <c r="M91">
        <v>5</v>
      </c>
      <c r="N91">
        <v>8</v>
      </c>
      <c r="O91">
        <v>10</v>
      </c>
      <c r="P91" t="s">
        <v>1041</v>
      </c>
    </row>
    <row r="92" spans="1:16" x14ac:dyDescent="0.3">
      <c r="A92" t="s">
        <v>120</v>
      </c>
      <c r="B92" t="s">
        <v>21</v>
      </c>
      <c r="C92" t="s">
        <v>17</v>
      </c>
      <c r="D92" s="1">
        <v>45931</v>
      </c>
      <c r="E92" s="1">
        <v>45932</v>
      </c>
      <c r="F92" s="1">
        <v>45935</v>
      </c>
      <c r="G92" s="1">
        <v>45940</v>
      </c>
      <c r="H92" t="s">
        <v>18</v>
      </c>
      <c r="I92" t="s">
        <v>19</v>
      </c>
      <c r="J92" s="1">
        <v>45970</v>
      </c>
      <c r="K92">
        <v>1</v>
      </c>
      <c r="L92">
        <v>3</v>
      </c>
      <c r="M92">
        <v>5</v>
      </c>
      <c r="N92">
        <v>0</v>
      </c>
      <c r="O92">
        <v>9</v>
      </c>
      <c r="P92" t="s">
        <v>1049</v>
      </c>
    </row>
    <row r="93" spans="1:16" x14ac:dyDescent="0.3">
      <c r="A93" t="s">
        <v>121</v>
      </c>
      <c r="B93" t="s">
        <v>34</v>
      </c>
      <c r="C93" t="s">
        <v>32</v>
      </c>
      <c r="D93" s="1">
        <v>45933</v>
      </c>
      <c r="E93" s="1">
        <v>45938</v>
      </c>
      <c r="F93" s="1">
        <v>45943</v>
      </c>
      <c r="G93" s="1">
        <v>45946</v>
      </c>
      <c r="H93" t="s">
        <v>18</v>
      </c>
      <c r="I93" t="s">
        <v>19</v>
      </c>
      <c r="J93" s="1">
        <v>45974</v>
      </c>
      <c r="K93">
        <v>5</v>
      </c>
      <c r="L93">
        <v>5</v>
      </c>
      <c r="M93">
        <v>3</v>
      </c>
      <c r="N93">
        <v>9</v>
      </c>
      <c r="O93">
        <v>13</v>
      </c>
      <c r="P93" t="s">
        <v>1050</v>
      </c>
    </row>
    <row r="94" spans="1:16" x14ac:dyDescent="0.3">
      <c r="A94" t="s">
        <v>122</v>
      </c>
      <c r="B94" t="s">
        <v>16</v>
      </c>
      <c r="C94" t="s">
        <v>24</v>
      </c>
      <c r="D94" s="1">
        <v>45940</v>
      </c>
      <c r="E94" s="1"/>
      <c r="F94" s="1"/>
      <c r="G94" s="1"/>
      <c r="H94" t="s">
        <v>25</v>
      </c>
      <c r="I94" t="s">
        <v>103</v>
      </c>
      <c r="J94" s="1"/>
    </row>
    <row r="95" spans="1:16" x14ac:dyDescent="0.3">
      <c r="A95" t="s">
        <v>123</v>
      </c>
      <c r="B95" t="s">
        <v>21</v>
      </c>
      <c r="C95" t="s">
        <v>24</v>
      </c>
      <c r="D95" s="1">
        <v>45938</v>
      </c>
      <c r="E95" s="1"/>
      <c r="F95" s="1"/>
      <c r="G95" s="1"/>
      <c r="H95" t="s">
        <v>25</v>
      </c>
      <c r="I95" t="s">
        <v>65</v>
      </c>
      <c r="J95" s="1"/>
    </row>
    <row r="96" spans="1:16" x14ac:dyDescent="0.3">
      <c r="A96" t="s">
        <v>124</v>
      </c>
      <c r="B96" t="s">
        <v>34</v>
      </c>
      <c r="C96" t="s">
        <v>24</v>
      </c>
      <c r="D96" s="1">
        <v>45943</v>
      </c>
      <c r="E96" s="1"/>
      <c r="F96" s="1"/>
      <c r="G96" s="1"/>
      <c r="H96" t="s">
        <v>25</v>
      </c>
      <c r="I96" t="s">
        <v>28</v>
      </c>
      <c r="J96" s="1"/>
    </row>
    <row r="97" spans="1:16" x14ac:dyDescent="0.3">
      <c r="A97" t="s">
        <v>125</v>
      </c>
      <c r="B97" t="s">
        <v>16</v>
      </c>
      <c r="C97" t="s">
        <v>17</v>
      </c>
      <c r="D97" s="1">
        <v>45953</v>
      </c>
      <c r="E97" s="1">
        <v>45955</v>
      </c>
      <c r="F97" s="1">
        <v>45958</v>
      </c>
      <c r="G97" s="1">
        <v>45963</v>
      </c>
      <c r="H97" t="s">
        <v>18</v>
      </c>
      <c r="I97" t="s">
        <v>19</v>
      </c>
      <c r="J97" s="1">
        <v>45976</v>
      </c>
      <c r="K97">
        <v>2</v>
      </c>
      <c r="L97">
        <v>3</v>
      </c>
      <c r="M97">
        <v>5</v>
      </c>
      <c r="N97">
        <v>9</v>
      </c>
      <c r="O97">
        <v>10</v>
      </c>
      <c r="P97" t="s">
        <v>1050</v>
      </c>
    </row>
    <row r="98" spans="1:16" x14ac:dyDescent="0.3">
      <c r="A98" t="s">
        <v>126</v>
      </c>
      <c r="B98" t="s">
        <v>21</v>
      </c>
      <c r="C98" t="s">
        <v>32</v>
      </c>
      <c r="D98" s="1">
        <v>45938</v>
      </c>
      <c r="E98" s="1">
        <v>45942</v>
      </c>
      <c r="F98" s="1">
        <v>45945</v>
      </c>
      <c r="G98" s="1">
        <v>45952</v>
      </c>
      <c r="H98" t="s">
        <v>25</v>
      </c>
      <c r="I98" t="s">
        <v>65</v>
      </c>
      <c r="J98" s="1"/>
      <c r="K98">
        <v>4</v>
      </c>
      <c r="L98">
        <v>3</v>
      </c>
      <c r="M98">
        <v>7</v>
      </c>
      <c r="O98">
        <v>14</v>
      </c>
    </row>
    <row r="99" spans="1:16" x14ac:dyDescent="0.3">
      <c r="A99" t="s">
        <v>127</v>
      </c>
      <c r="B99" t="s">
        <v>21</v>
      </c>
      <c r="C99" t="s">
        <v>17</v>
      </c>
      <c r="D99" s="1">
        <v>45940</v>
      </c>
      <c r="E99" s="1">
        <v>45944</v>
      </c>
      <c r="F99" s="1">
        <v>45945</v>
      </c>
      <c r="G99" s="1">
        <v>45951</v>
      </c>
      <c r="H99" t="s">
        <v>18</v>
      </c>
      <c r="I99" t="s">
        <v>19</v>
      </c>
      <c r="J99" s="1">
        <v>45976</v>
      </c>
      <c r="K99">
        <v>4</v>
      </c>
      <c r="L99">
        <v>1</v>
      </c>
      <c r="M99">
        <v>6</v>
      </c>
      <c r="N99">
        <v>6</v>
      </c>
      <c r="O99">
        <v>11</v>
      </c>
      <c r="P99" t="s">
        <v>1049</v>
      </c>
    </row>
    <row r="100" spans="1:16" x14ac:dyDescent="0.3">
      <c r="A100" t="s">
        <v>128</v>
      </c>
      <c r="B100" t="s">
        <v>23</v>
      </c>
      <c r="C100" t="s">
        <v>17</v>
      </c>
      <c r="D100" s="1">
        <v>45952</v>
      </c>
      <c r="E100" s="1">
        <v>45956</v>
      </c>
      <c r="F100" s="1">
        <v>45961</v>
      </c>
      <c r="G100" s="1">
        <v>45968</v>
      </c>
      <c r="H100" t="s">
        <v>18</v>
      </c>
      <c r="I100" t="s">
        <v>19</v>
      </c>
      <c r="J100" s="1">
        <v>45982</v>
      </c>
      <c r="K100">
        <v>4</v>
      </c>
      <c r="L100">
        <v>5</v>
      </c>
      <c r="M100">
        <v>7</v>
      </c>
      <c r="N100">
        <v>0</v>
      </c>
      <c r="O100">
        <v>16</v>
      </c>
      <c r="P100" t="s">
        <v>1049</v>
      </c>
    </row>
    <row r="101" spans="1:16" x14ac:dyDescent="0.3">
      <c r="A101" t="s">
        <v>129</v>
      </c>
      <c r="B101" t="s">
        <v>16</v>
      </c>
      <c r="C101" t="s">
        <v>17</v>
      </c>
      <c r="D101" s="1">
        <v>45949</v>
      </c>
      <c r="E101" s="1">
        <v>45952</v>
      </c>
      <c r="F101" s="1">
        <v>45957</v>
      </c>
      <c r="G101" s="1">
        <v>45964</v>
      </c>
      <c r="H101" t="s">
        <v>18</v>
      </c>
      <c r="I101" t="s">
        <v>19</v>
      </c>
      <c r="J101" s="1">
        <v>45984</v>
      </c>
      <c r="K101">
        <v>3</v>
      </c>
      <c r="L101">
        <v>5</v>
      </c>
      <c r="M101">
        <v>7</v>
      </c>
      <c r="N101">
        <v>10</v>
      </c>
      <c r="O101">
        <v>15</v>
      </c>
      <c r="P101" t="s">
        <v>1050</v>
      </c>
    </row>
    <row r="102" spans="1:16" x14ac:dyDescent="0.3">
      <c r="A102" t="s">
        <v>130</v>
      </c>
      <c r="B102" t="s">
        <v>16</v>
      </c>
      <c r="C102" t="s">
        <v>32</v>
      </c>
      <c r="D102" s="1">
        <v>45942</v>
      </c>
      <c r="E102" s="1">
        <v>45944</v>
      </c>
      <c r="F102" s="1">
        <v>45948</v>
      </c>
      <c r="G102" s="1">
        <v>45951</v>
      </c>
      <c r="H102" t="s">
        <v>18</v>
      </c>
      <c r="I102" t="s">
        <v>19</v>
      </c>
      <c r="J102" s="1">
        <v>45963</v>
      </c>
      <c r="K102">
        <v>2</v>
      </c>
      <c r="L102">
        <v>4</v>
      </c>
      <c r="M102">
        <v>3</v>
      </c>
      <c r="N102">
        <v>1</v>
      </c>
      <c r="O102">
        <v>9</v>
      </c>
      <c r="P102" t="s">
        <v>1049</v>
      </c>
    </row>
    <row r="103" spans="1:16" x14ac:dyDescent="0.3">
      <c r="A103" t="s">
        <v>131</v>
      </c>
      <c r="B103" t="s">
        <v>34</v>
      </c>
      <c r="C103" t="s">
        <v>17</v>
      </c>
      <c r="D103" s="1">
        <v>45946</v>
      </c>
      <c r="E103" s="1">
        <v>45949</v>
      </c>
      <c r="F103" s="1">
        <v>45953</v>
      </c>
      <c r="G103" s="1">
        <v>45959</v>
      </c>
      <c r="H103" t="s">
        <v>18</v>
      </c>
      <c r="I103" t="s">
        <v>19</v>
      </c>
      <c r="J103" s="1">
        <v>45976</v>
      </c>
      <c r="K103">
        <v>3</v>
      </c>
      <c r="L103">
        <v>4</v>
      </c>
      <c r="M103">
        <v>6</v>
      </c>
      <c r="N103">
        <v>1</v>
      </c>
      <c r="O103">
        <v>13</v>
      </c>
      <c r="P103" t="s">
        <v>1049</v>
      </c>
    </row>
    <row r="104" spans="1:16" x14ac:dyDescent="0.3">
      <c r="A104" t="s">
        <v>132</v>
      </c>
      <c r="B104" t="s">
        <v>23</v>
      </c>
      <c r="C104" t="s">
        <v>17</v>
      </c>
      <c r="D104" s="1">
        <v>45948</v>
      </c>
      <c r="E104" s="1">
        <v>45951</v>
      </c>
      <c r="F104" s="1">
        <v>45954</v>
      </c>
      <c r="G104" s="1">
        <v>45957</v>
      </c>
      <c r="H104" t="s">
        <v>18</v>
      </c>
      <c r="I104" t="s">
        <v>19</v>
      </c>
      <c r="J104" s="1">
        <v>45978</v>
      </c>
      <c r="K104">
        <v>3</v>
      </c>
      <c r="L104">
        <v>3</v>
      </c>
      <c r="M104">
        <v>3</v>
      </c>
      <c r="N104">
        <v>0</v>
      </c>
      <c r="O104">
        <v>9</v>
      </c>
      <c r="P104" t="s">
        <v>1049</v>
      </c>
    </row>
    <row r="105" spans="1:16" x14ac:dyDescent="0.3">
      <c r="A105" t="s">
        <v>133</v>
      </c>
      <c r="B105" t="s">
        <v>23</v>
      </c>
      <c r="C105" t="s">
        <v>24</v>
      </c>
      <c r="D105" s="1">
        <v>45947</v>
      </c>
      <c r="E105" s="1"/>
      <c r="F105" s="1"/>
      <c r="G105" s="1"/>
      <c r="H105" t="s">
        <v>25</v>
      </c>
      <c r="I105" t="s">
        <v>103</v>
      </c>
      <c r="J105" s="1"/>
    </row>
    <row r="106" spans="1:16" x14ac:dyDescent="0.3">
      <c r="A106" t="s">
        <v>134</v>
      </c>
      <c r="B106" t="s">
        <v>23</v>
      </c>
      <c r="C106" t="s">
        <v>24</v>
      </c>
      <c r="D106" s="1">
        <v>45942</v>
      </c>
      <c r="E106" s="1"/>
      <c r="F106" s="1"/>
      <c r="G106" s="1"/>
      <c r="H106" t="s">
        <v>25</v>
      </c>
      <c r="I106" t="s">
        <v>103</v>
      </c>
      <c r="J106" s="1"/>
    </row>
    <row r="107" spans="1:16" x14ac:dyDescent="0.3">
      <c r="A107" t="s">
        <v>135</v>
      </c>
      <c r="B107" t="s">
        <v>23</v>
      </c>
      <c r="C107" t="s">
        <v>17</v>
      </c>
      <c r="D107" s="1">
        <v>45944</v>
      </c>
      <c r="E107" s="1">
        <v>45947</v>
      </c>
      <c r="F107" s="1">
        <v>45949</v>
      </c>
      <c r="G107" s="1">
        <v>45954</v>
      </c>
      <c r="H107" t="s">
        <v>18</v>
      </c>
      <c r="I107" t="s">
        <v>19</v>
      </c>
      <c r="J107" s="1">
        <v>45974</v>
      </c>
      <c r="K107">
        <v>3</v>
      </c>
      <c r="L107">
        <v>2</v>
      </c>
      <c r="M107">
        <v>5</v>
      </c>
      <c r="N107">
        <v>2</v>
      </c>
      <c r="O107">
        <v>10</v>
      </c>
      <c r="P107" t="s">
        <v>1049</v>
      </c>
    </row>
    <row r="108" spans="1:16" x14ac:dyDescent="0.3">
      <c r="A108" t="s">
        <v>136</v>
      </c>
      <c r="B108" t="s">
        <v>16</v>
      </c>
      <c r="C108" t="s">
        <v>17</v>
      </c>
      <c r="D108" s="1">
        <v>45954</v>
      </c>
      <c r="E108" s="1">
        <v>45959</v>
      </c>
      <c r="F108" s="1">
        <v>45962</v>
      </c>
      <c r="G108" s="1">
        <v>45966</v>
      </c>
      <c r="H108" t="s">
        <v>25</v>
      </c>
      <c r="I108" t="s">
        <v>26</v>
      </c>
      <c r="J108" s="1"/>
      <c r="K108">
        <v>5</v>
      </c>
      <c r="L108">
        <v>3</v>
      </c>
      <c r="M108">
        <v>4</v>
      </c>
      <c r="O108">
        <v>12</v>
      </c>
    </row>
    <row r="109" spans="1:16" x14ac:dyDescent="0.3">
      <c r="A109" t="s">
        <v>137</v>
      </c>
      <c r="B109" t="s">
        <v>16</v>
      </c>
      <c r="C109" t="s">
        <v>17</v>
      </c>
      <c r="D109" s="1">
        <v>45948</v>
      </c>
      <c r="E109" s="1">
        <v>45953</v>
      </c>
      <c r="F109" s="1">
        <v>45954</v>
      </c>
      <c r="G109" s="1">
        <v>45957</v>
      </c>
      <c r="H109" t="s">
        <v>18</v>
      </c>
      <c r="I109" t="s">
        <v>19</v>
      </c>
      <c r="J109" s="1">
        <v>45972</v>
      </c>
      <c r="K109">
        <v>5</v>
      </c>
      <c r="L109">
        <v>1</v>
      </c>
      <c r="M109">
        <v>3</v>
      </c>
      <c r="N109">
        <v>10</v>
      </c>
      <c r="O109">
        <v>9</v>
      </c>
      <c r="P109" t="s">
        <v>1050</v>
      </c>
    </row>
    <row r="110" spans="1:16" x14ac:dyDescent="0.3">
      <c r="A110" t="s">
        <v>138</v>
      </c>
      <c r="B110" t="s">
        <v>21</v>
      </c>
      <c r="C110" t="s">
        <v>32</v>
      </c>
      <c r="D110" s="1">
        <v>45941</v>
      </c>
      <c r="E110" s="1">
        <v>45942</v>
      </c>
      <c r="F110" s="1">
        <v>45945</v>
      </c>
      <c r="G110" s="1">
        <v>45948</v>
      </c>
      <c r="H110" t="s">
        <v>18</v>
      </c>
      <c r="I110" t="s">
        <v>19</v>
      </c>
      <c r="J110" s="1">
        <v>45978</v>
      </c>
      <c r="K110">
        <v>1</v>
      </c>
      <c r="L110">
        <v>3</v>
      </c>
      <c r="M110">
        <v>3</v>
      </c>
      <c r="N110">
        <v>4</v>
      </c>
      <c r="O110">
        <v>7</v>
      </c>
      <c r="P110" t="s">
        <v>1049</v>
      </c>
    </row>
    <row r="111" spans="1:16" x14ac:dyDescent="0.3">
      <c r="A111" t="s">
        <v>139</v>
      </c>
      <c r="B111" t="s">
        <v>21</v>
      </c>
      <c r="C111" t="s">
        <v>24</v>
      </c>
      <c r="D111" s="1">
        <v>45942</v>
      </c>
      <c r="E111" s="1"/>
      <c r="F111" s="1"/>
      <c r="G111" s="1"/>
      <c r="H111" t="s">
        <v>25</v>
      </c>
      <c r="I111" t="s">
        <v>103</v>
      </c>
      <c r="J111" s="1"/>
    </row>
    <row r="112" spans="1:16" x14ac:dyDescent="0.3">
      <c r="A112" t="s">
        <v>140</v>
      </c>
      <c r="B112" t="s">
        <v>23</v>
      </c>
      <c r="C112" t="s">
        <v>24</v>
      </c>
      <c r="D112" s="1">
        <v>45953</v>
      </c>
      <c r="E112" s="1"/>
      <c r="F112" s="1"/>
      <c r="G112" s="1"/>
      <c r="H112" t="s">
        <v>25</v>
      </c>
      <c r="I112" t="s">
        <v>65</v>
      </c>
      <c r="J112" s="1"/>
    </row>
    <row r="113" spans="1:16" x14ac:dyDescent="0.3">
      <c r="A113" t="s">
        <v>141</v>
      </c>
      <c r="B113" t="s">
        <v>23</v>
      </c>
      <c r="C113" t="s">
        <v>17</v>
      </c>
      <c r="D113" s="1">
        <v>45945</v>
      </c>
      <c r="E113" s="1">
        <v>45946</v>
      </c>
      <c r="F113" s="1">
        <v>45947</v>
      </c>
      <c r="G113" s="1">
        <v>45951</v>
      </c>
      <c r="H113" t="s">
        <v>18</v>
      </c>
      <c r="I113" t="s">
        <v>19</v>
      </c>
      <c r="J113" s="1">
        <v>45963</v>
      </c>
      <c r="K113">
        <v>1</v>
      </c>
      <c r="L113">
        <v>1</v>
      </c>
      <c r="M113">
        <v>4</v>
      </c>
      <c r="N113">
        <v>2</v>
      </c>
      <c r="O113">
        <v>6</v>
      </c>
      <c r="P113" t="s">
        <v>1049</v>
      </c>
    </row>
    <row r="114" spans="1:16" x14ac:dyDescent="0.3">
      <c r="A114" t="s">
        <v>142</v>
      </c>
      <c r="B114" t="s">
        <v>23</v>
      </c>
      <c r="C114" t="s">
        <v>17</v>
      </c>
      <c r="D114" s="1">
        <v>45939</v>
      </c>
      <c r="E114" s="1">
        <v>45941</v>
      </c>
      <c r="F114" s="1">
        <v>45944</v>
      </c>
      <c r="G114" s="1">
        <v>45949</v>
      </c>
      <c r="H114" t="s">
        <v>25</v>
      </c>
      <c r="I114" t="s">
        <v>35</v>
      </c>
      <c r="J114" s="1"/>
      <c r="K114">
        <v>2</v>
      </c>
      <c r="L114">
        <v>3</v>
      </c>
      <c r="M114">
        <v>5</v>
      </c>
      <c r="O114">
        <v>10</v>
      </c>
    </row>
    <row r="115" spans="1:16" x14ac:dyDescent="0.3">
      <c r="A115" t="s">
        <v>143</v>
      </c>
      <c r="B115" t="s">
        <v>21</v>
      </c>
      <c r="C115" t="s">
        <v>32</v>
      </c>
      <c r="D115" s="1">
        <v>45940</v>
      </c>
      <c r="E115" s="1">
        <v>45942</v>
      </c>
      <c r="F115" s="1">
        <v>45946</v>
      </c>
      <c r="G115" s="1">
        <v>45952</v>
      </c>
      <c r="H115" t="s">
        <v>18</v>
      </c>
      <c r="I115" t="s">
        <v>19</v>
      </c>
      <c r="J115" s="1">
        <v>45982</v>
      </c>
      <c r="K115">
        <v>2</v>
      </c>
      <c r="L115">
        <v>4</v>
      </c>
      <c r="M115">
        <v>6</v>
      </c>
      <c r="N115">
        <v>6</v>
      </c>
      <c r="O115">
        <v>12</v>
      </c>
      <c r="P115" t="s">
        <v>1049</v>
      </c>
    </row>
    <row r="116" spans="1:16" x14ac:dyDescent="0.3">
      <c r="A116" t="s">
        <v>144</v>
      </c>
      <c r="B116" t="s">
        <v>34</v>
      </c>
      <c r="C116" t="s">
        <v>17</v>
      </c>
      <c r="D116" s="1">
        <v>45939</v>
      </c>
      <c r="E116" s="1">
        <v>45944</v>
      </c>
      <c r="F116" s="1">
        <v>45947</v>
      </c>
      <c r="G116" s="1">
        <v>45949</v>
      </c>
      <c r="H116" t="s">
        <v>18</v>
      </c>
      <c r="I116" t="s">
        <v>19</v>
      </c>
      <c r="J116" s="1">
        <v>45969</v>
      </c>
      <c r="K116">
        <v>5</v>
      </c>
      <c r="L116">
        <v>3</v>
      </c>
      <c r="M116">
        <v>2</v>
      </c>
      <c r="N116">
        <v>10</v>
      </c>
      <c r="O116">
        <v>10</v>
      </c>
      <c r="P116" t="s">
        <v>1050</v>
      </c>
    </row>
    <row r="117" spans="1:16" x14ac:dyDescent="0.3">
      <c r="A117" t="s">
        <v>145</v>
      </c>
      <c r="B117" t="s">
        <v>34</v>
      </c>
      <c r="C117" t="s">
        <v>32</v>
      </c>
      <c r="D117" s="1">
        <v>45938</v>
      </c>
      <c r="E117" s="1">
        <v>45939</v>
      </c>
      <c r="F117" s="1">
        <v>45943</v>
      </c>
      <c r="G117" s="1">
        <v>45947</v>
      </c>
      <c r="H117" t="s">
        <v>18</v>
      </c>
      <c r="I117" t="s">
        <v>19</v>
      </c>
      <c r="J117" s="1">
        <v>45971</v>
      </c>
      <c r="K117">
        <v>1</v>
      </c>
      <c r="L117">
        <v>4</v>
      </c>
      <c r="M117">
        <v>4</v>
      </c>
      <c r="N117">
        <v>8</v>
      </c>
      <c r="O117">
        <v>9</v>
      </c>
      <c r="P117" t="s">
        <v>1041</v>
      </c>
    </row>
    <row r="118" spans="1:16" x14ac:dyDescent="0.3">
      <c r="A118" t="s">
        <v>146</v>
      </c>
      <c r="B118" t="s">
        <v>21</v>
      </c>
      <c r="C118" t="s">
        <v>24</v>
      </c>
      <c r="D118" s="1">
        <v>45934</v>
      </c>
      <c r="E118" s="1"/>
      <c r="F118" s="1"/>
      <c r="G118" s="1"/>
      <c r="H118" t="s">
        <v>25</v>
      </c>
      <c r="I118" t="s">
        <v>35</v>
      </c>
      <c r="J118" s="1"/>
    </row>
    <row r="119" spans="1:16" x14ac:dyDescent="0.3">
      <c r="A119" t="s">
        <v>147</v>
      </c>
      <c r="B119" t="s">
        <v>21</v>
      </c>
      <c r="C119" t="s">
        <v>32</v>
      </c>
      <c r="D119" s="1">
        <v>45954</v>
      </c>
      <c r="E119" s="1">
        <v>45955</v>
      </c>
      <c r="F119" s="1">
        <v>45957</v>
      </c>
      <c r="G119" s="1">
        <v>45959</v>
      </c>
      <c r="H119" t="s">
        <v>18</v>
      </c>
      <c r="I119" t="s">
        <v>19</v>
      </c>
      <c r="J119" s="1">
        <v>45969</v>
      </c>
      <c r="K119">
        <v>1</v>
      </c>
      <c r="L119">
        <v>2</v>
      </c>
      <c r="M119">
        <v>2</v>
      </c>
      <c r="N119">
        <v>1</v>
      </c>
      <c r="O119">
        <v>5</v>
      </c>
      <c r="P119" t="s">
        <v>1049</v>
      </c>
    </row>
    <row r="120" spans="1:16" x14ac:dyDescent="0.3">
      <c r="A120" t="s">
        <v>148</v>
      </c>
      <c r="B120" t="s">
        <v>21</v>
      </c>
      <c r="C120" t="s">
        <v>17</v>
      </c>
      <c r="D120" s="1">
        <v>45937</v>
      </c>
      <c r="E120" s="1">
        <v>45940</v>
      </c>
      <c r="F120" s="1">
        <v>45942</v>
      </c>
      <c r="G120" s="1">
        <v>45947</v>
      </c>
      <c r="H120" t="s">
        <v>18</v>
      </c>
      <c r="I120" t="s">
        <v>19</v>
      </c>
      <c r="J120" s="1">
        <v>45965</v>
      </c>
      <c r="K120">
        <v>3</v>
      </c>
      <c r="L120">
        <v>2</v>
      </c>
      <c r="M120">
        <v>5</v>
      </c>
      <c r="N120">
        <v>5</v>
      </c>
      <c r="O120">
        <v>10</v>
      </c>
      <c r="P120" t="s">
        <v>1049</v>
      </c>
    </row>
    <row r="121" spans="1:16" x14ac:dyDescent="0.3">
      <c r="A121" t="s">
        <v>149</v>
      </c>
      <c r="B121" t="s">
        <v>21</v>
      </c>
      <c r="C121" t="s">
        <v>24</v>
      </c>
      <c r="D121" s="1">
        <v>45941</v>
      </c>
      <c r="E121" s="1"/>
      <c r="F121" s="1"/>
      <c r="G121" s="1"/>
      <c r="H121" t="s">
        <v>25</v>
      </c>
      <c r="I121" t="s">
        <v>26</v>
      </c>
      <c r="J121" s="1"/>
    </row>
    <row r="122" spans="1:16" x14ac:dyDescent="0.3">
      <c r="A122" t="s">
        <v>150</v>
      </c>
      <c r="B122" t="s">
        <v>21</v>
      </c>
      <c r="C122" t="s">
        <v>17</v>
      </c>
      <c r="D122" s="1">
        <v>45934</v>
      </c>
      <c r="E122" s="1">
        <v>45938</v>
      </c>
      <c r="F122" s="1">
        <v>45943</v>
      </c>
      <c r="G122" s="1">
        <v>45946</v>
      </c>
      <c r="H122" t="s">
        <v>18</v>
      </c>
      <c r="I122" t="s">
        <v>19</v>
      </c>
      <c r="J122" s="1">
        <v>45962</v>
      </c>
      <c r="K122">
        <v>4</v>
      </c>
      <c r="L122">
        <v>5</v>
      </c>
      <c r="M122">
        <v>3</v>
      </c>
      <c r="N122">
        <v>1</v>
      </c>
      <c r="O122">
        <v>12</v>
      </c>
      <c r="P122" t="s">
        <v>1049</v>
      </c>
    </row>
    <row r="123" spans="1:16" x14ac:dyDescent="0.3">
      <c r="A123" t="s">
        <v>151</v>
      </c>
      <c r="B123" t="s">
        <v>21</v>
      </c>
      <c r="C123" t="s">
        <v>32</v>
      </c>
      <c r="D123" s="1">
        <v>45954</v>
      </c>
      <c r="E123" s="1">
        <v>45958</v>
      </c>
      <c r="F123" s="1">
        <v>45961</v>
      </c>
      <c r="G123" s="1">
        <v>45964</v>
      </c>
      <c r="H123" t="s">
        <v>18</v>
      </c>
      <c r="I123" t="s">
        <v>19</v>
      </c>
      <c r="J123" s="1">
        <v>45981</v>
      </c>
      <c r="K123">
        <v>4</v>
      </c>
      <c r="L123">
        <v>3</v>
      </c>
      <c r="M123">
        <v>3</v>
      </c>
      <c r="N123">
        <v>2</v>
      </c>
      <c r="O123">
        <v>10</v>
      </c>
      <c r="P123" t="s">
        <v>1049</v>
      </c>
    </row>
    <row r="124" spans="1:16" x14ac:dyDescent="0.3">
      <c r="A124" t="s">
        <v>152</v>
      </c>
      <c r="B124" t="s">
        <v>23</v>
      </c>
      <c r="C124" t="s">
        <v>32</v>
      </c>
      <c r="D124" s="1">
        <v>45948</v>
      </c>
      <c r="E124" s="1">
        <v>45952</v>
      </c>
      <c r="F124" s="1">
        <v>45957</v>
      </c>
      <c r="G124" s="1">
        <v>45962</v>
      </c>
      <c r="H124" t="s">
        <v>18</v>
      </c>
      <c r="I124" t="s">
        <v>19</v>
      </c>
      <c r="J124" s="1">
        <v>45974</v>
      </c>
      <c r="K124">
        <v>4</v>
      </c>
      <c r="L124">
        <v>5</v>
      </c>
      <c r="M124">
        <v>5</v>
      </c>
      <c r="N124">
        <v>6</v>
      </c>
      <c r="O124">
        <v>14</v>
      </c>
      <c r="P124" t="s">
        <v>1049</v>
      </c>
    </row>
    <row r="125" spans="1:16" x14ac:dyDescent="0.3">
      <c r="A125" t="s">
        <v>153</v>
      </c>
      <c r="B125" t="s">
        <v>23</v>
      </c>
      <c r="C125" t="s">
        <v>32</v>
      </c>
      <c r="D125" s="1">
        <v>45961</v>
      </c>
      <c r="E125" s="1">
        <v>45966</v>
      </c>
      <c r="F125" s="1">
        <v>45969</v>
      </c>
      <c r="G125" s="1">
        <v>45975</v>
      </c>
      <c r="H125" t="s">
        <v>18</v>
      </c>
      <c r="I125" t="s">
        <v>19</v>
      </c>
      <c r="J125" s="1">
        <v>45996</v>
      </c>
      <c r="K125">
        <v>5</v>
      </c>
      <c r="L125">
        <v>3</v>
      </c>
      <c r="M125">
        <v>6</v>
      </c>
      <c r="N125">
        <v>5</v>
      </c>
      <c r="O125">
        <v>14</v>
      </c>
      <c r="P125" t="s">
        <v>1049</v>
      </c>
    </row>
    <row r="126" spans="1:16" x14ac:dyDescent="0.3">
      <c r="A126" t="s">
        <v>154</v>
      </c>
      <c r="B126" t="s">
        <v>23</v>
      </c>
      <c r="C126" t="s">
        <v>17</v>
      </c>
      <c r="D126" s="1">
        <v>45955</v>
      </c>
      <c r="E126" s="1">
        <v>45959</v>
      </c>
      <c r="F126" s="1">
        <v>45961</v>
      </c>
      <c r="G126" s="1">
        <v>45967</v>
      </c>
      <c r="H126" t="s">
        <v>18</v>
      </c>
      <c r="I126" t="s">
        <v>19</v>
      </c>
      <c r="J126" s="1">
        <v>45985</v>
      </c>
      <c r="K126">
        <v>4</v>
      </c>
      <c r="L126">
        <v>2</v>
      </c>
      <c r="M126">
        <v>6</v>
      </c>
      <c r="N126">
        <v>4</v>
      </c>
      <c r="O126">
        <v>12</v>
      </c>
      <c r="P126" t="s">
        <v>1049</v>
      </c>
    </row>
    <row r="127" spans="1:16" x14ac:dyDescent="0.3">
      <c r="A127" t="s">
        <v>155</v>
      </c>
      <c r="B127" t="s">
        <v>23</v>
      </c>
      <c r="C127" t="s">
        <v>32</v>
      </c>
      <c r="D127" s="1">
        <v>45953</v>
      </c>
      <c r="E127" s="1">
        <v>45957</v>
      </c>
      <c r="F127" s="1">
        <v>45958</v>
      </c>
      <c r="G127" s="1">
        <v>45965</v>
      </c>
      <c r="H127" t="s">
        <v>18</v>
      </c>
      <c r="I127" t="s">
        <v>19</v>
      </c>
      <c r="J127" s="1">
        <v>45978</v>
      </c>
      <c r="K127">
        <v>4</v>
      </c>
      <c r="L127">
        <v>1</v>
      </c>
      <c r="M127">
        <v>7</v>
      </c>
      <c r="N127">
        <v>0</v>
      </c>
      <c r="O127">
        <v>12</v>
      </c>
      <c r="P127" t="s">
        <v>1049</v>
      </c>
    </row>
    <row r="128" spans="1:16" x14ac:dyDescent="0.3">
      <c r="A128" t="s">
        <v>156</v>
      </c>
      <c r="B128" t="s">
        <v>21</v>
      </c>
      <c r="C128" t="s">
        <v>17</v>
      </c>
      <c r="D128" s="1">
        <v>45936</v>
      </c>
      <c r="E128" s="1">
        <v>45939</v>
      </c>
      <c r="F128" s="1">
        <v>45944</v>
      </c>
      <c r="G128" s="1">
        <v>45949</v>
      </c>
      <c r="H128" t="s">
        <v>18</v>
      </c>
      <c r="I128" t="s">
        <v>19</v>
      </c>
      <c r="J128" s="1">
        <v>45959</v>
      </c>
      <c r="K128">
        <v>3</v>
      </c>
      <c r="L128">
        <v>5</v>
      </c>
      <c r="M128">
        <v>5</v>
      </c>
      <c r="N128">
        <v>4</v>
      </c>
      <c r="O128">
        <v>13</v>
      </c>
      <c r="P128" t="s">
        <v>1049</v>
      </c>
    </row>
    <row r="129" spans="1:16" x14ac:dyDescent="0.3">
      <c r="A129" t="s">
        <v>157</v>
      </c>
      <c r="B129" t="s">
        <v>34</v>
      </c>
      <c r="C129" t="s">
        <v>24</v>
      </c>
      <c r="D129" s="1">
        <v>45937</v>
      </c>
      <c r="E129" s="1"/>
      <c r="F129" s="1"/>
      <c r="G129" s="1"/>
      <c r="H129" t="s">
        <v>25</v>
      </c>
      <c r="I129" t="s">
        <v>65</v>
      </c>
      <c r="J129" s="1"/>
    </row>
    <row r="130" spans="1:16" x14ac:dyDescent="0.3">
      <c r="A130" t="s">
        <v>158</v>
      </c>
      <c r="B130" t="s">
        <v>16</v>
      </c>
      <c r="C130" t="s">
        <v>32</v>
      </c>
      <c r="D130" s="1">
        <v>45937</v>
      </c>
      <c r="E130" s="1">
        <v>45939</v>
      </c>
      <c r="F130" s="1">
        <v>45944</v>
      </c>
      <c r="G130" s="1">
        <v>45949</v>
      </c>
      <c r="H130" t="s">
        <v>18</v>
      </c>
      <c r="I130" t="s">
        <v>19</v>
      </c>
      <c r="J130" s="1">
        <v>45960</v>
      </c>
      <c r="K130">
        <v>2</v>
      </c>
      <c r="L130">
        <v>5</v>
      </c>
      <c r="M130">
        <v>5</v>
      </c>
      <c r="N130">
        <v>4</v>
      </c>
      <c r="O130">
        <v>12</v>
      </c>
      <c r="P130" t="s">
        <v>1049</v>
      </c>
    </row>
    <row r="131" spans="1:16" x14ac:dyDescent="0.3">
      <c r="A131" t="s">
        <v>159</v>
      </c>
      <c r="B131" t="s">
        <v>21</v>
      </c>
      <c r="C131" t="s">
        <v>24</v>
      </c>
      <c r="D131" s="1">
        <v>45954</v>
      </c>
      <c r="E131" s="1"/>
      <c r="F131" s="1"/>
      <c r="G131" s="1"/>
      <c r="H131" t="s">
        <v>25</v>
      </c>
      <c r="I131" t="s">
        <v>65</v>
      </c>
      <c r="J131" s="1"/>
    </row>
    <row r="132" spans="1:16" x14ac:dyDescent="0.3">
      <c r="A132" t="s">
        <v>160</v>
      </c>
      <c r="B132" t="s">
        <v>16</v>
      </c>
      <c r="C132" t="s">
        <v>24</v>
      </c>
      <c r="D132" s="1">
        <v>45946</v>
      </c>
      <c r="E132" s="1"/>
      <c r="F132" s="1"/>
      <c r="G132" s="1"/>
      <c r="H132" t="s">
        <v>25</v>
      </c>
      <c r="I132" t="s">
        <v>103</v>
      </c>
      <c r="J132" s="1"/>
    </row>
    <row r="133" spans="1:16" x14ac:dyDescent="0.3">
      <c r="A133" t="s">
        <v>161</v>
      </c>
      <c r="B133" t="s">
        <v>34</v>
      </c>
      <c r="C133" t="s">
        <v>32</v>
      </c>
      <c r="D133" s="1">
        <v>45939</v>
      </c>
      <c r="E133" s="1">
        <v>45944</v>
      </c>
      <c r="F133" s="1">
        <v>45946</v>
      </c>
      <c r="G133" s="1">
        <v>45953</v>
      </c>
      <c r="H133" t="s">
        <v>18</v>
      </c>
      <c r="I133" t="s">
        <v>19</v>
      </c>
      <c r="J133" s="1">
        <v>45975</v>
      </c>
      <c r="K133">
        <v>5</v>
      </c>
      <c r="L133">
        <v>2</v>
      </c>
      <c r="M133">
        <v>7</v>
      </c>
      <c r="N133">
        <v>4</v>
      </c>
      <c r="O133">
        <v>14</v>
      </c>
      <c r="P133" t="s">
        <v>1049</v>
      </c>
    </row>
    <row r="134" spans="1:16" x14ac:dyDescent="0.3">
      <c r="A134" t="s">
        <v>162</v>
      </c>
      <c r="B134" t="s">
        <v>23</v>
      </c>
      <c r="C134" t="s">
        <v>24</v>
      </c>
      <c r="D134" s="1">
        <v>45954</v>
      </c>
      <c r="E134" s="1"/>
      <c r="F134" s="1"/>
      <c r="G134" s="1"/>
      <c r="H134" t="s">
        <v>25</v>
      </c>
      <c r="I134" t="s">
        <v>65</v>
      </c>
      <c r="J134" s="1"/>
    </row>
    <row r="135" spans="1:16" x14ac:dyDescent="0.3">
      <c r="A135" t="s">
        <v>163</v>
      </c>
      <c r="B135" t="s">
        <v>34</v>
      </c>
      <c r="C135" t="s">
        <v>17</v>
      </c>
      <c r="D135" s="1">
        <v>45949</v>
      </c>
      <c r="E135" s="1">
        <v>45950</v>
      </c>
      <c r="F135" s="1">
        <v>45952</v>
      </c>
      <c r="G135" s="1">
        <v>45957</v>
      </c>
      <c r="H135" t="s">
        <v>18</v>
      </c>
      <c r="I135" t="s">
        <v>19</v>
      </c>
      <c r="J135" s="1">
        <v>45981</v>
      </c>
      <c r="K135">
        <v>1</v>
      </c>
      <c r="L135">
        <v>2</v>
      </c>
      <c r="M135">
        <v>5</v>
      </c>
      <c r="N135">
        <v>2</v>
      </c>
      <c r="O135">
        <v>8</v>
      </c>
      <c r="P135" t="s">
        <v>1049</v>
      </c>
    </row>
    <row r="136" spans="1:16" x14ac:dyDescent="0.3">
      <c r="A136" t="s">
        <v>164</v>
      </c>
      <c r="B136" t="s">
        <v>21</v>
      </c>
      <c r="C136" t="s">
        <v>24</v>
      </c>
      <c r="D136" s="1">
        <v>45955</v>
      </c>
      <c r="E136" s="1"/>
      <c r="F136" s="1"/>
      <c r="G136" s="1"/>
      <c r="H136" t="s">
        <v>25</v>
      </c>
      <c r="I136" t="s">
        <v>28</v>
      </c>
      <c r="J136" s="1"/>
    </row>
    <row r="137" spans="1:16" x14ac:dyDescent="0.3">
      <c r="A137" t="s">
        <v>165</v>
      </c>
      <c r="B137" t="s">
        <v>23</v>
      </c>
      <c r="C137" t="s">
        <v>17</v>
      </c>
      <c r="D137" s="1">
        <v>45947</v>
      </c>
      <c r="E137" s="1">
        <v>45950</v>
      </c>
      <c r="F137" s="1">
        <v>45951</v>
      </c>
      <c r="G137" s="1">
        <v>45956</v>
      </c>
      <c r="H137" t="s">
        <v>18</v>
      </c>
      <c r="I137" t="s">
        <v>19</v>
      </c>
      <c r="J137" s="1">
        <v>45979</v>
      </c>
      <c r="K137">
        <v>3</v>
      </c>
      <c r="L137">
        <v>1</v>
      </c>
      <c r="M137">
        <v>5</v>
      </c>
      <c r="N137">
        <v>3</v>
      </c>
      <c r="O137">
        <v>9</v>
      </c>
      <c r="P137" t="s">
        <v>1049</v>
      </c>
    </row>
    <row r="138" spans="1:16" x14ac:dyDescent="0.3">
      <c r="A138" t="s">
        <v>166</v>
      </c>
      <c r="B138" t="s">
        <v>21</v>
      </c>
      <c r="C138" t="s">
        <v>17</v>
      </c>
      <c r="D138" s="1">
        <v>45950</v>
      </c>
      <c r="E138" s="1">
        <v>45954</v>
      </c>
      <c r="F138" s="1">
        <v>45959</v>
      </c>
      <c r="G138" s="1">
        <v>45966</v>
      </c>
      <c r="H138" t="s">
        <v>18</v>
      </c>
      <c r="I138" t="s">
        <v>19</v>
      </c>
      <c r="J138" s="1">
        <v>45981</v>
      </c>
      <c r="K138">
        <v>4</v>
      </c>
      <c r="L138">
        <v>5</v>
      </c>
      <c r="M138">
        <v>7</v>
      </c>
      <c r="N138">
        <v>0</v>
      </c>
      <c r="O138">
        <v>16</v>
      </c>
      <c r="P138" t="s">
        <v>1049</v>
      </c>
    </row>
    <row r="139" spans="1:16" x14ac:dyDescent="0.3">
      <c r="A139" t="s">
        <v>167</v>
      </c>
      <c r="B139" t="s">
        <v>23</v>
      </c>
      <c r="C139" t="s">
        <v>17</v>
      </c>
      <c r="D139" s="1">
        <v>45940</v>
      </c>
      <c r="E139" s="1">
        <v>45941</v>
      </c>
      <c r="F139" s="1">
        <v>45943</v>
      </c>
      <c r="G139" s="1">
        <v>45948</v>
      </c>
      <c r="H139" t="s">
        <v>25</v>
      </c>
      <c r="I139" t="s">
        <v>103</v>
      </c>
      <c r="J139" s="1"/>
      <c r="K139">
        <v>1</v>
      </c>
      <c r="L139">
        <v>2</v>
      </c>
      <c r="M139">
        <v>5</v>
      </c>
      <c r="O139">
        <v>8</v>
      </c>
    </row>
    <row r="140" spans="1:16" x14ac:dyDescent="0.3">
      <c r="A140" t="s">
        <v>168</v>
      </c>
      <c r="B140" t="s">
        <v>16</v>
      </c>
      <c r="C140" t="s">
        <v>24</v>
      </c>
      <c r="D140" s="1">
        <v>45934</v>
      </c>
      <c r="E140" s="1"/>
      <c r="F140" s="1"/>
      <c r="G140" s="1"/>
      <c r="H140" t="s">
        <v>25</v>
      </c>
      <c r="I140" t="s">
        <v>28</v>
      </c>
      <c r="J140" s="1"/>
    </row>
    <row r="141" spans="1:16" x14ac:dyDescent="0.3">
      <c r="A141" t="s">
        <v>169</v>
      </c>
      <c r="B141" t="s">
        <v>16</v>
      </c>
      <c r="C141" t="s">
        <v>17</v>
      </c>
      <c r="D141" s="1">
        <v>45957</v>
      </c>
      <c r="E141" s="1">
        <v>45960</v>
      </c>
      <c r="F141" s="1">
        <v>45962</v>
      </c>
      <c r="G141" s="1">
        <v>45967</v>
      </c>
      <c r="H141" t="s">
        <v>18</v>
      </c>
      <c r="I141" t="s">
        <v>19</v>
      </c>
      <c r="J141" s="1">
        <v>45990</v>
      </c>
      <c r="K141">
        <v>3</v>
      </c>
      <c r="L141">
        <v>2</v>
      </c>
      <c r="M141">
        <v>5</v>
      </c>
      <c r="N141">
        <v>5</v>
      </c>
      <c r="O141">
        <v>10</v>
      </c>
      <c r="P141" t="s">
        <v>1049</v>
      </c>
    </row>
    <row r="142" spans="1:16" x14ac:dyDescent="0.3">
      <c r="A142" t="s">
        <v>170</v>
      </c>
      <c r="B142" t="s">
        <v>16</v>
      </c>
      <c r="C142" t="s">
        <v>17</v>
      </c>
      <c r="D142" s="1">
        <v>45937</v>
      </c>
      <c r="E142" s="1">
        <v>45942</v>
      </c>
      <c r="F142" s="1">
        <v>45943</v>
      </c>
      <c r="G142" s="1">
        <v>45946</v>
      </c>
      <c r="H142" t="s">
        <v>18</v>
      </c>
      <c r="I142" t="s">
        <v>19</v>
      </c>
      <c r="J142" s="1">
        <v>45971</v>
      </c>
      <c r="K142">
        <v>5</v>
      </c>
      <c r="L142">
        <v>1</v>
      </c>
      <c r="M142">
        <v>3</v>
      </c>
      <c r="N142">
        <v>0</v>
      </c>
      <c r="O142">
        <v>9</v>
      </c>
      <c r="P142" t="s">
        <v>1049</v>
      </c>
    </row>
    <row r="143" spans="1:16" x14ac:dyDescent="0.3">
      <c r="A143" t="s">
        <v>171</v>
      </c>
      <c r="B143" t="s">
        <v>34</v>
      </c>
      <c r="C143" t="s">
        <v>24</v>
      </c>
      <c r="D143" s="1">
        <v>45940</v>
      </c>
      <c r="E143" s="1"/>
      <c r="F143" s="1"/>
      <c r="G143" s="1"/>
      <c r="H143" t="s">
        <v>25</v>
      </c>
      <c r="I143" t="s">
        <v>26</v>
      </c>
      <c r="J143" s="1"/>
    </row>
    <row r="144" spans="1:16" x14ac:dyDescent="0.3">
      <c r="A144" t="s">
        <v>172</v>
      </c>
      <c r="B144" t="s">
        <v>21</v>
      </c>
      <c r="C144" t="s">
        <v>32</v>
      </c>
      <c r="D144" s="1">
        <v>45938</v>
      </c>
      <c r="E144" s="1">
        <v>45942</v>
      </c>
      <c r="F144" s="1">
        <v>45943</v>
      </c>
      <c r="G144" s="1">
        <v>45945</v>
      </c>
      <c r="H144" t="s">
        <v>18</v>
      </c>
      <c r="I144" t="s">
        <v>19</v>
      </c>
      <c r="J144" s="1">
        <v>45967</v>
      </c>
      <c r="K144">
        <v>4</v>
      </c>
      <c r="L144">
        <v>1</v>
      </c>
      <c r="M144">
        <v>2</v>
      </c>
      <c r="N144">
        <v>4</v>
      </c>
      <c r="O144">
        <v>7</v>
      </c>
      <c r="P144" t="s">
        <v>1049</v>
      </c>
    </row>
    <row r="145" spans="1:16" x14ac:dyDescent="0.3">
      <c r="A145" t="s">
        <v>173</v>
      </c>
      <c r="B145" t="s">
        <v>34</v>
      </c>
      <c r="C145" t="s">
        <v>32</v>
      </c>
      <c r="D145" s="1">
        <v>45942</v>
      </c>
      <c r="E145" s="1">
        <v>45947</v>
      </c>
      <c r="F145" s="1">
        <v>45951</v>
      </c>
      <c r="G145" s="1">
        <v>45957</v>
      </c>
      <c r="H145" t="s">
        <v>18</v>
      </c>
      <c r="I145" t="s">
        <v>19</v>
      </c>
      <c r="J145" s="1">
        <v>45978</v>
      </c>
      <c r="K145">
        <v>5</v>
      </c>
      <c r="L145">
        <v>4</v>
      </c>
      <c r="M145">
        <v>6</v>
      </c>
      <c r="N145">
        <v>1</v>
      </c>
      <c r="O145">
        <v>15</v>
      </c>
      <c r="P145" t="s">
        <v>1049</v>
      </c>
    </row>
    <row r="146" spans="1:16" x14ac:dyDescent="0.3">
      <c r="A146" t="s">
        <v>174</v>
      </c>
      <c r="B146" t="s">
        <v>16</v>
      </c>
      <c r="C146" t="s">
        <v>32</v>
      </c>
      <c r="D146" s="1">
        <v>45936</v>
      </c>
      <c r="E146" s="1">
        <v>45939</v>
      </c>
      <c r="F146" s="1">
        <v>45942</v>
      </c>
      <c r="G146" s="1">
        <v>45944</v>
      </c>
      <c r="H146" t="s">
        <v>18</v>
      </c>
      <c r="I146" t="s">
        <v>19</v>
      </c>
      <c r="J146" s="1">
        <v>45971</v>
      </c>
      <c r="K146">
        <v>3</v>
      </c>
      <c r="L146">
        <v>3</v>
      </c>
      <c r="M146">
        <v>2</v>
      </c>
      <c r="N146">
        <v>6</v>
      </c>
      <c r="O146">
        <v>8</v>
      </c>
      <c r="P146" t="s">
        <v>1049</v>
      </c>
    </row>
    <row r="147" spans="1:16" x14ac:dyDescent="0.3">
      <c r="A147" t="s">
        <v>175</v>
      </c>
      <c r="B147" t="s">
        <v>21</v>
      </c>
      <c r="C147" t="s">
        <v>17</v>
      </c>
      <c r="D147" s="1">
        <v>45940</v>
      </c>
      <c r="E147" s="1">
        <v>45941</v>
      </c>
      <c r="F147" s="1">
        <v>45945</v>
      </c>
      <c r="G147" s="1">
        <v>45948</v>
      </c>
      <c r="H147" t="s">
        <v>18</v>
      </c>
      <c r="I147" t="s">
        <v>19</v>
      </c>
      <c r="J147" s="1">
        <v>45970</v>
      </c>
      <c r="K147">
        <v>1</v>
      </c>
      <c r="L147">
        <v>4</v>
      </c>
      <c r="M147">
        <v>3</v>
      </c>
      <c r="N147">
        <v>1</v>
      </c>
      <c r="O147">
        <v>8</v>
      </c>
      <c r="P147" t="s">
        <v>1049</v>
      </c>
    </row>
    <row r="148" spans="1:16" x14ac:dyDescent="0.3">
      <c r="A148" t="s">
        <v>176</v>
      </c>
      <c r="B148" t="s">
        <v>16</v>
      </c>
      <c r="C148" t="s">
        <v>32</v>
      </c>
      <c r="D148" s="1">
        <v>45931</v>
      </c>
      <c r="E148" s="1">
        <v>45933</v>
      </c>
      <c r="F148" s="1">
        <v>45934</v>
      </c>
      <c r="G148" s="1">
        <v>45938</v>
      </c>
      <c r="H148" t="s">
        <v>18</v>
      </c>
      <c r="I148" t="s">
        <v>19</v>
      </c>
      <c r="J148" s="1">
        <v>45951</v>
      </c>
      <c r="K148">
        <v>2</v>
      </c>
      <c r="L148">
        <v>1</v>
      </c>
      <c r="M148">
        <v>4</v>
      </c>
      <c r="N148">
        <v>6</v>
      </c>
      <c r="O148">
        <v>7</v>
      </c>
      <c r="P148" t="s">
        <v>1049</v>
      </c>
    </row>
    <row r="149" spans="1:16" x14ac:dyDescent="0.3">
      <c r="A149" t="s">
        <v>177</v>
      </c>
      <c r="B149" t="s">
        <v>34</v>
      </c>
      <c r="C149" t="s">
        <v>24</v>
      </c>
      <c r="D149" s="1">
        <v>45953</v>
      </c>
      <c r="E149" s="1"/>
      <c r="F149" s="1"/>
      <c r="G149" s="1"/>
      <c r="H149" t="s">
        <v>25</v>
      </c>
      <c r="I149" t="s">
        <v>35</v>
      </c>
      <c r="J149" s="1"/>
    </row>
    <row r="150" spans="1:16" x14ac:dyDescent="0.3">
      <c r="A150" t="s">
        <v>178</v>
      </c>
      <c r="B150" t="s">
        <v>34</v>
      </c>
      <c r="C150" t="s">
        <v>32</v>
      </c>
      <c r="D150" s="1">
        <v>45948</v>
      </c>
      <c r="E150" s="1">
        <v>45952</v>
      </c>
      <c r="F150" s="1">
        <v>45954</v>
      </c>
      <c r="G150" s="1">
        <v>45956</v>
      </c>
      <c r="H150" t="s">
        <v>18</v>
      </c>
      <c r="I150" t="s">
        <v>19</v>
      </c>
      <c r="J150" s="1">
        <v>45981</v>
      </c>
      <c r="K150">
        <v>4</v>
      </c>
      <c r="L150">
        <v>2</v>
      </c>
      <c r="M150">
        <v>2</v>
      </c>
      <c r="N150">
        <v>5</v>
      </c>
      <c r="O150">
        <v>8</v>
      </c>
      <c r="P150" t="s">
        <v>1049</v>
      </c>
    </row>
    <row r="151" spans="1:16" x14ac:dyDescent="0.3">
      <c r="A151" t="s">
        <v>179</v>
      </c>
      <c r="B151" t="s">
        <v>34</v>
      </c>
      <c r="C151" t="s">
        <v>17</v>
      </c>
      <c r="D151" s="1">
        <v>45935</v>
      </c>
      <c r="E151" s="1">
        <v>45940</v>
      </c>
      <c r="F151" s="1">
        <v>45941</v>
      </c>
      <c r="G151" s="1">
        <v>45945</v>
      </c>
      <c r="H151" t="s">
        <v>18</v>
      </c>
      <c r="I151" t="s">
        <v>19</v>
      </c>
      <c r="J151" s="1">
        <v>45973</v>
      </c>
      <c r="K151">
        <v>5</v>
      </c>
      <c r="L151">
        <v>1</v>
      </c>
      <c r="M151">
        <v>4</v>
      </c>
      <c r="N151">
        <v>4</v>
      </c>
      <c r="O151">
        <v>10</v>
      </c>
      <c r="P151" t="s">
        <v>1049</v>
      </c>
    </row>
    <row r="152" spans="1:16" x14ac:dyDescent="0.3">
      <c r="A152" t="s">
        <v>180</v>
      </c>
      <c r="B152" t="s">
        <v>16</v>
      </c>
      <c r="C152" t="s">
        <v>32</v>
      </c>
      <c r="D152" s="1">
        <v>45939</v>
      </c>
      <c r="E152" s="1">
        <v>45940</v>
      </c>
      <c r="F152" s="1">
        <v>45945</v>
      </c>
      <c r="G152" s="1">
        <v>45948</v>
      </c>
      <c r="H152" t="s">
        <v>18</v>
      </c>
      <c r="I152" t="s">
        <v>19</v>
      </c>
      <c r="J152" s="1">
        <v>45978</v>
      </c>
      <c r="K152">
        <v>1</v>
      </c>
      <c r="L152">
        <v>5</v>
      </c>
      <c r="M152">
        <v>3</v>
      </c>
      <c r="N152">
        <v>2</v>
      </c>
      <c r="O152">
        <v>9</v>
      </c>
      <c r="P152" t="s">
        <v>1049</v>
      </c>
    </row>
    <row r="153" spans="1:16" x14ac:dyDescent="0.3">
      <c r="A153" t="s">
        <v>181</v>
      </c>
      <c r="B153" t="s">
        <v>21</v>
      </c>
      <c r="C153" t="s">
        <v>24</v>
      </c>
      <c r="D153" s="1">
        <v>45932</v>
      </c>
      <c r="E153" s="1"/>
      <c r="F153" s="1"/>
      <c r="G153" s="1"/>
      <c r="H153" t="s">
        <v>25</v>
      </c>
      <c r="I153" t="s">
        <v>26</v>
      </c>
      <c r="J153" s="1"/>
    </row>
    <row r="154" spans="1:16" x14ac:dyDescent="0.3">
      <c r="A154" t="s">
        <v>182</v>
      </c>
      <c r="B154" t="s">
        <v>21</v>
      </c>
      <c r="C154" t="s">
        <v>24</v>
      </c>
      <c r="D154" s="1">
        <v>45932</v>
      </c>
      <c r="E154" s="1"/>
      <c r="F154" s="1"/>
      <c r="G154" s="1"/>
      <c r="H154" t="s">
        <v>25</v>
      </c>
      <c r="I154" t="s">
        <v>35</v>
      </c>
      <c r="J154" s="1"/>
    </row>
    <row r="155" spans="1:16" x14ac:dyDescent="0.3">
      <c r="A155" t="s">
        <v>183</v>
      </c>
      <c r="B155" t="s">
        <v>16</v>
      </c>
      <c r="C155" t="s">
        <v>17</v>
      </c>
      <c r="D155" s="1">
        <v>45948</v>
      </c>
      <c r="E155" s="1">
        <v>45949</v>
      </c>
      <c r="F155" s="1">
        <v>45951</v>
      </c>
      <c r="G155" s="1">
        <v>45957</v>
      </c>
      <c r="H155" t="s">
        <v>18</v>
      </c>
      <c r="I155" t="s">
        <v>19</v>
      </c>
      <c r="J155" s="1">
        <v>45974</v>
      </c>
      <c r="K155">
        <v>1</v>
      </c>
      <c r="L155">
        <v>2</v>
      </c>
      <c r="M155">
        <v>6</v>
      </c>
      <c r="N155">
        <v>7</v>
      </c>
      <c r="O155">
        <v>9</v>
      </c>
      <c r="P155" t="s">
        <v>1041</v>
      </c>
    </row>
    <row r="156" spans="1:16" x14ac:dyDescent="0.3">
      <c r="A156" t="s">
        <v>184</v>
      </c>
      <c r="B156" t="s">
        <v>21</v>
      </c>
      <c r="C156" t="s">
        <v>24</v>
      </c>
      <c r="D156" s="1">
        <v>45940</v>
      </c>
      <c r="E156" s="1"/>
      <c r="F156" s="1"/>
      <c r="G156" s="1"/>
      <c r="H156" t="s">
        <v>25</v>
      </c>
      <c r="I156" t="s">
        <v>26</v>
      </c>
      <c r="J156" s="1"/>
    </row>
    <row r="157" spans="1:16" x14ac:dyDescent="0.3">
      <c r="A157" t="s">
        <v>185</v>
      </c>
      <c r="B157" t="s">
        <v>16</v>
      </c>
      <c r="C157" t="s">
        <v>32</v>
      </c>
      <c r="D157" s="1">
        <v>45953</v>
      </c>
      <c r="E157" s="1">
        <v>45955</v>
      </c>
      <c r="F157" s="1">
        <v>45959</v>
      </c>
      <c r="G157" s="1">
        <v>45963</v>
      </c>
      <c r="H157" t="s">
        <v>18</v>
      </c>
      <c r="I157" t="s">
        <v>19</v>
      </c>
      <c r="J157" s="1">
        <v>45978</v>
      </c>
      <c r="K157">
        <v>2</v>
      </c>
      <c r="L157">
        <v>4</v>
      </c>
      <c r="M157">
        <v>4</v>
      </c>
      <c r="N157">
        <v>4</v>
      </c>
      <c r="O157">
        <v>10</v>
      </c>
      <c r="P157" t="s">
        <v>1049</v>
      </c>
    </row>
    <row r="158" spans="1:16" x14ac:dyDescent="0.3">
      <c r="A158" t="s">
        <v>186</v>
      </c>
      <c r="B158" t="s">
        <v>21</v>
      </c>
      <c r="C158" t="s">
        <v>24</v>
      </c>
      <c r="D158" s="1">
        <v>45961</v>
      </c>
      <c r="E158" s="1"/>
      <c r="F158" s="1"/>
      <c r="G158" s="1"/>
      <c r="H158" t="s">
        <v>25</v>
      </c>
      <c r="I158" t="s">
        <v>65</v>
      </c>
      <c r="J158" s="1"/>
    </row>
    <row r="159" spans="1:16" x14ac:dyDescent="0.3">
      <c r="A159" t="s">
        <v>187</v>
      </c>
      <c r="B159" t="s">
        <v>23</v>
      </c>
      <c r="C159" t="s">
        <v>32</v>
      </c>
      <c r="D159" s="1">
        <v>45935</v>
      </c>
      <c r="E159" s="1">
        <v>45938</v>
      </c>
      <c r="F159" s="1">
        <v>45942</v>
      </c>
      <c r="G159" s="1">
        <v>45945</v>
      </c>
      <c r="H159" t="s">
        <v>18</v>
      </c>
      <c r="I159" t="s">
        <v>19</v>
      </c>
      <c r="J159" s="1">
        <v>45969</v>
      </c>
      <c r="K159">
        <v>3</v>
      </c>
      <c r="L159">
        <v>4</v>
      </c>
      <c r="M159">
        <v>3</v>
      </c>
      <c r="N159">
        <v>8</v>
      </c>
      <c r="O159">
        <v>10</v>
      </c>
      <c r="P159" t="s">
        <v>1041</v>
      </c>
    </row>
    <row r="160" spans="1:16" x14ac:dyDescent="0.3">
      <c r="A160" t="s">
        <v>188</v>
      </c>
      <c r="B160" t="s">
        <v>23</v>
      </c>
      <c r="C160" t="s">
        <v>24</v>
      </c>
      <c r="D160" s="1">
        <v>45951</v>
      </c>
      <c r="E160" s="1"/>
      <c r="F160" s="1"/>
      <c r="G160" s="1"/>
      <c r="H160" t="s">
        <v>25</v>
      </c>
      <c r="I160" t="s">
        <v>28</v>
      </c>
      <c r="J160" s="1"/>
    </row>
    <row r="161" spans="1:16" x14ac:dyDescent="0.3">
      <c r="A161" t="s">
        <v>189</v>
      </c>
      <c r="B161" t="s">
        <v>34</v>
      </c>
      <c r="C161" t="s">
        <v>32</v>
      </c>
      <c r="D161" s="1">
        <v>45958</v>
      </c>
      <c r="E161" s="1">
        <v>45960</v>
      </c>
      <c r="F161" s="1">
        <v>45964</v>
      </c>
      <c r="G161" s="1">
        <v>45969</v>
      </c>
      <c r="H161" t="s">
        <v>18</v>
      </c>
      <c r="I161" t="s">
        <v>19</v>
      </c>
      <c r="J161" s="1">
        <v>45981</v>
      </c>
      <c r="K161">
        <v>2</v>
      </c>
      <c r="L161">
        <v>4</v>
      </c>
      <c r="M161">
        <v>5</v>
      </c>
      <c r="N161">
        <v>5</v>
      </c>
      <c r="O161">
        <v>11</v>
      </c>
      <c r="P161" t="s">
        <v>1049</v>
      </c>
    </row>
    <row r="162" spans="1:16" x14ac:dyDescent="0.3">
      <c r="A162" t="s">
        <v>190</v>
      </c>
      <c r="B162" t="s">
        <v>23</v>
      </c>
      <c r="C162" t="s">
        <v>17</v>
      </c>
      <c r="D162" s="1">
        <v>45955</v>
      </c>
      <c r="E162" s="1">
        <v>45957</v>
      </c>
      <c r="F162" s="1">
        <v>45959</v>
      </c>
      <c r="G162" s="1">
        <v>45965</v>
      </c>
      <c r="H162" t="s">
        <v>18</v>
      </c>
      <c r="I162" t="s">
        <v>19</v>
      </c>
      <c r="J162" s="1">
        <v>45976</v>
      </c>
      <c r="K162">
        <v>2</v>
      </c>
      <c r="L162">
        <v>2</v>
      </c>
      <c r="M162">
        <v>6</v>
      </c>
      <c r="N162">
        <v>3</v>
      </c>
      <c r="O162">
        <v>10</v>
      </c>
      <c r="P162" t="s">
        <v>1049</v>
      </c>
    </row>
    <row r="163" spans="1:16" x14ac:dyDescent="0.3">
      <c r="A163" t="s">
        <v>191</v>
      </c>
      <c r="B163" t="s">
        <v>23</v>
      </c>
      <c r="C163" t="s">
        <v>17</v>
      </c>
      <c r="D163" s="1">
        <v>45946</v>
      </c>
      <c r="E163" s="1">
        <v>45949</v>
      </c>
      <c r="F163" s="1">
        <v>45952</v>
      </c>
      <c r="G163" s="1">
        <v>45959</v>
      </c>
      <c r="H163" t="s">
        <v>18</v>
      </c>
      <c r="I163" t="s">
        <v>19</v>
      </c>
      <c r="J163" s="1">
        <v>45978</v>
      </c>
      <c r="K163">
        <v>3</v>
      </c>
      <c r="L163">
        <v>3</v>
      </c>
      <c r="M163">
        <v>7</v>
      </c>
      <c r="N163">
        <v>2</v>
      </c>
      <c r="O163">
        <v>13</v>
      </c>
      <c r="P163" t="s">
        <v>1049</v>
      </c>
    </row>
    <row r="164" spans="1:16" x14ac:dyDescent="0.3">
      <c r="A164" t="s">
        <v>192</v>
      </c>
      <c r="B164" t="s">
        <v>23</v>
      </c>
      <c r="C164" t="s">
        <v>32</v>
      </c>
      <c r="D164" s="1">
        <v>45934</v>
      </c>
      <c r="E164" s="1">
        <v>45937</v>
      </c>
      <c r="F164" s="1">
        <v>45940</v>
      </c>
      <c r="G164" s="1">
        <v>45945</v>
      </c>
      <c r="H164" t="s">
        <v>18</v>
      </c>
      <c r="I164" t="s">
        <v>19</v>
      </c>
      <c r="J164" s="1">
        <v>45955</v>
      </c>
      <c r="K164">
        <v>3</v>
      </c>
      <c r="L164">
        <v>3</v>
      </c>
      <c r="M164">
        <v>5</v>
      </c>
      <c r="N164">
        <v>7</v>
      </c>
      <c r="O164">
        <v>11</v>
      </c>
      <c r="P164" t="s">
        <v>1041</v>
      </c>
    </row>
    <row r="165" spans="1:16" x14ac:dyDescent="0.3">
      <c r="A165" t="s">
        <v>193</v>
      </c>
      <c r="B165" t="s">
        <v>16</v>
      </c>
      <c r="C165" t="s">
        <v>32</v>
      </c>
      <c r="D165" s="1">
        <v>45958</v>
      </c>
      <c r="E165" s="1">
        <v>45961</v>
      </c>
      <c r="F165" s="1">
        <v>45964</v>
      </c>
      <c r="G165" s="1">
        <v>45970</v>
      </c>
      <c r="H165" t="s">
        <v>18</v>
      </c>
      <c r="I165" t="s">
        <v>19</v>
      </c>
      <c r="J165" s="1">
        <v>45990</v>
      </c>
      <c r="K165">
        <v>3</v>
      </c>
      <c r="L165">
        <v>3</v>
      </c>
      <c r="M165">
        <v>6</v>
      </c>
      <c r="N165">
        <v>5</v>
      </c>
      <c r="O165">
        <v>12</v>
      </c>
      <c r="P165" t="s">
        <v>1049</v>
      </c>
    </row>
    <row r="166" spans="1:16" x14ac:dyDescent="0.3">
      <c r="A166" t="s">
        <v>194</v>
      </c>
      <c r="B166" t="s">
        <v>23</v>
      </c>
      <c r="C166" t="s">
        <v>32</v>
      </c>
      <c r="D166" s="1">
        <v>45931</v>
      </c>
      <c r="E166" s="1">
        <v>45932</v>
      </c>
      <c r="F166" s="1">
        <v>45933</v>
      </c>
      <c r="G166" s="1">
        <v>45939</v>
      </c>
      <c r="H166" t="s">
        <v>18</v>
      </c>
      <c r="I166" t="s">
        <v>19</v>
      </c>
      <c r="J166" s="1">
        <v>45957</v>
      </c>
      <c r="K166">
        <v>1</v>
      </c>
      <c r="L166">
        <v>1</v>
      </c>
      <c r="M166">
        <v>6</v>
      </c>
      <c r="N166">
        <v>6</v>
      </c>
      <c r="O166">
        <v>8</v>
      </c>
      <c r="P166" t="s">
        <v>1049</v>
      </c>
    </row>
    <row r="167" spans="1:16" x14ac:dyDescent="0.3">
      <c r="A167" t="s">
        <v>195</v>
      </c>
      <c r="B167" t="s">
        <v>23</v>
      </c>
      <c r="C167" t="s">
        <v>17</v>
      </c>
      <c r="D167" s="1">
        <v>45949</v>
      </c>
      <c r="E167" s="1">
        <v>45950</v>
      </c>
      <c r="F167" s="1">
        <v>45951</v>
      </c>
      <c r="G167" s="1">
        <v>45953</v>
      </c>
      <c r="H167" t="s">
        <v>18</v>
      </c>
      <c r="I167" t="s">
        <v>19</v>
      </c>
      <c r="J167" s="1">
        <v>45966</v>
      </c>
      <c r="K167">
        <v>1</v>
      </c>
      <c r="L167">
        <v>1</v>
      </c>
      <c r="M167">
        <v>2</v>
      </c>
      <c r="N167">
        <v>2</v>
      </c>
      <c r="O167">
        <v>4</v>
      </c>
      <c r="P167" t="s">
        <v>1049</v>
      </c>
    </row>
    <row r="168" spans="1:16" x14ac:dyDescent="0.3">
      <c r="A168" t="s">
        <v>196</v>
      </c>
      <c r="B168" t="s">
        <v>34</v>
      </c>
      <c r="C168" t="s">
        <v>17</v>
      </c>
      <c r="D168" s="1">
        <v>45940</v>
      </c>
      <c r="E168" s="1">
        <v>45944</v>
      </c>
      <c r="F168" s="1">
        <v>45949</v>
      </c>
      <c r="G168" s="1">
        <v>45955</v>
      </c>
      <c r="H168" t="s">
        <v>25</v>
      </c>
      <c r="I168" t="s">
        <v>35</v>
      </c>
      <c r="J168" s="1"/>
      <c r="K168">
        <v>4</v>
      </c>
      <c r="L168">
        <v>5</v>
      </c>
      <c r="M168">
        <v>6</v>
      </c>
      <c r="O168">
        <v>15</v>
      </c>
    </row>
    <row r="169" spans="1:16" x14ac:dyDescent="0.3">
      <c r="A169" t="s">
        <v>197</v>
      </c>
      <c r="B169" t="s">
        <v>23</v>
      </c>
      <c r="C169" t="s">
        <v>32</v>
      </c>
      <c r="D169" s="1">
        <v>45946</v>
      </c>
      <c r="E169" s="1">
        <v>45950</v>
      </c>
      <c r="F169" s="1">
        <v>45952</v>
      </c>
      <c r="G169" s="1">
        <v>45954</v>
      </c>
      <c r="H169" t="s">
        <v>25</v>
      </c>
      <c r="I169" t="s">
        <v>103</v>
      </c>
      <c r="J169" s="1"/>
      <c r="K169">
        <v>4</v>
      </c>
      <c r="L169">
        <v>2</v>
      </c>
      <c r="M169">
        <v>2</v>
      </c>
      <c r="O169">
        <v>8</v>
      </c>
    </row>
    <row r="170" spans="1:16" x14ac:dyDescent="0.3">
      <c r="A170" t="s">
        <v>198</v>
      </c>
      <c r="B170" t="s">
        <v>23</v>
      </c>
      <c r="C170" t="s">
        <v>17</v>
      </c>
      <c r="D170" s="1">
        <v>45946</v>
      </c>
      <c r="E170" s="1">
        <v>45948</v>
      </c>
      <c r="F170" s="1">
        <v>45953</v>
      </c>
      <c r="G170" s="1">
        <v>45957</v>
      </c>
      <c r="H170" t="s">
        <v>18</v>
      </c>
      <c r="I170" t="s">
        <v>19</v>
      </c>
      <c r="J170" s="1">
        <v>45969</v>
      </c>
      <c r="K170">
        <v>2</v>
      </c>
      <c r="L170">
        <v>5</v>
      </c>
      <c r="M170">
        <v>4</v>
      </c>
      <c r="N170">
        <v>5</v>
      </c>
      <c r="O170">
        <v>11</v>
      </c>
      <c r="P170" t="s">
        <v>1049</v>
      </c>
    </row>
    <row r="171" spans="1:16" x14ac:dyDescent="0.3">
      <c r="A171" t="s">
        <v>199</v>
      </c>
      <c r="B171" t="s">
        <v>21</v>
      </c>
      <c r="C171" t="s">
        <v>32</v>
      </c>
      <c r="D171" s="1">
        <v>45945</v>
      </c>
      <c r="E171" s="1">
        <v>45947</v>
      </c>
      <c r="F171" s="1">
        <v>45948</v>
      </c>
      <c r="G171" s="1">
        <v>45954</v>
      </c>
      <c r="H171" t="s">
        <v>18</v>
      </c>
      <c r="I171" t="s">
        <v>19</v>
      </c>
      <c r="J171" s="1">
        <v>45974</v>
      </c>
      <c r="K171">
        <v>2</v>
      </c>
      <c r="L171">
        <v>1</v>
      </c>
      <c r="M171">
        <v>6</v>
      </c>
      <c r="N171">
        <v>2</v>
      </c>
      <c r="O171">
        <v>9</v>
      </c>
      <c r="P171" t="s">
        <v>1049</v>
      </c>
    </row>
    <row r="172" spans="1:16" x14ac:dyDescent="0.3">
      <c r="A172" t="s">
        <v>200</v>
      </c>
      <c r="B172" t="s">
        <v>34</v>
      </c>
      <c r="C172" t="s">
        <v>24</v>
      </c>
      <c r="D172" s="1">
        <v>45941</v>
      </c>
      <c r="E172" s="1"/>
      <c r="F172" s="1"/>
      <c r="G172" s="1"/>
      <c r="H172" t="s">
        <v>25</v>
      </c>
      <c r="I172" t="s">
        <v>28</v>
      </c>
      <c r="J172" s="1"/>
    </row>
    <row r="173" spans="1:16" x14ac:dyDescent="0.3">
      <c r="A173" t="s">
        <v>201</v>
      </c>
      <c r="B173" t="s">
        <v>34</v>
      </c>
      <c r="C173" t="s">
        <v>32</v>
      </c>
      <c r="D173" s="1">
        <v>45936</v>
      </c>
      <c r="E173" s="1">
        <v>45940</v>
      </c>
      <c r="F173" s="1">
        <v>45942</v>
      </c>
      <c r="G173" s="1">
        <v>45946</v>
      </c>
      <c r="H173" t="s">
        <v>18</v>
      </c>
      <c r="I173" t="s">
        <v>19</v>
      </c>
      <c r="J173" s="1">
        <v>45961</v>
      </c>
      <c r="K173">
        <v>4</v>
      </c>
      <c r="L173">
        <v>2</v>
      </c>
      <c r="M173">
        <v>4</v>
      </c>
      <c r="N173">
        <v>1</v>
      </c>
      <c r="O173">
        <v>10</v>
      </c>
      <c r="P173" t="s">
        <v>1049</v>
      </c>
    </row>
    <row r="174" spans="1:16" x14ac:dyDescent="0.3">
      <c r="A174" t="s">
        <v>202</v>
      </c>
      <c r="B174" t="s">
        <v>34</v>
      </c>
      <c r="C174" t="s">
        <v>32</v>
      </c>
      <c r="D174" s="1">
        <v>45961</v>
      </c>
      <c r="E174" s="1">
        <v>45966</v>
      </c>
      <c r="F174" s="1">
        <v>45970</v>
      </c>
      <c r="G174" s="1">
        <v>45976</v>
      </c>
      <c r="H174" t="s">
        <v>18</v>
      </c>
      <c r="I174" t="s">
        <v>19</v>
      </c>
      <c r="J174" s="1">
        <v>45998</v>
      </c>
      <c r="K174">
        <v>5</v>
      </c>
      <c r="L174">
        <v>4</v>
      </c>
      <c r="M174">
        <v>6</v>
      </c>
      <c r="N174">
        <v>8</v>
      </c>
      <c r="O174">
        <v>15</v>
      </c>
      <c r="P174" t="s">
        <v>1041</v>
      </c>
    </row>
    <row r="175" spans="1:16" x14ac:dyDescent="0.3">
      <c r="A175" t="s">
        <v>203</v>
      </c>
      <c r="B175" t="s">
        <v>34</v>
      </c>
      <c r="C175" t="s">
        <v>32</v>
      </c>
      <c r="D175" s="1">
        <v>45932</v>
      </c>
      <c r="E175" s="1">
        <v>45934</v>
      </c>
      <c r="F175" s="1">
        <v>45936</v>
      </c>
      <c r="G175" s="1">
        <v>45938</v>
      </c>
      <c r="H175" t="s">
        <v>18</v>
      </c>
      <c r="I175" t="s">
        <v>19</v>
      </c>
      <c r="J175" s="1">
        <v>45953</v>
      </c>
      <c r="K175">
        <v>2</v>
      </c>
      <c r="L175">
        <v>2</v>
      </c>
      <c r="M175">
        <v>2</v>
      </c>
      <c r="N175">
        <v>6</v>
      </c>
      <c r="O175">
        <v>6</v>
      </c>
      <c r="P175" t="s">
        <v>1049</v>
      </c>
    </row>
    <row r="176" spans="1:16" x14ac:dyDescent="0.3">
      <c r="A176" t="s">
        <v>204</v>
      </c>
      <c r="B176" t="s">
        <v>34</v>
      </c>
      <c r="C176" t="s">
        <v>17</v>
      </c>
      <c r="D176" s="1">
        <v>45939</v>
      </c>
      <c r="E176" s="1">
        <v>45944</v>
      </c>
      <c r="F176" s="1">
        <v>45945</v>
      </c>
      <c r="G176" s="1">
        <v>45952</v>
      </c>
      <c r="H176" t="s">
        <v>18</v>
      </c>
      <c r="I176" t="s">
        <v>19</v>
      </c>
      <c r="J176" s="1">
        <v>45964</v>
      </c>
      <c r="K176">
        <v>5</v>
      </c>
      <c r="L176">
        <v>1</v>
      </c>
      <c r="M176">
        <v>7</v>
      </c>
      <c r="N176">
        <v>6</v>
      </c>
      <c r="O176">
        <v>13</v>
      </c>
      <c r="P176" t="s">
        <v>1049</v>
      </c>
    </row>
    <row r="177" spans="1:16" x14ac:dyDescent="0.3">
      <c r="A177" t="s">
        <v>205</v>
      </c>
      <c r="B177" t="s">
        <v>34</v>
      </c>
      <c r="C177" t="s">
        <v>24</v>
      </c>
      <c r="D177" s="1">
        <v>45961</v>
      </c>
      <c r="E177" s="1"/>
      <c r="F177" s="1"/>
      <c r="G177" s="1"/>
      <c r="H177" t="s">
        <v>25</v>
      </c>
      <c r="I177" t="s">
        <v>103</v>
      </c>
      <c r="J177" s="1"/>
    </row>
    <row r="178" spans="1:16" x14ac:dyDescent="0.3">
      <c r="A178" t="s">
        <v>206</v>
      </c>
      <c r="B178" t="s">
        <v>16</v>
      </c>
      <c r="C178" t="s">
        <v>17</v>
      </c>
      <c r="D178" s="1">
        <v>45958</v>
      </c>
      <c r="E178" s="1">
        <v>45963</v>
      </c>
      <c r="F178" s="1">
        <v>45967</v>
      </c>
      <c r="G178" s="1">
        <v>45972</v>
      </c>
      <c r="H178" t="s">
        <v>18</v>
      </c>
      <c r="I178" t="s">
        <v>19</v>
      </c>
      <c r="J178" s="1">
        <v>45999</v>
      </c>
      <c r="K178">
        <v>5</v>
      </c>
      <c r="L178">
        <v>4</v>
      </c>
      <c r="M178">
        <v>5</v>
      </c>
      <c r="N178">
        <v>3</v>
      </c>
      <c r="O178">
        <v>14</v>
      </c>
      <c r="P178" t="s">
        <v>1049</v>
      </c>
    </row>
    <row r="179" spans="1:16" x14ac:dyDescent="0.3">
      <c r="A179" t="s">
        <v>207</v>
      </c>
      <c r="B179" t="s">
        <v>23</v>
      </c>
      <c r="C179" t="s">
        <v>32</v>
      </c>
      <c r="D179" s="1">
        <v>45946</v>
      </c>
      <c r="E179" s="1">
        <v>45949</v>
      </c>
      <c r="F179" s="1">
        <v>45953</v>
      </c>
      <c r="G179" s="1">
        <v>45959</v>
      </c>
      <c r="H179" t="s">
        <v>18</v>
      </c>
      <c r="I179" t="s">
        <v>19</v>
      </c>
      <c r="J179" s="1">
        <v>45971</v>
      </c>
      <c r="K179">
        <v>3</v>
      </c>
      <c r="L179">
        <v>4</v>
      </c>
      <c r="M179">
        <v>6</v>
      </c>
      <c r="N179">
        <v>5</v>
      </c>
      <c r="O179">
        <v>13</v>
      </c>
      <c r="P179" t="s">
        <v>1049</v>
      </c>
    </row>
    <row r="180" spans="1:16" x14ac:dyDescent="0.3">
      <c r="A180" t="s">
        <v>208</v>
      </c>
      <c r="B180" t="s">
        <v>34</v>
      </c>
      <c r="C180" t="s">
        <v>17</v>
      </c>
      <c r="D180" s="1">
        <v>45934</v>
      </c>
      <c r="E180" s="1">
        <v>45935</v>
      </c>
      <c r="F180" s="1">
        <v>45937</v>
      </c>
      <c r="G180" s="1">
        <v>45940</v>
      </c>
      <c r="H180" t="s">
        <v>18</v>
      </c>
      <c r="I180" t="s">
        <v>19</v>
      </c>
      <c r="J180" s="1">
        <v>45960</v>
      </c>
      <c r="K180">
        <v>1</v>
      </c>
      <c r="L180">
        <v>2</v>
      </c>
      <c r="M180">
        <v>3</v>
      </c>
      <c r="N180">
        <v>9</v>
      </c>
      <c r="O180">
        <v>6</v>
      </c>
      <c r="P180" t="s">
        <v>1050</v>
      </c>
    </row>
    <row r="181" spans="1:16" x14ac:dyDescent="0.3">
      <c r="A181" t="s">
        <v>209</v>
      </c>
      <c r="B181" t="s">
        <v>23</v>
      </c>
      <c r="C181" t="s">
        <v>17</v>
      </c>
      <c r="D181" s="1">
        <v>45957</v>
      </c>
      <c r="E181" s="1">
        <v>45961</v>
      </c>
      <c r="F181" s="1">
        <v>45964</v>
      </c>
      <c r="G181" s="1">
        <v>45969</v>
      </c>
      <c r="H181" t="s">
        <v>18</v>
      </c>
      <c r="I181" t="s">
        <v>19</v>
      </c>
      <c r="J181" s="1">
        <v>45998</v>
      </c>
      <c r="K181">
        <v>4</v>
      </c>
      <c r="L181">
        <v>3</v>
      </c>
      <c r="M181">
        <v>5</v>
      </c>
      <c r="N181">
        <v>4</v>
      </c>
      <c r="O181">
        <v>12</v>
      </c>
      <c r="P181" t="s">
        <v>1049</v>
      </c>
    </row>
    <row r="182" spans="1:16" x14ac:dyDescent="0.3">
      <c r="A182" t="s">
        <v>210</v>
      </c>
      <c r="B182" t="s">
        <v>23</v>
      </c>
      <c r="C182" t="s">
        <v>32</v>
      </c>
      <c r="D182" s="1">
        <v>45933</v>
      </c>
      <c r="E182" s="1">
        <v>45934</v>
      </c>
      <c r="F182" s="1">
        <v>45935</v>
      </c>
      <c r="G182" s="1">
        <v>45937</v>
      </c>
      <c r="H182" t="s">
        <v>18</v>
      </c>
      <c r="I182" t="s">
        <v>19</v>
      </c>
      <c r="J182" s="1">
        <v>45966</v>
      </c>
      <c r="K182">
        <v>1</v>
      </c>
      <c r="L182">
        <v>1</v>
      </c>
      <c r="M182">
        <v>2</v>
      </c>
      <c r="N182">
        <v>1</v>
      </c>
      <c r="O182">
        <v>4</v>
      </c>
      <c r="P182" t="s">
        <v>1049</v>
      </c>
    </row>
    <row r="183" spans="1:16" x14ac:dyDescent="0.3">
      <c r="A183" t="s">
        <v>211</v>
      </c>
      <c r="B183" t="s">
        <v>16</v>
      </c>
      <c r="C183" t="s">
        <v>17</v>
      </c>
      <c r="D183" s="1">
        <v>45943</v>
      </c>
      <c r="E183" s="1">
        <v>45947</v>
      </c>
      <c r="F183" s="1">
        <v>45948</v>
      </c>
      <c r="G183" s="1">
        <v>45955</v>
      </c>
      <c r="H183" t="s">
        <v>18</v>
      </c>
      <c r="I183" t="s">
        <v>19</v>
      </c>
      <c r="J183" s="1">
        <v>45980</v>
      </c>
      <c r="K183">
        <v>4</v>
      </c>
      <c r="L183">
        <v>1</v>
      </c>
      <c r="M183">
        <v>7</v>
      </c>
      <c r="N183">
        <v>4</v>
      </c>
      <c r="O183">
        <v>12</v>
      </c>
      <c r="P183" t="s">
        <v>1049</v>
      </c>
    </row>
    <row r="184" spans="1:16" x14ac:dyDescent="0.3">
      <c r="A184" t="s">
        <v>212</v>
      </c>
      <c r="B184" t="s">
        <v>34</v>
      </c>
      <c r="C184" t="s">
        <v>24</v>
      </c>
      <c r="D184" s="1">
        <v>45946</v>
      </c>
      <c r="E184" s="1"/>
      <c r="F184" s="1"/>
      <c r="G184" s="1"/>
      <c r="H184" t="s">
        <v>25</v>
      </c>
      <c r="I184" t="s">
        <v>28</v>
      </c>
      <c r="J184" s="1"/>
    </row>
    <row r="185" spans="1:16" x14ac:dyDescent="0.3">
      <c r="A185" t="s">
        <v>213</v>
      </c>
      <c r="B185" t="s">
        <v>21</v>
      </c>
      <c r="C185" t="s">
        <v>32</v>
      </c>
      <c r="D185" s="1">
        <v>45933</v>
      </c>
      <c r="E185" s="1">
        <v>45934</v>
      </c>
      <c r="F185" s="1">
        <v>45937</v>
      </c>
      <c r="G185" s="1">
        <v>45944</v>
      </c>
      <c r="H185" t="s">
        <v>18</v>
      </c>
      <c r="I185" t="s">
        <v>19</v>
      </c>
      <c r="J185" s="1">
        <v>45954</v>
      </c>
      <c r="K185">
        <v>1</v>
      </c>
      <c r="L185">
        <v>3</v>
      </c>
      <c r="M185">
        <v>7</v>
      </c>
      <c r="N185">
        <v>6</v>
      </c>
      <c r="O185">
        <v>11</v>
      </c>
      <c r="P185" t="s">
        <v>1049</v>
      </c>
    </row>
    <row r="186" spans="1:16" x14ac:dyDescent="0.3">
      <c r="A186" t="s">
        <v>214</v>
      </c>
      <c r="B186" t="s">
        <v>16</v>
      </c>
      <c r="C186" t="s">
        <v>17</v>
      </c>
      <c r="D186" s="1">
        <v>45949</v>
      </c>
      <c r="E186" s="1">
        <v>45953</v>
      </c>
      <c r="F186" s="1">
        <v>45958</v>
      </c>
      <c r="G186" s="1">
        <v>45961</v>
      </c>
      <c r="H186" t="s">
        <v>18</v>
      </c>
      <c r="I186" t="s">
        <v>19</v>
      </c>
      <c r="J186" s="1">
        <v>45984</v>
      </c>
      <c r="K186">
        <v>4</v>
      </c>
      <c r="L186">
        <v>5</v>
      </c>
      <c r="M186">
        <v>3</v>
      </c>
      <c r="N186">
        <v>3</v>
      </c>
      <c r="O186">
        <v>12</v>
      </c>
      <c r="P186" t="s">
        <v>1049</v>
      </c>
    </row>
    <row r="187" spans="1:16" x14ac:dyDescent="0.3">
      <c r="A187" t="s">
        <v>215</v>
      </c>
      <c r="B187" t="s">
        <v>21</v>
      </c>
      <c r="C187" t="s">
        <v>17</v>
      </c>
      <c r="D187" s="1">
        <v>45951</v>
      </c>
      <c r="E187" s="1">
        <v>45952</v>
      </c>
      <c r="F187" s="1">
        <v>45957</v>
      </c>
      <c r="G187" s="1">
        <v>45961</v>
      </c>
      <c r="H187" t="s">
        <v>18</v>
      </c>
      <c r="I187" t="s">
        <v>19</v>
      </c>
      <c r="J187" s="1">
        <v>45991</v>
      </c>
      <c r="K187">
        <v>1</v>
      </c>
      <c r="L187">
        <v>5</v>
      </c>
      <c r="M187">
        <v>4</v>
      </c>
      <c r="N187">
        <v>2</v>
      </c>
      <c r="O187">
        <v>10</v>
      </c>
      <c r="P187" t="s">
        <v>1049</v>
      </c>
    </row>
    <row r="188" spans="1:16" x14ac:dyDescent="0.3">
      <c r="A188" t="s">
        <v>216</v>
      </c>
      <c r="B188" t="s">
        <v>23</v>
      </c>
      <c r="C188" t="s">
        <v>17</v>
      </c>
      <c r="D188" s="1">
        <v>45952</v>
      </c>
      <c r="E188" s="1">
        <v>45955</v>
      </c>
      <c r="F188" s="1">
        <v>45956</v>
      </c>
      <c r="G188" s="1">
        <v>45958</v>
      </c>
      <c r="H188" t="s">
        <v>18</v>
      </c>
      <c r="I188" t="s">
        <v>19</v>
      </c>
      <c r="J188" s="1">
        <v>45973</v>
      </c>
      <c r="K188">
        <v>3</v>
      </c>
      <c r="L188">
        <v>1</v>
      </c>
      <c r="M188">
        <v>2</v>
      </c>
      <c r="N188">
        <v>3</v>
      </c>
      <c r="O188">
        <v>6</v>
      </c>
      <c r="P188" t="s">
        <v>1049</v>
      </c>
    </row>
    <row r="189" spans="1:16" x14ac:dyDescent="0.3">
      <c r="A189" t="s">
        <v>217</v>
      </c>
      <c r="B189" t="s">
        <v>23</v>
      </c>
      <c r="C189" t="s">
        <v>32</v>
      </c>
      <c r="D189" s="1">
        <v>45932</v>
      </c>
      <c r="E189" s="1">
        <v>45937</v>
      </c>
      <c r="F189" s="1">
        <v>45940</v>
      </c>
      <c r="G189" s="1">
        <v>45945</v>
      </c>
      <c r="H189" t="s">
        <v>18</v>
      </c>
      <c r="I189" t="s">
        <v>19</v>
      </c>
      <c r="J189" s="1">
        <v>45974</v>
      </c>
      <c r="K189">
        <v>5</v>
      </c>
      <c r="L189">
        <v>3</v>
      </c>
      <c r="M189">
        <v>5</v>
      </c>
      <c r="N189">
        <v>7</v>
      </c>
      <c r="O189">
        <v>13</v>
      </c>
      <c r="P189" t="s">
        <v>1041</v>
      </c>
    </row>
    <row r="190" spans="1:16" x14ac:dyDescent="0.3">
      <c r="A190" t="s">
        <v>218</v>
      </c>
      <c r="B190" t="s">
        <v>16</v>
      </c>
      <c r="C190" t="s">
        <v>32</v>
      </c>
      <c r="D190" s="1">
        <v>45935</v>
      </c>
      <c r="E190" s="1">
        <v>45939</v>
      </c>
      <c r="F190" s="1">
        <v>45942</v>
      </c>
      <c r="G190" s="1">
        <v>45946</v>
      </c>
      <c r="H190" t="s">
        <v>18</v>
      </c>
      <c r="I190" t="s">
        <v>19</v>
      </c>
      <c r="J190" s="1">
        <v>45969</v>
      </c>
      <c r="K190">
        <v>4</v>
      </c>
      <c r="L190">
        <v>3</v>
      </c>
      <c r="M190">
        <v>4</v>
      </c>
      <c r="N190">
        <v>9</v>
      </c>
      <c r="O190">
        <v>11</v>
      </c>
      <c r="P190" t="s">
        <v>1050</v>
      </c>
    </row>
    <row r="191" spans="1:16" x14ac:dyDescent="0.3">
      <c r="A191" t="s">
        <v>219</v>
      </c>
      <c r="B191" t="s">
        <v>16</v>
      </c>
      <c r="C191" t="s">
        <v>24</v>
      </c>
      <c r="D191" s="1">
        <v>45935</v>
      </c>
      <c r="E191" s="1"/>
      <c r="F191" s="1"/>
      <c r="G191" s="1"/>
      <c r="H191" t="s">
        <v>25</v>
      </c>
      <c r="I191" t="s">
        <v>28</v>
      </c>
      <c r="J191" s="1"/>
    </row>
    <row r="192" spans="1:16" x14ac:dyDescent="0.3">
      <c r="A192" t="s">
        <v>220</v>
      </c>
      <c r="B192" t="s">
        <v>21</v>
      </c>
      <c r="C192" t="s">
        <v>24</v>
      </c>
      <c r="D192" s="1">
        <v>45956</v>
      </c>
      <c r="E192" s="1"/>
      <c r="F192" s="1"/>
      <c r="G192" s="1"/>
      <c r="H192" t="s">
        <v>25</v>
      </c>
      <c r="I192" t="s">
        <v>26</v>
      </c>
      <c r="J192" s="1"/>
    </row>
    <row r="193" spans="1:16" x14ac:dyDescent="0.3">
      <c r="A193" t="s">
        <v>221</v>
      </c>
      <c r="B193" t="s">
        <v>34</v>
      </c>
      <c r="C193" t="s">
        <v>17</v>
      </c>
      <c r="D193" s="1">
        <v>45949</v>
      </c>
      <c r="E193" s="1">
        <v>45954</v>
      </c>
      <c r="F193" s="1">
        <v>45958</v>
      </c>
      <c r="G193" s="1">
        <v>45962</v>
      </c>
      <c r="H193" t="s">
        <v>18</v>
      </c>
      <c r="I193" t="s">
        <v>19</v>
      </c>
      <c r="J193" s="1">
        <v>45977</v>
      </c>
      <c r="K193">
        <v>5</v>
      </c>
      <c r="L193">
        <v>4</v>
      </c>
      <c r="M193">
        <v>4</v>
      </c>
      <c r="N193">
        <v>10</v>
      </c>
      <c r="O193">
        <v>13</v>
      </c>
      <c r="P193" t="s">
        <v>1050</v>
      </c>
    </row>
    <row r="194" spans="1:16" x14ac:dyDescent="0.3">
      <c r="A194" t="s">
        <v>222</v>
      </c>
      <c r="B194" t="s">
        <v>21</v>
      </c>
      <c r="C194" t="s">
        <v>17</v>
      </c>
      <c r="D194" s="1">
        <v>45961</v>
      </c>
      <c r="E194" s="1">
        <v>45965</v>
      </c>
      <c r="F194" s="1">
        <v>45970</v>
      </c>
      <c r="G194" s="1">
        <v>45972</v>
      </c>
      <c r="H194" t="s">
        <v>25</v>
      </c>
      <c r="I194" t="s">
        <v>35</v>
      </c>
      <c r="J194" s="1"/>
      <c r="K194">
        <v>4</v>
      </c>
      <c r="L194">
        <v>5</v>
      </c>
      <c r="M194">
        <v>2</v>
      </c>
      <c r="O194">
        <v>11</v>
      </c>
    </row>
    <row r="195" spans="1:16" x14ac:dyDescent="0.3">
      <c r="A195" t="s">
        <v>223</v>
      </c>
      <c r="B195" t="s">
        <v>16</v>
      </c>
      <c r="C195" t="s">
        <v>17</v>
      </c>
      <c r="D195" s="1">
        <v>45940</v>
      </c>
      <c r="E195" s="1">
        <v>45944</v>
      </c>
      <c r="F195" s="1">
        <v>45949</v>
      </c>
      <c r="G195" s="1">
        <v>45954</v>
      </c>
      <c r="H195" t="s">
        <v>18</v>
      </c>
      <c r="I195" t="s">
        <v>19</v>
      </c>
      <c r="J195" s="1">
        <v>45965</v>
      </c>
      <c r="K195">
        <v>4</v>
      </c>
      <c r="L195">
        <v>5</v>
      </c>
      <c r="M195">
        <v>5</v>
      </c>
      <c r="N195">
        <v>5</v>
      </c>
      <c r="O195">
        <v>14</v>
      </c>
      <c r="P195" t="s">
        <v>1049</v>
      </c>
    </row>
    <row r="196" spans="1:16" x14ac:dyDescent="0.3">
      <c r="A196" t="s">
        <v>224</v>
      </c>
      <c r="B196" t="s">
        <v>21</v>
      </c>
      <c r="C196" t="s">
        <v>17</v>
      </c>
      <c r="D196" s="1">
        <v>45933</v>
      </c>
      <c r="E196" s="1">
        <v>45936</v>
      </c>
      <c r="F196" s="1">
        <v>45940</v>
      </c>
      <c r="G196" s="1">
        <v>45942</v>
      </c>
      <c r="H196" t="s">
        <v>18</v>
      </c>
      <c r="I196" t="s">
        <v>19</v>
      </c>
      <c r="J196" s="1">
        <v>45955</v>
      </c>
      <c r="K196">
        <v>3</v>
      </c>
      <c r="L196">
        <v>4</v>
      </c>
      <c r="M196">
        <v>2</v>
      </c>
      <c r="N196">
        <v>3</v>
      </c>
      <c r="O196">
        <v>9</v>
      </c>
      <c r="P196" t="s">
        <v>1049</v>
      </c>
    </row>
    <row r="197" spans="1:16" x14ac:dyDescent="0.3">
      <c r="A197" t="s">
        <v>225</v>
      </c>
      <c r="B197" t="s">
        <v>16</v>
      </c>
      <c r="C197" t="s">
        <v>17</v>
      </c>
      <c r="D197" s="1">
        <v>45938</v>
      </c>
      <c r="E197" s="1">
        <v>45939</v>
      </c>
      <c r="F197" s="1">
        <v>45941</v>
      </c>
      <c r="G197" s="1">
        <v>45944</v>
      </c>
      <c r="H197" t="s">
        <v>18</v>
      </c>
      <c r="I197" t="s">
        <v>19</v>
      </c>
      <c r="J197" s="1">
        <v>45964</v>
      </c>
      <c r="K197">
        <v>1</v>
      </c>
      <c r="L197">
        <v>2</v>
      </c>
      <c r="M197">
        <v>3</v>
      </c>
      <c r="N197">
        <v>9</v>
      </c>
      <c r="O197">
        <v>6</v>
      </c>
      <c r="P197" t="s">
        <v>1050</v>
      </c>
    </row>
    <row r="198" spans="1:16" x14ac:dyDescent="0.3">
      <c r="A198" t="s">
        <v>226</v>
      </c>
      <c r="B198" t="s">
        <v>21</v>
      </c>
      <c r="C198" t="s">
        <v>32</v>
      </c>
      <c r="D198" s="1">
        <v>45934</v>
      </c>
      <c r="E198" s="1">
        <v>45938</v>
      </c>
      <c r="F198" s="1">
        <v>45943</v>
      </c>
      <c r="G198" s="1">
        <v>45946</v>
      </c>
      <c r="H198" t="s">
        <v>18</v>
      </c>
      <c r="I198" t="s">
        <v>19</v>
      </c>
      <c r="J198" s="1">
        <v>45962</v>
      </c>
      <c r="K198">
        <v>4</v>
      </c>
      <c r="L198">
        <v>5</v>
      </c>
      <c r="M198">
        <v>3</v>
      </c>
      <c r="N198">
        <v>10</v>
      </c>
      <c r="O198">
        <v>12</v>
      </c>
      <c r="P198" t="s">
        <v>1050</v>
      </c>
    </row>
    <row r="199" spans="1:16" x14ac:dyDescent="0.3">
      <c r="A199" t="s">
        <v>227</v>
      </c>
      <c r="B199" t="s">
        <v>16</v>
      </c>
      <c r="C199" t="s">
        <v>24</v>
      </c>
      <c r="D199" s="1">
        <v>45948</v>
      </c>
      <c r="E199" s="1"/>
      <c r="F199" s="1"/>
      <c r="G199" s="1"/>
      <c r="H199" t="s">
        <v>25</v>
      </c>
      <c r="I199" t="s">
        <v>35</v>
      </c>
      <c r="J199" s="1"/>
    </row>
    <row r="200" spans="1:16" x14ac:dyDescent="0.3">
      <c r="A200" t="s">
        <v>228</v>
      </c>
      <c r="B200" t="s">
        <v>16</v>
      </c>
      <c r="C200" t="s">
        <v>17</v>
      </c>
      <c r="D200" s="1">
        <v>45955</v>
      </c>
      <c r="E200" s="1">
        <v>45956</v>
      </c>
      <c r="F200" s="1">
        <v>45960</v>
      </c>
      <c r="G200" s="1">
        <v>45967</v>
      </c>
      <c r="H200" t="s">
        <v>18</v>
      </c>
      <c r="I200" t="s">
        <v>19</v>
      </c>
      <c r="J200" s="1">
        <v>45983</v>
      </c>
      <c r="K200">
        <v>1</v>
      </c>
      <c r="L200">
        <v>4</v>
      </c>
      <c r="M200">
        <v>7</v>
      </c>
      <c r="N200">
        <v>8</v>
      </c>
      <c r="O200">
        <v>12</v>
      </c>
      <c r="P200" t="s">
        <v>1041</v>
      </c>
    </row>
    <row r="201" spans="1:16" x14ac:dyDescent="0.3">
      <c r="A201" t="s">
        <v>229</v>
      </c>
      <c r="B201" t="s">
        <v>16</v>
      </c>
      <c r="C201" t="s">
        <v>24</v>
      </c>
      <c r="D201" s="1">
        <v>45944</v>
      </c>
      <c r="E201" s="1"/>
      <c r="F201" s="1"/>
      <c r="G201" s="1"/>
      <c r="H201" t="s">
        <v>25</v>
      </c>
      <c r="I201" t="s">
        <v>28</v>
      </c>
      <c r="J201" s="1"/>
    </row>
    <row r="202" spans="1:16" x14ac:dyDescent="0.3">
      <c r="A202" t="s">
        <v>230</v>
      </c>
      <c r="B202" t="s">
        <v>34</v>
      </c>
      <c r="C202" t="s">
        <v>32</v>
      </c>
      <c r="D202" s="1">
        <v>45950</v>
      </c>
      <c r="E202" s="1">
        <v>45953</v>
      </c>
      <c r="F202" s="1">
        <v>45956</v>
      </c>
      <c r="G202" s="1">
        <v>45962</v>
      </c>
      <c r="H202" t="s">
        <v>18</v>
      </c>
      <c r="I202" t="s">
        <v>19</v>
      </c>
      <c r="J202" s="1">
        <v>45985</v>
      </c>
      <c r="K202">
        <v>3</v>
      </c>
      <c r="L202">
        <v>3</v>
      </c>
      <c r="M202">
        <v>6</v>
      </c>
      <c r="N202">
        <v>6</v>
      </c>
      <c r="O202">
        <v>12</v>
      </c>
      <c r="P202" t="s">
        <v>1049</v>
      </c>
    </row>
    <row r="203" spans="1:16" x14ac:dyDescent="0.3">
      <c r="A203" t="s">
        <v>231</v>
      </c>
      <c r="B203" t="s">
        <v>21</v>
      </c>
      <c r="C203" t="s">
        <v>32</v>
      </c>
      <c r="D203" s="1">
        <v>45950</v>
      </c>
      <c r="E203" s="1">
        <v>45952</v>
      </c>
      <c r="F203" s="1">
        <v>45954</v>
      </c>
      <c r="G203" s="1">
        <v>45961</v>
      </c>
      <c r="H203" t="s">
        <v>18</v>
      </c>
      <c r="I203" t="s">
        <v>19</v>
      </c>
      <c r="J203" s="1">
        <v>45988</v>
      </c>
      <c r="K203">
        <v>2</v>
      </c>
      <c r="L203">
        <v>2</v>
      </c>
      <c r="M203">
        <v>7</v>
      </c>
      <c r="N203">
        <v>2</v>
      </c>
      <c r="O203">
        <v>11</v>
      </c>
      <c r="P203" t="s">
        <v>1049</v>
      </c>
    </row>
    <row r="204" spans="1:16" x14ac:dyDescent="0.3">
      <c r="A204" t="s">
        <v>232</v>
      </c>
      <c r="B204" t="s">
        <v>21</v>
      </c>
      <c r="C204" t="s">
        <v>32</v>
      </c>
      <c r="D204" s="1">
        <v>45956</v>
      </c>
      <c r="E204" s="1">
        <v>45961</v>
      </c>
      <c r="F204" s="1">
        <v>45962</v>
      </c>
      <c r="G204" s="1">
        <v>45966</v>
      </c>
      <c r="H204" t="s">
        <v>18</v>
      </c>
      <c r="I204" t="s">
        <v>19</v>
      </c>
      <c r="J204" s="1">
        <v>45993</v>
      </c>
      <c r="K204">
        <v>5</v>
      </c>
      <c r="L204">
        <v>1</v>
      </c>
      <c r="M204">
        <v>4</v>
      </c>
      <c r="N204">
        <v>2</v>
      </c>
      <c r="O204">
        <v>10</v>
      </c>
      <c r="P204" t="s">
        <v>1049</v>
      </c>
    </row>
    <row r="205" spans="1:16" x14ac:dyDescent="0.3">
      <c r="A205" t="s">
        <v>233</v>
      </c>
      <c r="B205" t="s">
        <v>21</v>
      </c>
      <c r="C205" t="s">
        <v>17</v>
      </c>
      <c r="D205" s="1">
        <v>45950</v>
      </c>
      <c r="E205" s="1">
        <v>45954</v>
      </c>
      <c r="F205" s="1">
        <v>45957</v>
      </c>
      <c r="G205" s="1">
        <v>45964</v>
      </c>
      <c r="H205" t="s">
        <v>18</v>
      </c>
      <c r="I205" t="s">
        <v>19</v>
      </c>
      <c r="J205" s="1">
        <v>45982</v>
      </c>
      <c r="K205">
        <v>4</v>
      </c>
      <c r="L205">
        <v>3</v>
      </c>
      <c r="M205">
        <v>7</v>
      </c>
      <c r="N205">
        <v>9</v>
      </c>
      <c r="O205">
        <v>14</v>
      </c>
      <c r="P205" t="s">
        <v>1050</v>
      </c>
    </row>
    <row r="206" spans="1:16" x14ac:dyDescent="0.3">
      <c r="A206" t="s">
        <v>234</v>
      </c>
      <c r="B206" t="s">
        <v>16</v>
      </c>
      <c r="C206" t="s">
        <v>24</v>
      </c>
      <c r="D206" s="1">
        <v>45938</v>
      </c>
      <c r="E206" s="1"/>
      <c r="F206" s="1"/>
      <c r="G206" s="1"/>
      <c r="H206" t="s">
        <v>25</v>
      </c>
      <c r="I206" t="s">
        <v>65</v>
      </c>
      <c r="J206" s="1"/>
    </row>
    <row r="207" spans="1:16" x14ac:dyDescent="0.3">
      <c r="A207" t="s">
        <v>235</v>
      </c>
      <c r="B207" t="s">
        <v>21</v>
      </c>
      <c r="C207" t="s">
        <v>32</v>
      </c>
      <c r="D207" s="1">
        <v>45955</v>
      </c>
      <c r="E207" s="1">
        <v>45958</v>
      </c>
      <c r="F207" s="1">
        <v>45960</v>
      </c>
      <c r="G207" s="1">
        <v>45966</v>
      </c>
      <c r="H207" t="s">
        <v>18</v>
      </c>
      <c r="I207" t="s">
        <v>19</v>
      </c>
      <c r="J207" s="1">
        <v>45985</v>
      </c>
      <c r="K207">
        <v>3</v>
      </c>
      <c r="L207">
        <v>2</v>
      </c>
      <c r="M207">
        <v>6</v>
      </c>
      <c r="N207">
        <v>2</v>
      </c>
      <c r="O207">
        <v>11</v>
      </c>
      <c r="P207" t="s">
        <v>1049</v>
      </c>
    </row>
    <row r="208" spans="1:16" x14ac:dyDescent="0.3">
      <c r="A208" t="s">
        <v>236</v>
      </c>
      <c r="B208" t="s">
        <v>21</v>
      </c>
      <c r="C208" t="s">
        <v>24</v>
      </c>
      <c r="D208" s="1">
        <v>45947</v>
      </c>
      <c r="E208" s="1"/>
      <c r="F208" s="1"/>
      <c r="G208" s="1"/>
      <c r="H208" t="s">
        <v>25</v>
      </c>
      <c r="I208" t="s">
        <v>65</v>
      </c>
      <c r="J208" s="1"/>
    </row>
    <row r="209" spans="1:16" x14ac:dyDescent="0.3">
      <c r="A209" t="s">
        <v>237</v>
      </c>
      <c r="B209" t="s">
        <v>16</v>
      </c>
      <c r="C209" t="s">
        <v>17</v>
      </c>
      <c r="D209" s="1">
        <v>45943</v>
      </c>
      <c r="E209" s="1">
        <v>45944</v>
      </c>
      <c r="F209" s="1">
        <v>45948</v>
      </c>
      <c r="G209" s="1">
        <v>45955</v>
      </c>
      <c r="H209" t="s">
        <v>18</v>
      </c>
      <c r="I209" t="s">
        <v>19</v>
      </c>
      <c r="J209" s="1">
        <v>45974</v>
      </c>
      <c r="K209">
        <v>1</v>
      </c>
      <c r="L209">
        <v>4</v>
      </c>
      <c r="M209">
        <v>7</v>
      </c>
      <c r="N209">
        <v>7</v>
      </c>
      <c r="O209">
        <v>12</v>
      </c>
      <c r="P209" t="s">
        <v>1041</v>
      </c>
    </row>
    <row r="210" spans="1:16" x14ac:dyDescent="0.3">
      <c r="A210" t="s">
        <v>238</v>
      </c>
      <c r="B210" t="s">
        <v>23</v>
      </c>
      <c r="C210" t="s">
        <v>24</v>
      </c>
      <c r="D210" s="1">
        <v>45945</v>
      </c>
      <c r="E210" s="1"/>
      <c r="F210" s="1"/>
      <c r="G210" s="1"/>
      <c r="H210" t="s">
        <v>25</v>
      </c>
      <c r="I210" t="s">
        <v>103</v>
      </c>
      <c r="J210" s="1"/>
    </row>
    <row r="211" spans="1:16" x14ac:dyDescent="0.3">
      <c r="A211" t="s">
        <v>239</v>
      </c>
      <c r="B211" t="s">
        <v>16</v>
      </c>
      <c r="C211" t="s">
        <v>32</v>
      </c>
      <c r="D211" s="1">
        <v>45960</v>
      </c>
      <c r="E211" s="1">
        <v>45964</v>
      </c>
      <c r="F211" s="1">
        <v>45967</v>
      </c>
      <c r="G211" s="1">
        <v>45972</v>
      </c>
      <c r="H211" t="s">
        <v>18</v>
      </c>
      <c r="I211" t="s">
        <v>19</v>
      </c>
      <c r="J211" s="1">
        <v>45989</v>
      </c>
      <c r="K211">
        <v>4</v>
      </c>
      <c r="L211">
        <v>3</v>
      </c>
      <c r="M211">
        <v>5</v>
      </c>
      <c r="N211">
        <v>9</v>
      </c>
      <c r="O211">
        <v>12</v>
      </c>
      <c r="P211" t="s">
        <v>1050</v>
      </c>
    </row>
    <row r="212" spans="1:16" x14ac:dyDescent="0.3">
      <c r="A212" t="s">
        <v>240</v>
      </c>
      <c r="B212" t="s">
        <v>21</v>
      </c>
      <c r="C212" t="s">
        <v>24</v>
      </c>
      <c r="D212" s="1">
        <v>45945</v>
      </c>
      <c r="E212" s="1"/>
      <c r="F212" s="1"/>
      <c r="G212" s="1"/>
      <c r="H212" t="s">
        <v>25</v>
      </c>
      <c r="I212" t="s">
        <v>103</v>
      </c>
      <c r="J212" s="1"/>
    </row>
    <row r="213" spans="1:16" x14ac:dyDescent="0.3">
      <c r="A213" t="s">
        <v>241</v>
      </c>
      <c r="B213" t="s">
        <v>16</v>
      </c>
      <c r="C213" t="s">
        <v>17</v>
      </c>
      <c r="D213" s="1">
        <v>45940</v>
      </c>
      <c r="E213" s="1">
        <v>45941</v>
      </c>
      <c r="F213" s="1">
        <v>45943</v>
      </c>
      <c r="G213" s="1">
        <v>45946</v>
      </c>
      <c r="H213" t="s">
        <v>25</v>
      </c>
      <c r="I213" t="s">
        <v>26</v>
      </c>
      <c r="J213" s="1"/>
      <c r="K213">
        <v>1</v>
      </c>
      <c r="L213">
        <v>2</v>
      </c>
      <c r="M213">
        <v>3</v>
      </c>
      <c r="O213">
        <v>6</v>
      </c>
    </row>
    <row r="214" spans="1:16" x14ac:dyDescent="0.3">
      <c r="A214" t="s">
        <v>242</v>
      </c>
      <c r="B214" t="s">
        <v>23</v>
      </c>
      <c r="C214" t="s">
        <v>32</v>
      </c>
      <c r="D214" s="1">
        <v>45958</v>
      </c>
      <c r="E214" s="1">
        <v>45960</v>
      </c>
      <c r="F214" s="1">
        <v>45961</v>
      </c>
      <c r="G214" s="1">
        <v>45967</v>
      </c>
      <c r="H214" t="s">
        <v>18</v>
      </c>
      <c r="I214" t="s">
        <v>19</v>
      </c>
      <c r="J214" s="1">
        <v>45980</v>
      </c>
      <c r="K214">
        <v>2</v>
      </c>
      <c r="L214">
        <v>1</v>
      </c>
      <c r="M214">
        <v>6</v>
      </c>
      <c r="N214">
        <v>4</v>
      </c>
      <c r="O214">
        <v>9</v>
      </c>
      <c r="P214" t="s">
        <v>1049</v>
      </c>
    </row>
    <row r="215" spans="1:16" x14ac:dyDescent="0.3">
      <c r="A215" t="s">
        <v>243</v>
      </c>
      <c r="B215" t="s">
        <v>16</v>
      </c>
      <c r="C215" t="s">
        <v>32</v>
      </c>
      <c r="D215" s="1">
        <v>45949</v>
      </c>
      <c r="E215" s="1">
        <v>45953</v>
      </c>
      <c r="F215" s="1">
        <v>45956</v>
      </c>
      <c r="G215" s="1">
        <v>45959</v>
      </c>
      <c r="H215" t="s">
        <v>18</v>
      </c>
      <c r="I215" t="s">
        <v>19</v>
      </c>
      <c r="J215" s="1">
        <v>45970</v>
      </c>
      <c r="K215">
        <v>4</v>
      </c>
      <c r="L215">
        <v>3</v>
      </c>
      <c r="M215">
        <v>3</v>
      </c>
      <c r="N215">
        <v>2</v>
      </c>
      <c r="O215">
        <v>10</v>
      </c>
      <c r="P215" t="s">
        <v>1049</v>
      </c>
    </row>
    <row r="216" spans="1:16" x14ac:dyDescent="0.3">
      <c r="A216" t="s">
        <v>244</v>
      </c>
      <c r="B216" t="s">
        <v>21</v>
      </c>
      <c r="C216" t="s">
        <v>24</v>
      </c>
      <c r="D216" s="1">
        <v>45944</v>
      </c>
      <c r="E216" s="1"/>
      <c r="F216" s="1"/>
      <c r="G216" s="1"/>
      <c r="H216" t="s">
        <v>25</v>
      </c>
      <c r="I216" t="s">
        <v>28</v>
      </c>
      <c r="J216" s="1"/>
    </row>
    <row r="217" spans="1:16" x14ac:dyDescent="0.3">
      <c r="A217" t="s">
        <v>245</v>
      </c>
      <c r="B217" t="s">
        <v>23</v>
      </c>
      <c r="C217" t="s">
        <v>24</v>
      </c>
      <c r="D217" s="1">
        <v>45940</v>
      </c>
      <c r="E217" s="1"/>
      <c r="F217" s="1"/>
      <c r="G217" s="1"/>
      <c r="H217" t="s">
        <v>25</v>
      </c>
      <c r="I217" t="s">
        <v>103</v>
      </c>
      <c r="J217" s="1"/>
    </row>
    <row r="218" spans="1:16" x14ac:dyDescent="0.3">
      <c r="A218" t="s">
        <v>246</v>
      </c>
      <c r="B218" t="s">
        <v>34</v>
      </c>
      <c r="C218" t="s">
        <v>32</v>
      </c>
      <c r="D218" s="1">
        <v>45949</v>
      </c>
      <c r="E218" s="1">
        <v>45954</v>
      </c>
      <c r="F218" s="1">
        <v>45957</v>
      </c>
      <c r="G218" s="1">
        <v>45960</v>
      </c>
      <c r="H218" t="s">
        <v>18</v>
      </c>
      <c r="I218" t="s">
        <v>19</v>
      </c>
      <c r="J218" s="1">
        <v>45982</v>
      </c>
      <c r="K218">
        <v>5</v>
      </c>
      <c r="L218">
        <v>3</v>
      </c>
      <c r="M218">
        <v>3</v>
      </c>
      <c r="N218">
        <v>0</v>
      </c>
      <c r="O218">
        <v>11</v>
      </c>
      <c r="P218" t="s">
        <v>1049</v>
      </c>
    </row>
    <row r="219" spans="1:16" x14ac:dyDescent="0.3">
      <c r="A219" t="s">
        <v>247</v>
      </c>
      <c r="B219" t="s">
        <v>21</v>
      </c>
      <c r="C219" t="s">
        <v>17</v>
      </c>
      <c r="D219" s="1">
        <v>45950</v>
      </c>
      <c r="E219" s="1">
        <v>45954</v>
      </c>
      <c r="F219" s="1">
        <v>45959</v>
      </c>
      <c r="G219" s="1">
        <v>45962</v>
      </c>
      <c r="H219" t="s">
        <v>25</v>
      </c>
      <c r="I219" t="s">
        <v>103</v>
      </c>
      <c r="J219" s="1"/>
      <c r="K219">
        <v>4</v>
      </c>
      <c r="L219">
        <v>5</v>
      </c>
      <c r="M219">
        <v>3</v>
      </c>
      <c r="O219">
        <v>12</v>
      </c>
    </row>
    <row r="220" spans="1:16" x14ac:dyDescent="0.3">
      <c r="A220" t="s">
        <v>248</v>
      </c>
      <c r="B220" t="s">
        <v>23</v>
      </c>
      <c r="C220" t="s">
        <v>24</v>
      </c>
      <c r="D220" s="1">
        <v>45932</v>
      </c>
      <c r="E220" s="1"/>
      <c r="F220" s="1"/>
      <c r="G220" s="1"/>
      <c r="H220" t="s">
        <v>25</v>
      </c>
      <c r="I220" t="s">
        <v>28</v>
      </c>
      <c r="J220" s="1"/>
    </row>
    <row r="221" spans="1:16" x14ac:dyDescent="0.3">
      <c r="A221" t="s">
        <v>249</v>
      </c>
      <c r="B221" t="s">
        <v>23</v>
      </c>
      <c r="C221" t="s">
        <v>24</v>
      </c>
      <c r="D221" s="1">
        <v>45950</v>
      </c>
      <c r="E221" s="1"/>
      <c r="F221" s="1"/>
      <c r="G221" s="1"/>
      <c r="H221" t="s">
        <v>25</v>
      </c>
      <c r="I221" t="s">
        <v>26</v>
      </c>
      <c r="J221" s="1"/>
    </row>
    <row r="222" spans="1:16" x14ac:dyDescent="0.3">
      <c r="A222" t="s">
        <v>250</v>
      </c>
      <c r="B222" t="s">
        <v>34</v>
      </c>
      <c r="C222" t="s">
        <v>24</v>
      </c>
      <c r="D222" s="1">
        <v>45961</v>
      </c>
      <c r="E222" s="1"/>
      <c r="F222" s="1"/>
      <c r="G222" s="1"/>
      <c r="H222" t="s">
        <v>25</v>
      </c>
      <c r="I222" t="s">
        <v>103</v>
      </c>
      <c r="J222" s="1"/>
    </row>
    <row r="223" spans="1:16" x14ac:dyDescent="0.3">
      <c r="A223" t="s">
        <v>251</v>
      </c>
      <c r="B223" t="s">
        <v>16</v>
      </c>
      <c r="C223" t="s">
        <v>17</v>
      </c>
      <c r="D223" s="1">
        <v>45954</v>
      </c>
      <c r="E223" s="1">
        <v>45959</v>
      </c>
      <c r="F223" s="1">
        <v>45961</v>
      </c>
      <c r="G223" s="1">
        <v>45963</v>
      </c>
      <c r="H223" t="s">
        <v>18</v>
      </c>
      <c r="I223" t="s">
        <v>19</v>
      </c>
      <c r="J223" s="1">
        <v>45991</v>
      </c>
      <c r="K223">
        <v>5</v>
      </c>
      <c r="L223">
        <v>2</v>
      </c>
      <c r="M223">
        <v>2</v>
      </c>
      <c r="N223">
        <v>3</v>
      </c>
      <c r="O223">
        <v>9</v>
      </c>
      <c r="P223" t="s">
        <v>1049</v>
      </c>
    </row>
    <row r="224" spans="1:16" x14ac:dyDescent="0.3">
      <c r="A224" t="s">
        <v>252</v>
      </c>
      <c r="B224" t="s">
        <v>16</v>
      </c>
      <c r="C224" t="s">
        <v>17</v>
      </c>
      <c r="D224" s="1">
        <v>45934</v>
      </c>
      <c r="E224" s="1">
        <v>45935</v>
      </c>
      <c r="F224" s="1">
        <v>45937</v>
      </c>
      <c r="G224" s="1">
        <v>45943</v>
      </c>
      <c r="H224" t="s">
        <v>18</v>
      </c>
      <c r="I224" t="s">
        <v>19</v>
      </c>
      <c r="J224" s="1">
        <v>45970</v>
      </c>
      <c r="K224">
        <v>1</v>
      </c>
      <c r="L224">
        <v>2</v>
      </c>
      <c r="M224">
        <v>6</v>
      </c>
      <c r="N224">
        <v>1</v>
      </c>
      <c r="O224">
        <v>9</v>
      </c>
      <c r="P224" t="s">
        <v>1049</v>
      </c>
    </row>
    <row r="225" spans="1:16" x14ac:dyDescent="0.3">
      <c r="A225" t="s">
        <v>253</v>
      </c>
      <c r="B225" t="s">
        <v>21</v>
      </c>
      <c r="C225" t="s">
        <v>17</v>
      </c>
      <c r="D225" s="1">
        <v>45961</v>
      </c>
      <c r="E225" s="1">
        <v>45965</v>
      </c>
      <c r="F225" s="1">
        <v>45970</v>
      </c>
      <c r="G225" s="1">
        <v>45974</v>
      </c>
      <c r="H225" t="s">
        <v>18</v>
      </c>
      <c r="I225" t="s">
        <v>19</v>
      </c>
      <c r="J225" s="1">
        <v>45999</v>
      </c>
      <c r="K225">
        <v>4</v>
      </c>
      <c r="L225">
        <v>5</v>
      </c>
      <c r="M225">
        <v>4</v>
      </c>
      <c r="N225">
        <v>7</v>
      </c>
      <c r="O225">
        <v>13</v>
      </c>
      <c r="P225" t="s">
        <v>1041</v>
      </c>
    </row>
    <row r="226" spans="1:16" x14ac:dyDescent="0.3">
      <c r="A226" t="s">
        <v>254</v>
      </c>
      <c r="B226" t="s">
        <v>34</v>
      </c>
      <c r="C226" t="s">
        <v>17</v>
      </c>
      <c r="D226" s="1">
        <v>45955</v>
      </c>
      <c r="E226" s="1">
        <v>45958</v>
      </c>
      <c r="F226" s="1">
        <v>45962</v>
      </c>
      <c r="G226" s="1">
        <v>45968</v>
      </c>
      <c r="H226" t="s">
        <v>18</v>
      </c>
      <c r="I226" t="s">
        <v>19</v>
      </c>
      <c r="J226" s="1">
        <v>45982</v>
      </c>
      <c r="K226">
        <v>3</v>
      </c>
      <c r="L226">
        <v>4</v>
      </c>
      <c r="M226">
        <v>6</v>
      </c>
      <c r="N226">
        <v>3</v>
      </c>
      <c r="O226">
        <v>13</v>
      </c>
      <c r="P226" t="s">
        <v>1049</v>
      </c>
    </row>
    <row r="227" spans="1:16" x14ac:dyDescent="0.3">
      <c r="A227" t="s">
        <v>255</v>
      </c>
      <c r="B227" t="s">
        <v>16</v>
      </c>
      <c r="C227" t="s">
        <v>17</v>
      </c>
      <c r="D227" s="1">
        <v>45937</v>
      </c>
      <c r="E227" s="1">
        <v>45940</v>
      </c>
      <c r="F227" s="1">
        <v>45944</v>
      </c>
      <c r="G227" s="1">
        <v>45948</v>
      </c>
      <c r="H227" t="s">
        <v>25</v>
      </c>
      <c r="I227" t="s">
        <v>26</v>
      </c>
      <c r="J227" s="1"/>
      <c r="K227">
        <v>3</v>
      </c>
      <c r="L227">
        <v>4</v>
      </c>
      <c r="M227">
        <v>4</v>
      </c>
      <c r="O227">
        <v>11</v>
      </c>
    </row>
    <row r="228" spans="1:16" x14ac:dyDescent="0.3">
      <c r="A228" t="s">
        <v>256</v>
      </c>
      <c r="B228" t="s">
        <v>34</v>
      </c>
      <c r="C228" t="s">
        <v>17</v>
      </c>
      <c r="D228" s="1">
        <v>45951</v>
      </c>
      <c r="E228" s="1">
        <v>45953</v>
      </c>
      <c r="F228" s="1">
        <v>45958</v>
      </c>
      <c r="G228" s="1">
        <v>45964</v>
      </c>
      <c r="H228" t="s">
        <v>25</v>
      </c>
      <c r="I228" t="s">
        <v>35</v>
      </c>
      <c r="J228" s="1"/>
      <c r="K228">
        <v>2</v>
      </c>
      <c r="L228">
        <v>5</v>
      </c>
      <c r="M228">
        <v>6</v>
      </c>
      <c r="O228">
        <v>13</v>
      </c>
    </row>
    <row r="229" spans="1:16" x14ac:dyDescent="0.3">
      <c r="A229" t="s">
        <v>257</v>
      </c>
      <c r="B229" t="s">
        <v>16</v>
      </c>
      <c r="C229" t="s">
        <v>32</v>
      </c>
      <c r="D229" s="1">
        <v>45937</v>
      </c>
      <c r="E229" s="1">
        <v>45940</v>
      </c>
      <c r="F229" s="1">
        <v>45943</v>
      </c>
      <c r="G229" s="1">
        <v>45949</v>
      </c>
      <c r="H229" t="s">
        <v>18</v>
      </c>
      <c r="I229" t="s">
        <v>19</v>
      </c>
      <c r="J229" s="1">
        <v>45960</v>
      </c>
      <c r="K229">
        <v>3</v>
      </c>
      <c r="L229">
        <v>3</v>
      </c>
      <c r="M229">
        <v>6</v>
      </c>
      <c r="N229">
        <v>4</v>
      </c>
      <c r="O229">
        <v>12</v>
      </c>
      <c r="P229" t="s">
        <v>1049</v>
      </c>
    </row>
    <row r="230" spans="1:16" x14ac:dyDescent="0.3">
      <c r="A230" t="s">
        <v>258</v>
      </c>
      <c r="B230" t="s">
        <v>23</v>
      </c>
      <c r="C230" t="s">
        <v>24</v>
      </c>
      <c r="D230" s="1">
        <v>45939</v>
      </c>
      <c r="E230" s="1"/>
      <c r="F230" s="1"/>
      <c r="G230" s="1"/>
      <c r="H230" t="s">
        <v>25</v>
      </c>
      <c r="I230" t="s">
        <v>26</v>
      </c>
      <c r="J230" s="1"/>
    </row>
    <row r="231" spans="1:16" x14ac:dyDescent="0.3">
      <c r="A231" t="s">
        <v>259</v>
      </c>
      <c r="B231" t="s">
        <v>16</v>
      </c>
      <c r="C231" t="s">
        <v>17</v>
      </c>
      <c r="D231" s="1">
        <v>45952</v>
      </c>
      <c r="E231" s="1">
        <v>45954</v>
      </c>
      <c r="F231" s="1">
        <v>45955</v>
      </c>
      <c r="G231" s="1">
        <v>45958</v>
      </c>
      <c r="H231" t="s">
        <v>18</v>
      </c>
      <c r="I231" t="s">
        <v>19</v>
      </c>
      <c r="J231" s="1">
        <v>45979</v>
      </c>
      <c r="K231">
        <v>2</v>
      </c>
      <c r="L231">
        <v>1</v>
      </c>
      <c r="M231">
        <v>3</v>
      </c>
      <c r="N231">
        <v>2</v>
      </c>
      <c r="O231">
        <v>6</v>
      </c>
      <c r="P231" t="s">
        <v>1049</v>
      </c>
    </row>
    <row r="232" spans="1:16" x14ac:dyDescent="0.3">
      <c r="A232" t="s">
        <v>260</v>
      </c>
      <c r="B232" t="s">
        <v>34</v>
      </c>
      <c r="C232" t="s">
        <v>17</v>
      </c>
      <c r="D232" s="1">
        <v>45933</v>
      </c>
      <c r="E232" s="1">
        <v>45934</v>
      </c>
      <c r="F232" s="1">
        <v>45938</v>
      </c>
      <c r="G232" s="1">
        <v>45942</v>
      </c>
      <c r="H232" t="s">
        <v>18</v>
      </c>
      <c r="I232" t="s">
        <v>19</v>
      </c>
      <c r="J232" s="1">
        <v>45952</v>
      </c>
      <c r="K232">
        <v>1</v>
      </c>
      <c r="L232">
        <v>4</v>
      </c>
      <c r="M232">
        <v>4</v>
      </c>
      <c r="N232">
        <v>2</v>
      </c>
      <c r="O232">
        <v>9</v>
      </c>
      <c r="P232" t="s">
        <v>1049</v>
      </c>
    </row>
    <row r="233" spans="1:16" x14ac:dyDescent="0.3">
      <c r="A233" t="s">
        <v>261</v>
      </c>
      <c r="B233" t="s">
        <v>23</v>
      </c>
      <c r="C233" t="s">
        <v>17</v>
      </c>
      <c r="D233" s="1">
        <v>45936</v>
      </c>
      <c r="E233" s="1">
        <v>45941</v>
      </c>
      <c r="F233" s="1">
        <v>45942</v>
      </c>
      <c r="G233" s="1">
        <v>45949</v>
      </c>
      <c r="H233" t="s">
        <v>18</v>
      </c>
      <c r="I233" t="s">
        <v>19</v>
      </c>
      <c r="J233" s="1">
        <v>45972</v>
      </c>
      <c r="K233">
        <v>5</v>
      </c>
      <c r="L233">
        <v>1</v>
      </c>
      <c r="M233">
        <v>7</v>
      </c>
      <c r="N233">
        <v>8</v>
      </c>
      <c r="O233">
        <v>13</v>
      </c>
      <c r="P233" t="s">
        <v>1041</v>
      </c>
    </row>
    <row r="234" spans="1:16" x14ac:dyDescent="0.3">
      <c r="A234" t="s">
        <v>262</v>
      </c>
      <c r="B234" t="s">
        <v>23</v>
      </c>
      <c r="C234" t="s">
        <v>17</v>
      </c>
      <c r="D234" s="1">
        <v>45938</v>
      </c>
      <c r="E234" s="1">
        <v>45939</v>
      </c>
      <c r="F234" s="1">
        <v>45941</v>
      </c>
      <c r="G234" s="1">
        <v>45945</v>
      </c>
      <c r="H234" t="s">
        <v>25</v>
      </c>
      <c r="I234" t="s">
        <v>65</v>
      </c>
      <c r="J234" s="1"/>
      <c r="K234">
        <v>1</v>
      </c>
      <c r="L234">
        <v>2</v>
      </c>
      <c r="M234">
        <v>4</v>
      </c>
      <c r="O234">
        <v>7</v>
      </c>
    </row>
    <row r="235" spans="1:16" x14ac:dyDescent="0.3">
      <c r="A235" t="s">
        <v>263</v>
      </c>
      <c r="B235" t="s">
        <v>23</v>
      </c>
      <c r="C235" t="s">
        <v>32</v>
      </c>
      <c r="D235" s="1">
        <v>45936</v>
      </c>
      <c r="E235" s="1">
        <v>45941</v>
      </c>
      <c r="F235" s="1">
        <v>45943</v>
      </c>
      <c r="G235" s="1">
        <v>45947</v>
      </c>
      <c r="H235" t="s">
        <v>18</v>
      </c>
      <c r="I235" t="s">
        <v>19</v>
      </c>
      <c r="J235" s="1">
        <v>45959</v>
      </c>
      <c r="K235">
        <v>5</v>
      </c>
      <c r="L235">
        <v>2</v>
      </c>
      <c r="M235">
        <v>4</v>
      </c>
      <c r="N235">
        <v>9</v>
      </c>
      <c r="O235">
        <v>11</v>
      </c>
      <c r="P235" t="s">
        <v>1050</v>
      </c>
    </row>
    <row r="236" spans="1:16" x14ac:dyDescent="0.3">
      <c r="A236" t="s">
        <v>264</v>
      </c>
      <c r="B236" t="s">
        <v>34</v>
      </c>
      <c r="C236" t="s">
        <v>32</v>
      </c>
      <c r="D236" s="1">
        <v>45948</v>
      </c>
      <c r="E236" s="1">
        <v>45953</v>
      </c>
      <c r="F236" s="1">
        <v>45957</v>
      </c>
      <c r="G236" s="1">
        <v>45963</v>
      </c>
      <c r="H236" t="s">
        <v>18</v>
      </c>
      <c r="I236" t="s">
        <v>19</v>
      </c>
      <c r="J236" s="1">
        <v>45982</v>
      </c>
      <c r="K236">
        <v>5</v>
      </c>
      <c r="L236">
        <v>4</v>
      </c>
      <c r="M236">
        <v>6</v>
      </c>
      <c r="N236">
        <v>4</v>
      </c>
      <c r="O236">
        <v>15</v>
      </c>
      <c r="P236" t="s">
        <v>1049</v>
      </c>
    </row>
    <row r="237" spans="1:16" x14ac:dyDescent="0.3">
      <c r="A237" t="s">
        <v>265</v>
      </c>
      <c r="B237" t="s">
        <v>21</v>
      </c>
      <c r="C237" t="s">
        <v>32</v>
      </c>
      <c r="D237" s="1">
        <v>45933</v>
      </c>
      <c r="E237" s="1">
        <v>45935</v>
      </c>
      <c r="F237" s="1">
        <v>45938</v>
      </c>
      <c r="G237" s="1">
        <v>45942</v>
      </c>
      <c r="H237" t="s">
        <v>18</v>
      </c>
      <c r="I237" t="s">
        <v>19</v>
      </c>
      <c r="J237" s="1">
        <v>45972</v>
      </c>
      <c r="K237">
        <v>2</v>
      </c>
      <c r="L237">
        <v>3</v>
      </c>
      <c r="M237">
        <v>4</v>
      </c>
      <c r="N237">
        <v>7</v>
      </c>
      <c r="O237">
        <v>9</v>
      </c>
      <c r="P237" t="s">
        <v>1041</v>
      </c>
    </row>
    <row r="238" spans="1:16" x14ac:dyDescent="0.3">
      <c r="A238" t="s">
        <v>266</v>
      </c>
      <c r="B238" t="s">
        <v>21</v>
      </c>
      <c r="C238" t="s">
        <v>32</v>
      </c>
      <c r="D238" s="1">
        <v>45936</v>
      </c>
      <c r="E238" s="1">
        <v>45939</v>
      </c>
      <c r="F238" s="1">
        <v>45941</v>
      </c>
      <c r="G238" s="1">
        <v>45947</v>
      </c>
      <c r="H238" t="s">
        <v>18</v>
      </c>
      <c r="I238" t="s">
        <v>19</v>
      </c>
      <c r="J238" s="1">
        <v>45976</v>
      </c>
      <c r="K238">
        <v>3</v>
      </c>
      <c r="L238">
        <v>2</v>
      </c>
      <c r="M238">
        <v>6</v>
      </c>
      <c r="N238">
        <v>7</v>
      </c>
      <c r="O238">
        <v>11</v>
      </c>
      <c r="P238" t="s">
        <v>1041</v>
      </c>
    </row>
    <row r="239" spans="1:16" x14ac:dyDescent="0.3">
      <c r="A239" t="s">
        <v>267</v>
      </c>
      <c r="B239" t="s">
        <v>21</v>
      </c>
      <c r="C239" t="s">
        <v>17</v>
      </c>
      <c r="D239" s="1">
        <v>45931</v>
      </c>
      <c r="E239" s="1">
        <v>45934</v>
      </c>
      <c r="F239" s="1">
        <v>45935</v>
      </c>
      <c r="G239" s="1">
        <v>45942</v>
      </c>
      <c r="H239" t="s">
        <v>18</v>
      </c>
      <c r="I239" t="s">
        <v>19</v>
      </c>
      <c r="J239" s="1">
        <v>45967</v>
      </c>
      <c r="K239">
        <v>3</v>
      </c>
      <c r="L239">
        <v>1</v>
      </c>
      <c r="M239">
        <v>7</v>
      </c>
      <c r="N239">
        <v>0</v>
      </c>
      <c r="O239">
        <v>11</v>
      </c>
      <c r="P239" t="s">
        <v>1049</v>
      </c>
    </row>
    <row r="240" spans="1:16" x14ac:dyDescent="0.3">
      <c r="A240" t="s">
        <v>268</v>
      </c>
      <c r="B240" t="s">
        <v>34</v>
      </c>
      <c r="C240" t="s">
        <v>17</v>
      </c>
      <c r="D240" s="1">
        <v>45944</v>
      </c>
      <c r="E240" s="1">
        <v>45946</v>
      </c>
      <c r="F240" s="1">
        <v>45949</v>
      </c>
      <c r="G240" s="1">
        <v>45951</v>
      </c>
      <c r="H240" t="s">
        <v>18</v>
      </c>
      <c r="I240" t="s">
        <v>19</v>
      </c>
      <c r="J240" s="1">
        <v>45967</v>
      </c>
      <c r="K240">
        <v>2</v>
      </c>
      <c r="L240">
        <v>3</v>
      </c>
      <c r="M240">
        <v>2</v>
      </c>
      <c r="N240">
        <v>1</v>
      </c>
      <c r="O240">
        <v>7</v>
      </c>
      <c r="P240" t="s">
        <v>1049</v>
      </c>
    </row>
    <row r="241" spans="1:16" x14ac:dyDescent="0.3">
      <c r="A241" t="s">
        <v>269</v>
      </c>
      <c r="B241" t="s">
        <v>23</v>
      </c>
      <c r="C241" t="s">
        <v>32</v>
      </c>
      <c r="D241" s="1">
        <v>45945</v>
      </c>
      <c r="E241" s="1">
        <v>45947</v>
      </c>
      <c r="F241" s="1">
        <v>45951</v>
      </c>
      <c r="G241" s="1">
        <v>45954</v>
      </c>
      <c r="H241" t="s">
        <v>25</v>
      </c>
      <c r="I241" t="s">
        <v>65</v>
      </c>
      <c r="J241" s="1"/>
      <c r="K241">
        <v>2</v>
      </c>
      <c r="L241">
        <v>4</v>
      </c>
      <c r="M241">
        <v>3</v>
      </c>
      <c r="O241">
        <v>9</v>
      </c>
    </row>
    <row r="242" spans="1:16" x14ac:dyDescent="0.3">
      <c r="A242" t="s">
        <v>270</v>
      </c>
      <c r="B242" t="s">
        <v>21</v>
      </c>
      <c r="C242" t="s">
        <v>17</v>
      </c>
      <c r="D242" s="1">
        <v>45953</v>
      </c>
      <c r="E242" s="1">
        <v>45954</v>
      </c>
      <c r="F242" s="1">
        <v>45956</v>
      </c>
      <c r="G242" s="1">
        <v>45961</v>
      </c>
      <c r="H242" t="s">
        <v>18</v>
      </c>
      <c r="I242" t="s">
        <v>19</v>
      </c>
      <c r="J242" s="1">
        <v>45974</v>
      </c>
      <c r="K242">
        <v>1</v>
      </c>
      <c r="L242">
        <v>2</v>
      </c>
      <c r="M242">
        <v>5</v>
      </c>
      <c r="N242">
        <v>9</v>
      </c>
      <c r="O242">
        <v>8</v>
      </c>
      <c r="P242" t="s">
        <v>1050</v>
      </c>
    </row>
    <row r="243" spans="1:16" x14ac:dyDescent="0.3">
      <c r="A243" t="s">
        <v>271</v>
      </c>
      <c r="B243" t="s">
        <v>34</v>
      </c>
      <c r="C243" t="s">
        <v>32</v>
      </c>
      <c r="D243" s="1">
        <v>45950</v>
      </c>
      <c r="E243" s="1">
        <v>45952</v>
      </c>
      <c r="F243" s="1">
        <v>45956</v>
      </c>
      <c r="G243" s="1">
        <v>45958</v>
      </c>
      <c r="H243" t="s">
        <v>18</v>
      </c>
      <c r="I243" t="s">
        <v>19</v>
      </c>
      <c r="J243" s="1">
        <v>45968</v>
      </c>
      <c r="K243">
        <v>2</v>
      </c>
      <c r="L243">
        <v>4</v>
      </c>
      <c r="M243">
        <v>2</v>
      </c>
      <c r="N243">
        <v>1</v>
      </c>
      <c r="O243">
        <v>8</v>
      </c>
      <c r="P243" t="s">
        <v>1049</v>
      </c>
    </row>
    <row r="244" spans="1:16" x14ac:dyDescent="0.3">
      <c r="A244" t="s">
        <v>272</v>
      </c>
      <c r="B244" t="s">
        <v>21</v>
      </c>
      <c r="C244" t="s">
        <v>24</v>
      </c>
      <c r="D244" s="1">
        <v>45946</v>
      </c>
      <c r="E244" s="1"/>
      <c r="F244" s="1"/>
      <c r="G244" s="1"/>
      <c r="H244" t="s">
        <v>25</v>
      </c>
      <c r="I244" t="s">
        <v>26</v>
      </c>
      <c r="J244" s="1"/>
    </row>
    <row r="245" spans="1:16" x14ac:dyDescent="0.3">
      <c r="A245" t="s">
        <v>273</v>
      </c>
      <c r="B245" t="s">
        <v>16</v>
      </c>
      <c r="C245" t="s">
        <v>24</v>
      </c>
      <c r="D245" s="1">
        <v>45940</v>
      </c>
      <c r="E245" s="1"/>
      <c r="F245" s="1"/>
      <c r="G245" s="1"/>
      <c r="H245" t="s">
        <v>25</v>
      </c>
      <c r="I245" t="s">
        <v>65</v>
      </c>
      <c r="J245" s="1"/>
    </row>
    <row r="246" spans="1:16" x14ac:dyDescent="0.3">
      <c r="A246" t="s">
        <v>274</v>
      </c>
      <c r="B246" t="s">
        <v>21</v>
      </c>
      <c r="C246" t="s">
        <v>32</v>
      </c>
      <c r="D246" s="1">
        <v>45932</v>
      </c>
      <c r="E246" s="1">
        <v>45935</v>
      </c>
      <c r="F246" s="1">
        <v>45938</v>
      </c>
      <c r="G246" s="1">
        <v>45942</v>
      </c>
      <c r="H246" t="s">
        <v>18</v>
      </c>
      <c r="I246" t="s">
        <v>19</v>
      </c>
      <c r="J246" s="1">
        <v>45958</v>
      </c>
      <c r="K246">
        <v>3</v>
      </c>
      <c r="L246">
        <v>3</v>
      </c>
      <c r="M246">
        <v>4</v>
      </c>
      <c r="N246">
        <v>6</v>
      </c>
      <c r="O246">
        <v>10</v>
      </c>
      <c r="P246" t="s">
        <v>1049</v>
      </c>
    </row>
    <row r="247" spans="1:16" x14ac:dyDescent="0.3">
      <c r="A247" t="s">
        <v>275</v>
      </c>
      <c r="B247" t="s">
        <v>21</v>
      </c>
      <c r="C247" t="s">
        <v>17</v>
      </c>
      <c r="D247" s="1">
        <v>45938</v>
      </c>
      <c r="E247" s="1">
        <v>45940</v>
      </c>
      <c r="F247" s="1">
        <v>45943</v>
      </c>
      <c r="G247" s="1">
        <v>45950</v>
      </c>
      <c r="H247" t="s">
        <v>25</v>
      </c>
      <c r="I247" t="s">
        <v>35</v>
      </c>
      <c r="J247" s="1"/>
      <c r="K247">
        <v>2</v>
      </c>
      <c r="L247">
        <v>3</v>
      </c>
      <c r="M247">
        <v>7</v>
      </c>
      <c r="O247">
        <v>12</v>
      </c>
    </row>
    <row r="248" spans="1:16" x14ac:dyDescent="0.3">
      <c r="A248" t="s">
        <v>276</v>
      </c>
      <c r="B248" t="s">
        <v>23</v>
      </c>
      <c r="C248" t="s">
        <v>32</v>
      </c>
      <c r="D248" s="1">
        <v>45940</v>
      </c>
      <c r="E248" s="1">
        <v>45942</v>
      </c>
      <c r="F248" s="1">
        <v>45945</v>
      </c>
      <c r="G248" s="1">
        <v>45948</v>
      </c>
      <c r="H248" t="s">
        <v>18</v>
      </c>
      <c r="I248" t="s">
        <v>19</v>
      </c>
      <c r="J248" s="1">
        <v>45963</v>
      </c>
      <c r="K248">
        <v>2</v>
      </c>
      <c r="L248">
        <v>3</v>
      </c>
      <c r="M248">
        <v>3</v>
      </c>
      <c r="N248">
        <v>6</v>
      </c>
      <c r="O248">
        <v>8</v>
      </c>
      <c r="P248" t="s">
        <v>1049</v>
      </c>
    </row>
    <row r="249" spans="1:16" x14ac:dyDescent="0.3">
      <c r="A249" t="s">
        <v>277</v>
      </c>
      <c r="B249" t="s">
        <v>34</v>
      </c>
      <c r="C249" t="s">
        <v>17</v>
      </c>
      <c r="D249" s="1">
        <v>45953</v>
      </c>
      <c r="E249" s="1">
        <v>45958</v>
      </c>
      <c r="F249" s="1">
        <v>45963</v>
      </c>
      <c r="G249" s="1">
        <v>45970</v>
      </c>
      <c r="H249" t="s">
        <v>18</v>
      </c>
      <c r="I249" t="s">
        <v>19</v>
      </c>
      <c r="J249" s="1">
        <v>46000</v>
      </c>
      <c r="K249">
        <v>5</v>
      </c>
      <c r="L249">
        <v>5</v>
      </c>
      <c r="M249">
        <v>7</v>
      </c>
      <c r="N249">
        <v>4</v>
      </c>
      <c r="O249">
        <v>17</v>
      </c>
      <c r="P249" t="s">
        <v>1049</v>
      </c>
    </row>
    <row r="250" spans="1:16" x14ac:dyDescent="0.3">
      <c r="A250" t="s">
        <v>278</v>
      </c>
      <c r="B250" t="s">
        <v>23</v>
      </c>
      <c r="C250" t="s">
        <v>17</v>
      </c>
      <c r="D250" s="1">
        <v>45940</v>
      </c>
      <c r="E250" s="1">
        <v>45942</v>
      </c>
      <c r="F250" s="1">
        <v>45947</v>
      </c>
      <c r="G250" s="1">
        <v>45950</v>
      </c>
      <c r="H250" t="s">
        <v>18</v>
      </c>
      <c r="I250" t="s">
        <v>19</v>
      </c>
      <c r="J250" s="1">
        <v>45969</v>
      </c>
      <c r="K250">
        <v>2</v>
      </c>
      <c r="L250">
        <v>5</v>
      </c>
      <c r="M250">
        <v>3</v>
      </c>
      <c r="N250">
        <v>7</v>
      </c>
      <c r="O250">
        <v>10</v>
      </c>
      <c r="P250" t="s">
        <v>1041</v>
      </c>
    </row>
    <row r="251" spans="1:16" x14ac:dyDescent="0.3">
      <c r="A251" t="s">
        <v>279</v>
      </c>
      <c r="B251" t="s">
        <v>23</v>
      </c>
      <c r="C251" t="s">
        <v>32</v>
      </c>
      <c r="D251" s="1">
        <v>45953</v>
      </c>
      <c r="E251" s="1">
        <v>45954</v>
      </c>
      <c r="F251" s="1">
        <v>45955</v>
      </c>
      <c r="G251" s="1">
        <v>45958</v>
      </c>
      <c r="H251" t="s">
        <v>18</v>
      </c>
      <c r="I251" t="s">
        <v>19</v>
      </c>
      <c r="J251" s="1">
        <v>45970</v>
      </c>
      <c r="K251">
        <v>1</v>
      </c>
      <c r="L251">
        <v>1</v>
      </c>
      <c r="M251">
        <v>3</v>
      </c>
      <c r="N251">
        <v>3</v>
      </c>
      <c r="O251">
        <v>5</v>
      </c>
      <c r="P251" t="s">
        <v>1049</v>
      </c>
    </row>
    <row r="252" spans="1:16" x14ac:dyDescent="0.3">
      <c r="A252" t="s">
        <v>280</v>
      </c>
      <c r="B252" t="s">
        <v>23</v>
      </c>
      <c r="C252" t="s">
        <v>17</v>
      </c>
      <c r="D252" s="1">
        <v>45958</v>
      </c>
      <c r="E252" s="1">
        <v>45960</v>
      </c>
      <c r="F252" s="1">
        <v>45963</v>
      </c>
      <c r="G252" s="1">
        <v>45966</v>
      </c>
      <c r="H252" t="s">
        <v>18</v>
      </c>
      <c r="I252" t="s">
        <v>19</v>
      </c>
      <c r="J252" s="1">
        <v>45991</v>
      </c>
      <c r="K252">
        <v>2</v>
      </c>
      <c r="L252">
        <v>3</v>
      </c>
      <c r="M252">
        <v>3</v>
      </c>
      <c r="N252">
        <v>2</v>
      </c>
      <c r="O252">
        <v>8</v>
      </c>
      <c r="P252" t="s">
        <v>1049</v>
      </c>
    </row>
    <row r="253" spans="1:16" x14ac:dyDescent="0.3">
      <c r="A253" t="s">
        <v>281</v>
      </c>
      <c r="B253" t="s">
        <v>23</v>
      </c>
      <c r="C253" t="s">
        <v>32</v>
      </c>
      <c r="D253" s="1">
        <v>45945</v>
      </c>
      <c r="E253" s="1">
        <v>45949</v>
      </c>
      <c r="F253" s="1">
        <v>45952</v>
      </c>
      <c r="G253" s="1">
        <v>45959</v>
      </c>
      <c r="H253" t="s">
        <v>18</v>
      </c>
      <c r="I253" t="s">
        <v>19</v>
      </c>
      <c r="J253" s="1">
        <v>45972</v>
      </c>
      <c r="K253">
        <v>4</v>
      </c>
      <c r="L253">
        <v>3</v>
      </c>
      <c r="M253">
        <v>7</v>
      </c>
      <c r="N253">
        <v>6</v>
      </c>
      <c r="O253">
        <v>14</v>
      </c>
      <c r="P253" t="s">
        <v>1049</v>
      </c>
    </row>
    <row r="254" spans="1:16" x14ac:dyDescent="0.3">
      <c r="A254" t="s">
        <v>282</v>
      </c>
      <c r="B254" t="s">
        <v>23</v>
      </c>
      <c r="C254" t="s">
        <v>32</v>
      </c>
      <c r="D254" s="1">
        <v>45933</v>
      </c>
      <c r="E254" s="1">
        <v>45937</v>
      </c>
      <c r="F254" s="1">
        <v>45939</v>
      </c>
      <c r="G254" s="1">
        <v>45943</v>
      </c>
      <c r="H254" t="s">
        <v>18</v>
      </c>
      <c r="I254" t="s">
        <v>19</v>
      </c>
      <c r="J254" s="1">
        <v>45962</v>
      </c>
      <c r="K254">
        <v>4</v>
      </c>
      <c r="L254">
        <v>2</v>
      </c>
      <c r="M254">
        <v>4</v>
      </c>
      <c r="N254">
        <v>10</v>
      </c>
      <c r="O254">
        <v>10</v>
      </c>
      <c r="P254" t="s">
        <v>1050</v>
      </c>
    </row>
    <row r="255" spans="1:16" x14ac:dyDescent="0.3">
      <c r="A255" t="s">
        <v>283</v>
      </c>
      <c r="B255" t="s">
        <v>21</v>
      </c>
      <c r="C255" t="s">
        <v>17</v>
      </c>
      <c r="D255" s="1">
        <v>45952</v>
      </c>
      <c r="E255" s="1">
        <v>45957</v>
      </c>
      <c r="F255" s="1">
        <v>45958</v>
      </c>
      <c r="G255" s="1">
        <v>45961</v>
      </c>
      <c r="H255" t="s">
        <v>18</v>
      </c>
      <c r="I255" t="s">
        <v>19</v>
      </c>
      <c r="J255" s="1">
        <v>45983</v>
      </c>
      <c r="K255">
        <v>5</v>
      </c>
      <c r="L255">
        <v>1</v>
      </c>
      <c r="M255">
        <v>3</v>
      </c>
      <c r="N255">
        <v>4</v>
      </c>
      <c r="O255">
        <v>9</v>
      </c>
      <c r="P255" t="s">
        <v>1049</v>
      </c>
    </row>
    <row r="256" spans="1:16" x14ac:dyDescent="0.3">
      <c r="A256" t="s">
        <v>284</v>
      </c>
      <c r="B256" t="s">
        <v>23</v>
      </c>
      <c r="C256" t="s">
        <v>17</v>
      </c>
      <c r="D256" s="1">
        <v>45938</v>
      </c>
      <c r="E256" s="1">
        <v>45943</v>
      </c>
      <c r="F256" s="1">
        <v>45944</v>
      </c>
      <c r="G256" s="1">
        <v>45951</v>
      </c>
      <c r="H256" t="s">
        <v>18</v>
      </c>
      <c r="I256" t="s">
        <v>19</v>
      </c>
      <c r="J256" s="1">
        <v>45976</v>
      </c>
      <c r="K256">
        <v>5</v>
      </c>
      <c r="L256">
        <v>1</v>
      </c>
      <c r="M256">
        <v>7</v>
      </c>
      <c r="N256">
        <v>5</v>
      </c>
      <c r="O256">
        <v>13</v>
      </c>
      <c r="P256" t="s">
        <v>1049</v>
      </c>
    </row>
    <row r="257" spans="1:16" x14ac:dyDescent="0.3">
      <c r="A257" t="s">
        <v>285</v>
      </c>
      <c r="B257" t="s">
        <v>23</v>
      </c>
      <c r="C257" t="s">
        <v>17</v>
      </c>
      <c r="D257" s="1">
        <v>45960</v>
      </c>
      <c r="E257" s="1">
        <v>45964</v>
      </c>
      <c r="F257" s="1">
        <v>45968</v>
      </c>
      <c r="G257" s="1">
        <v>45973</v>
      </c>
      <c r="H257" t="s">
        <v>25</v>
      </c>
      <c r="I257" t="s">
        <v>28</v>
      </c>
      <c r="J257" s="1"/>
      <c r="K257">
        <v>4</v>
      </c>
      <c r="L257">
        <v>4</v>
      </c>
      <c r="M257">
        <v>5</v>
      </c>
      <c r="O257">
        <v>13</v>
      </c>
    </row>
    <row r="258" spans="1:16" x14ac:dyDescent="0.3">
      <c r="A258" t="s">
        <v>286</v>
      </c>
      <c r="B258" t="s">
        <v>34</v>
      </c>
      <c r="C258" t="s">
        <v>17</v>
      </c>
      <c r="D258" s="1">
        <v>45939</v>
      </c>
      <c r="E258" s="1">
        <v>45944</v>
      </c>
      <c r="F258" s="1">
        <v>45947</v>
      </c>
      <c r="G258" s="1">
        <v>45952</v>
      </c>
      <c r="H258" t="s">
        <v>18</v>
      </c>
      <c r="I258" t="s">
        <v>19</v>
      </c>
      <c r="J258" s="1">
        <v>45977</v>
      </c>
      <c r="K258">
        <v>5</v>
      </c>
      <c r="L258">
        <v>3</v>
      </c>
      <c r="M258">
        <v>5</v>
      </c>
      <c r="N258">
        <v>3</v>
      </c>
      <c r="O258">
        <v>13</v>
      </c>
      <c r="P258" t="s">
        <v>1049</v>
      </c>
    </row>
    <row r="259" spans="1:16" x14ac:dyDescent="0.3">
      <c r="A259" t="s">
        <v>287</v>
      </c>
      <c r="B259" t="s">
        <v>16</v>
      </c>
      <c r="C259" t="s">
        <v>24</v>
      </c>
      <c r="D259" s="1">
        <v>45956</v>
      </c>
      <c r="E259" s="1"/>
      <c r="F259" s="1"/>
      <c r="G259" s="1"/>
      <c r="H259" t="s">
        <v>25</v>
      </c>
      <c r="I259" t="s">
        <v>65</v>
      </c>
      <c r="J259" s="1"/>
    </row>
    <row r="260" spans="1:16" x14ac:dyDescent="0.3">
      <c r="A260" t="s">
        <v>288</v>
      </c>
      <c r="B260" t="s">
        <v>21</v>
      </c>
      <c r="C260" t="s">
        <v>32</v>
      </c>
      <c r="D260" s="1">
        <v>45956</v>
      </c>
      <c r="E260" s="1">
        <v>45961</v>
      </c>
      <c r="F260" s="1">
        <v>45963</v>
      </c>
      <c r="G260" s="1">
        <v>45966</v>
      </c>
      <c r="H260" t="s">
        <v>25</v>
      </c>
      <c r="I260" t="s">
        <v>65</v>
      </c>
      <c r="J260" s="1"/>
      <c r="K260">
        <v>5</v>
      </c>
      <c r="L260">
        <v>2</v>
      </c>
      <c r="M260">
        <v>3</v>
      </c>
      <c r="O260">
        <v>10</v>
      </c>
    </row>
    <row r="261" spans="1:16" x14ac:dyDescent="0.3">
      <c r="A261" t="s">
        <v>289</v>
      </c>
      <c r="B261" t="s">
        <v>21</v>
      </c>
      <c r="C261" t="s">
        <v>17</v>
      </c>
      <c r="D261" s="1">
        <v>45951</v>
      </c>
      <c r="E261" s="1">
        <v>45954</v>
      </c>
      <c r="F261" s="1">
        <v>45958</v>
      </c>
      <c r="G261" s="1">
        <v>45964</v>
      </c>
      <c r="H261" t="s">
        <v>18</v>
      </c>
      <c r="I261" t="s">
        <v>19</v>
      </c>
      <c r="J261" s="1">
        <v>45982</v>
      </c>
      <c r="K261">
        <v>3</v>
      </c>
      <c r="L261">
        <v>4</v>
      </c>
      <c r="M261">
        <v>6</v>
      </c>
      <c r="N261">
        <v>4</v>
      </c>
      <c r="O261">
        <v>13</v>
      </c>
      <c r="P261" t="s">
        <v>1049</v>
      </c>
    </row>
    <row r="262" spans="1:16" x14ac:dyDescent="0.3">
      <c r="A262" t="s">
        <v>290</v>
      </c>
      <c r="B262" t="s">
        <v>21</v>
      </c>
      <c r="C262" t="s">
        <v>17</v>
      </c>
      <c r="D262" s="1">
        <v>45949</v>
      </c>
      <c r="E262" s="1">
        <v>45952</v>
      </c>
      <c r="F262" s="1">
        <v>45957</v>
      </c>
      <c r="G262" s="1">
        <v>45964</v>
      </c>
      <c r="H262" t="s">
        <v>18</v>
      </c>
      <c r="I262" t="s">
        <v>19</v>
      </c>
      <c r="J262" s="1">
        <v>45976</v>
      </c>
      <c r="K262">
        <v>3</v>
      </c>
      <c r="L262">
        <v>5</v>
      </c>
      <c r="M262">
        <v>7</v>
      </c>
      <c r="N262">
        <v>2</v>
      </c>
      <c r="O262">
        <v>15</v>
      </c>
      <c r="P262" t="s">
        <v>1049</v>
      </c>
    </row>
    <row r="263" spans="1:16" x14ac:dyDescent="0.3">
      <c r="A263" t="s">
        <v>291</v>
      </c>
      <c r="B263" t="s">
        <v>23</v>
      </c>
      <c r="C263" t="s">
        <v>17</v>
      </c>
      <c r="D263" s="1">
        <v>45952</v>
      </c>
      <c r="E263" s="1">
        <v>45954</v>
      </c>
      <c r="F263" s="1">
        <v>45957</v>
      </c>
      <c r="G263" s="1">
        <v>45961</v>
      </c>
      <c r="H263" t="s">
        <v>18</v>
      </c>
      <c r="I263" t="s">
        <v>19</v>
      </c>
      <c r="J263" s="1">
        <v>45991</v>
      </c>
      <c r="K263">
        <v>2</v>
      </c>
      <c r="L263">
        <v>3</v>
      </c>
      <c r="M263">
        <v>4</v>
      </c>
      <c r="N263">
        <v>9</v>
      </c>
      <c r="O263">
        <v>9</v>
      </c>
      <c r="P263" t="s">
        <v>1050</v>
      </c>
    </row>
    <row r="264" spans="1:16" x14ac:dyDescent="0.3">
      <c r="A264" t="s">
        <v>292</v>
      </c>
      <c r="B264" t="s">
        <v>23</v>
      </c>
      <c r="C264" t="s">
        <v>24</v>
      </c>
      <c r="D264" s="1">
        <v>45956</v>
      </c>
      <c r="E264" s="1"/>
      <c r="F264" s="1"/>
      <c r="G264" s="1"/>
      <c r="H264" t="s">
        <v>25</v>
      </c>
      <c r="I264" t="s">
        <v>26</v>
      </c>
      <c r="J264" s="1"/>
    </row>
    <row r="265" spans="1:16" x14ac:dyDescent="0.3">
      <c r="A265" t="s">
        <v>293</v>
      </c>
      <c r="B265" t="s">
        <v>23</v>
      </c>
      <c r="C265" t="s">
        <v>17</v>
      </c>
      <c r="D265" s="1">
        <v>45960</v>
      </c>
      <c r="E265" s="1">
        <v>45964</v>
      </c>
      <c r="F265" s="1">
        <v>45965</v>
      </c>
      <c r="G265" s="1">
        <v>45972</v>
      </c>
      <c r="H265" t="s">
        <v>18</v>
      </c>
      <c r="I265" t="s">
        <v>19</v>
      </c>
      <c r="J265" s="1">
        <v>45999</v>
      </c>
      <c r="K265">
        <v>4</v>
      </c>
      <c r="L265">
        <v>1</v>
      </c>
      <c r="M265">
        <v>7</v>
      </c>
      <c r="N265">
        <v>5</v>
      </c>
      <c r="O265">
        <v>12</v>
      </c>
      <c r="P265" t="s">
        <v>1049</v>
      </c>
    </row>
    <row r="266" spans="1:16" x14ac:dyDescent="0.3">
      <c r="A266" t="s">
        <v>294</v>
      </c>
      <c r="B266" t="s">
        <v>34</v>
      </c>
      <c r="C266" t="s">
        <v>17</v>
      </c>
      <c r="D266" s="1">
        <v>45937</v>
      </c>
      <c r="E266" s="1">
        <v>45938</v>
      </c>
      <c r="F266" s="1">
        <v>45941</v>
      </c>
      <c r="G266" s="1">
        <v>45946</v>
      </c>
      <c r="H266" t="s">
        <v>18</v>
      </c>
      <c r="I266" t="s">
        <v>19</v>
      </c>
      <c r="J266" s="1">
        <v>45968</v>
      </c>
      <c r="K266">
        <v>1</v>
      </c>
      <c r="L266">
        <v>3</v>
      </c>
      <c r="M266">
        <v>5</v>
      </c>
      <c r="N266">
        <v>7</v>
      </c>
      <c r="O266">
        <v>9</v>
      </c>
      <c r="P266" t="s">
        <v>1041</v>
      </c>
    </row>
    <row r="267" spans="1:16" x14ac:dyDescent="0.3">
      <c r="A267" t="s">
        <v>295</v>
      </c>
      <c r="B267" t="s">
        <v>16</v>
      </c>
      <c r="C267" t="s">
        <v>17</v>
      </c>
      <c r="D267" s="1">
        <v>45944</v>
      </c>
      <c r="E267" s="1">
        <v>45948</v>
      </c>
      <c r="F267" s="1">
        <v>45951</v>
      </c>
      <c r="G267" s="1">
        <v>45956</v>
      </c>
      <c r="H267" t="s">
        <v>18</v>
      </c>
      <c r="I267" t="s">
        <v>19</v>
      </c>
      <c r="J267" s="1">
        <v>45971</v>
      </c>
      <c r="K267">
        <v>4</v>
      </c>
      <c r="L267">
        <v>3</v>
      </c>
      <c r="M267">
        <v>5</v>
      </c>
      <c r="N267">
        <v>5</v>
      </c>
      <c r="O267">
        <v>12</v>
      </c>
      <c r="P267" t="s">
        <v>1049</v>
      </c>
    </row>
    <row r="268" spans="1:16" x14ac:dyDescent="0.3">
      <c r="A268" t="s">
        <v>296</v>
      </c>
      <c r="B268" t="s">
        <v>23</v>
      </c>
      <c r="C268" t="s">
        <v>24</v>
      </c>
      <c r="D268" s="1">
        <v>45934</v>
      </c>
      <c r="E268" s="1"/>
      <c r="F268" s="1"/>
      <c r="G268" s="1"/>
      <c r="H268" t="s">
        <v>25</v>
      </c>
      <c r="I268" t="s">
        <v>35</v>
      </c>
      <c r="J268" s="1"/>
    </row>
    <row r="269" spans="1:16" x14ac:dyDescent="0.3">
      <c r="A269" t="s">
        <v>297</v>
      </c>
      <c r="B269" t="s">
        <v>16</v>
      </c>
      <c r="C269" t="s">
        <v>24</v>
      </c>
      <c r="D269" s="1">
        <v>45948</v>
      </c>
      <c r="E269" s="1"/>
      <c r="F269" s="1"/>
      <c r="G269" s="1"/>
      <c r="H269" t="s">
        <v>25</v>
      </c>
      <c r="I269" t="s">
        <v>28</v>
      </c>
      <c r="J269" s="1"/>
    </row>
    <row r="270" spans="1:16" x14ac:dyDescent="0.3">
      <c r="A270" t="s">
        <v>298</v>
      </c>
      <c r="B270" t="s">
        <v>34</v>
      </c>
      <c r="C270" t="s">
        <v>17</v>
      </c>
      <c r="D270" s="1">
        <v>45938</v>
      </c>
      <c r="E270" s="1">
        <v>45942</v>
      </c>
      <c r="F270" s="1">
        <v>45947</v>
      </c>
      <c r="G270" s="1">
        <v>45952</v>
      </c>
      <c r="H270" t="s">
        <v>18</v>
      </c>
      <c r="I270" t="s">
        <v>19</v>
      </c>
      <c r="J270" s="1">
        <v>45973</v>
      </c>
      <c r="K270">
        <v>4</v>
      </c>
      <c r="L270">
        <v>5</v>
      </c>
      <c r="M270">
        <v>5</v>
      </c>
      <c r="N270">
        <v>6</v>
      </c>
      <c r="O270">
        <v>14</v>
      </c>
      <c r="P270" t="s">
        <v>1049</v>
      </c>
    </row>
    <row r="271" spans="1:16" x14ac:dyDescent="0.3">
      <c r="A271" t="s">
        <v>299</v>
      </c>
      <c r="B271" t="s">
        <v>21</v>
      </c>
      <c r="C271" t="s">
        <v>17</v>
      </c>
      <c r="D271" s="1">
        <v>45951</v>
      </c>
      <c r="E271" s="1">
        <v>45954</v>
      </c>
      <c r="F271" s="1">
        <v>45956</v>
      </c>
      <c r="G271" s="1">
        <v>45958</v>
      </c>
      <c r="H271" t="s">
        <v>18</v>
      </c>
      <c r="I271" t="s">
        <v>19</v>
      </c>
      <c r="J271" s="1">
        <v>45980</v>
      </c>
      <c r="K271">
        <v>3</v>
      </c>
      <c r="L271">
        <v>2</v>
      </c>
      <c r="M271">
        <v>2</v>
      </c>
      <c r="N271">
        <v>1</v>
      </c>
      <c r="O271">
        <v>7</v>
      </c>
      <c r="P271" t="s">
        <v>1049</v>
      </c>
    </row>
    <row r="272" spans="1:16" x14ac:dyDescent="0.3">
      <c r="A272" t="s">
        <v>300</v>
      </c>
      <c r="B272" t="s">
        <v>23</v>
      </c>
      <c r="C272" t="s">
        <v>32</v>
      </c>
      <c r="D272" s="1">
        <v>45935</v>
      </c>
      <c r="E272" s="1">
        <v>45938</v>
      </c>
      <c r="F272" s="1">
        <v>45940</v>
      </c>
      <c r="G272" s="1">
        <v>45947</v>
      </c>
      <c r="H272" t="s">
        <v>18</v>
      </c>
      <c r="I272" t="s">
        <v>19</v>
      </c>
      <c r="J272" s="1">
        <v>45968</v>
      </c>
      <c r="K272">
        <v>3</v>
      </c>
      <c r="L272">
        <v>2</v>
      </c>
      <c r="M272">
        <v>7</v>
      </c>
      <c r="N272">
        <v>5</v>
      </c>
      <c r="O272">
        <v>12</v>
      </c>
      <c r="P272" t="s">
        <v>1049</v>
      </c>
    </row>
    <row r="273" spans="1:16" x14ac:dyDescent="0.3">
      <c r="A273" t="s">
        <v>301</v>
      </c>
      <c r="B273" t="s">
        <v>16</v>
      </c>
      <c r="C273" t="s">
        <v>32</v>
      </c>
      <c r="D273" s="1">
        <v>45960</v>
      </c>
      <c r="E273" s="1">
        <v>45965</v>
      </c>
      <c r="F273" s="1">
        <v>45967</v>
      </c>
      <c r="G273" s="1">
        <v>45969</v>
      </c>
      <c r="H273" t="s">
        <v>18</v>
      </c>
      <c r="I273" t="s">
        <v>19</v>
      </c>
      <c r="J273" s="1">
        <v>45984</v>
      </c>
      <c r="K273">
        <v>5</v>
      </c>
      <c r="L273">
        <v>2</v>
      </c>
      <c r="M273">
        <v>2</v>
      </c>
      <c r="N273">
        <v>6</v>
      </c>
      <c r="O273">
        <v>9</v>
      </c>
      <c r="P273" t="s">
        <v>1049</v>
      </c>
    </row>
    <row r="274" spans="1:16" x14ac:dyDescent="0.3">
      <c r="A274" t="s">
        <v>302</v>
      </c>
      <c r="B274" t="s">
        <v>16</v>
      </c>
      <c r="C274" t="s">
        <v>17</v>
      </c>
      <c r="D274" s="1">
        <v>45939</v>
      </c>
      <c r="E274" s="1">
        <v>45940</v>
      </c>
      <c r="F274" s="1">
        <v>45944</v>
      </c>
      <c r="G274" s="1">
        <v>45949</v>
      </c>
      <c r="H274" t="s">
        <v>18</v>
      </c>
      <c r="I274" t="s">
        <v>19</v>
      </c>
      <c r="J274" s="1">
        <v>45973</v>
      </c>
      <c r="K274">
        <v>1</v>
      </c>
      <c r="L274">
        <v>4</v>
      </c>
      <c r="M274">
        <v>5</v>
      </c>
      <c r="N274">
        <v>9</v>
      </c>
      <c r="O274">
        <v>10</v>
      </c>
      <c r="P274" t="s">
        <v>1050</v>
      </c>
    </row>
    <row r="275" spans="1:16" x14ac:dyDescent="0.3">
      <c r="A275" t="s">
        <v>303</v>
      </c>
      <c r="B275" t="s">
        <v>23</v>
      </c>
      <c r="C275" t="s">
        <v>32</v>
      </c>
      <c r="D275" s="1">
        <v>45957</v>
      </c>
      <c r="E275" s="1">
        <v>45960</v>
      </c>
      <c r="F275" s="1">
        <v>45962</v>
      </c>
      <c r="G275" s="1">
        <v>45968</v>
      </c>
      <c r="H275" t="s">
        <v>18</v>
      </c>
      <c r="I275" t="s">
        <v>19</v>
      </c>
      <c r="J275" s="1">
        <v>45979</v>
      </c>
      <c r="K275">
        <v>3</v>
      </c>
      <c r="L275">
        <v>2</v>
      </c>
      <c r="M275">
        <v>6</v>
      </c>
      <c r="N275">
        <v>2</v>
      </c>
      <c r="O275">
        <v>11</v>
      </c>
      <c r="P275" t="s">
        <v>1049</v>
      </c>
    </row>
    <row r="276" spans="1:16" x14ac:dyDescent="0.3">
      <c r="A276" t="s">
        <v>304</v>
      </c>
      <c r="B276" t="s">
        <v>21</v>
      </c>
      <c r="C276" t="s">
        <v>17</v>
      </c>
      <c r="D276" s="1">
        <v>45935</v>
      </c>
      <c r="E276" s="1">
        <v>45940</v>
      </c>
      <c r="F276" s="1">
        <v>45944</v>
      </c>
      <c r="G276" s="1">
        <v>45951</v>
      </c>
      <c r="H276" t="s">
        <v>18</v>
      </c>
      <c r="I276" t="s">
        <v>19</v>
      </c>
      <c r="J276" s="1">
        <v>45969</v>
      </c>
      <c r="K276">
        <v>5</v>
      </c>
      <c r="L276">
        <v>4</v>
      </c>
      <c r="M276">
        <v>7</v>
      </c>
      <c r="N276">
        <v>3</v>
      </c>
      <c r="O276">
        <v>16</v>
      </c>
      <c r="P276" t="s">
        <v>1049</v>
      </c>
    </row>
    <row r="277" spans="1:16" x14ac:dyDescent="0.3">
      <c r="A277" t="s">
        <v>305</v>
      </c>
      <c r="B277" t="s">
        <v>21</v>
      </c>
      <c r="C277" t="s">
        <v>32</v>
      </c>
      <c r="D277" s="1">
        <v>45933</v>
      </c>
      <c r="E277" s="1">
        <v>45934</v>
      </c>
      <c r="F277" s="1">
        <v>45939</v>
      </c>
      <c r="G277" s="1">
        <v>45943</v>
      </c>
      <c r="H277" t="s">
        <v>18</v>
      </c>
      <c r="I277" t="s">
        <v>19</v>
      </c>
      <c r="J277" s="1">
        <v>45967</v>
      </c>
      <c r="K277">
        <v>1</v>
      </c>
      <c r="L277">
        <v>5</v>
      </c>
      <c r="M277">
        <v>4</v>
      </c>
      <c r="N277">
        <v>10</v>
      </c>
      <c r="O277">
        <v>10</v>
      </c>
      <c r="P277" t="s">
        <v>1050</v>
      </c>
    </row>
    <row r="278" spans="1:16" x14ac:dyDescent="0.3">
      <c r="A278" t="s">
        <v>306</v>
      </c>
      <c r="B278" t="s">
        <v>21</v>
      </c>
      <c r="C278" t="s">
        <v>17</v>
      </c>
      <c r="D278" s="1">
        <v>45932</v>
      </c>
      <c r="E278" s="1">
        <v>45935</v>
      </c>
      <c r="F278" s="1">
        <v>45938</v>
      </c>
      <c r="G278" s="1">
        <v>45945</v>
      </c>
      <c r="H278" t="s">
        <v>18</v>
      </c>
      <c r="I278" t="s">
        <v>19</v>
      </c>
      <c r="J278" s="1">
        <v>45969</v>
      </c>
      <c r="K278">
        <v>3</v>
      </c>
      <c r="L278">
        <v>3</v>
      </c>
      <c r="M278">
        <v>7</v>
      </c>
      <c r="N278">
        <v>8</v>
      </c>
      <c r="O278">
        <v>13</v>
      </c>
      <c r="P278" t="s">
        <v>1041</v>
      </c>
    </row>
    <row r="279" spans="1:16" x14ac:dyDescent="0.3">
      <c r="A279" t="s">
        <v>307</v>
      </c>
      <c r="B279" t="s">
        <v>34</v>
      </c>
      <c r="C279" t="s">
        <v>17</v>
      </c>
      <c r="D279" s="1">
        <v>45936</v>
      </c>
      <c r="E279" s="1">
        <v>45940</v>
      </c>
      <c r="F279" s="1">
        <v>45944</v>
      </c>
      <c r="G279" s="1">
        <v>45948</v>
      </c>
      <c r="H279" t="s">
        <v>18</v>
      </c>
      <c r="I279" t="s">
        <v>19</v>
      </c>
      <c r="J279" s="1">
        <v>45966</v>
      </c>
      <c r="K279">
        <v>4</v>
      </c>
      <c r="L279">
        <v>4</v>
      </c>
      <c r="M279">
        <v>4</v>
      </c>
      <c r="N279">
        <v>1</v>
      </c>
      <c r="O279">
        <v>12</v>
      </c>
      <c r="P279" t="s">
        <v>1049</v>
      </c>
    </row>
    <row r="280" spans="1:16" x14ac:dyDescent="0.3">
      <c r="A280" t="s">
        <v>308</v>
      </c>
      <c r="B280" t="s">
        <v>16</v>
      </c>
      <c r="C280" t="s">
        <v>24</v>
      </c>
      <c r="D280" s="1">
        <v>45956</v>
      </c>
      <c r="E280" s="1"/>
      <c r="F280" s="1"/>
      <c r="G280" s="1"/>
      <c r="H280" t="s">
        <v>25</v>
      </c>
      <c r="I280" t="s">
        <v>26</v>
      </c>
      <c r="J280" s="1"/>
    </row>
    <row r="281" spans="1:16" x14ac:dyDescent="0.3">
      <c r="A281" t="s">
        <v>309</v>
      </c>
      <c r="B281" t="s">
        <v>16</v>
      </c>
      <c r="C281" t="s">
        <v>32</v>
      </c>
      <c r="D281" s="1">
        <v>45940</v>
      </c>
      <c r="E281" s="1">
        <v>45944</v>
      </c>
      <c r="F281" s="1">
        <v>45949</v>
      </c>
      <c r="G281" s="1">
        <v>45954</v>
      </c>
      <c r="H281" t="s">
        <v>25</v>
      </c>
      <c r="I281" t="s">
        <v>26</v>
      </c>
      <c r="J281" s="1"/>
      <c r="K281">
        <v>4</v>
      </c>
      <c r="L281">
        <v>5</v>
      </c>
      <c r="M281">
        <v>5</v>
      </c>
      <c r="O281">
        <v>14</v>
      </c>
    </row>
    <row r="282" spans="1:16" x14ac:dyDescent="0.3">
      <c r="A282" t="s">
        <v>310</v>
      </c>
      <c r="B282" t="s">
        <v>16</v>
      </c>
      <c r="C282" t="s">
        <v>17</v>
      </c>
      <c r="D282" s="1">
        <v>45950</v>
      </c>
      <c r="E282" s="1">
        <v>45951</v>
      </c>
      <c r="F282" s="1">
        <v>45955</v>
      </c>
      <c r="G282" s="1">
        <v>45960</v>
      </c>
      <c r="H282" t="s">
        <v>18</v>
      </c>
      <c r="I282" t="s">
        <v>19</v>
      </c>
      <c r="J282" s="1">
        <v>45977</v>
      </c>
      <c r="K282">
        <v>1</v>
      </c>
      <c r="L282">
        <v>4</v>
      </c>
      <c r="M282">
        <v>5</v>
      </c>
      <c r="N282">
        <v>8</v>
      </c>
      <c r="O282">
        <v>10</v>
      </c>
      <c r="P282" t="s">
        <v>1041</v>
      </c>
    </row>
    <row r="283" spans="1:16" x14ac:dyDescent="0.3">
      <c r="A283" t="s">
        <v>311</v>
      </c>
      <c r="B283" t="s">
        <v>34</v>
      </c>
      <c r="C283" t="s">
        <v>24</v>
      </c>
      <c r="D283" s="1">
        <v>45954</v>
      </c>
      <c r="E283" s="1"/>
      <c r="F283" s="1"/>
      <c r="G283" s="1"/>
      <c r="H283" t="s">
        <v>25</v>
      </c>
      <c r="I283" t="s">
        <v>35</v>
      </c>
      <c r="J283" s="1"/>
    </row>
    <row r="284" spans="1:16" x14ac:dyDescent="0.3">
      <c r="A284" t="s">
        <v>312</v>
      </c>
      <c r="B284" t="s">
        <v>16</v>
      </c>
      <c r="C284" t="s">
        <v>32</v>
      </c>
      <c r="D284" s="1">
        <v>45957</v>
      </c>
      <c r="E284" s="1">
        <v>45958</v>
      </c>
      <c r="F284" s="1">
        <v>45963</v>
      </c>
      <c r="G284" s="1">
        <v>45967</v>
      </c>
      <c r="H284" t="s">
        <v>25</v>
      </c>
      <c r="I284" t="s">
        <v>28</v>
      </c>
      <c r="J284" s="1"/>
      <c r="K284">
        <v>1</v>
      </c>
      <c r="L284">
        <v>5</v>
      </c>
      <c r="M284">
        <v>4</v>
      </c>
      <c r="O284">
        <v>10</v>
      </c>
    </row>
    <row r="285" spans="1:16" x14ac:dyDescent="0.3">
      <c r="A285" t="s">
        <v>313</v>
      </c>
      <c r="B285" t="s">
        <v>34</v>
      </c>
      <c r="C285" t="s">
        <v>24</v>
      </c>
      <c r="D285" s="1">
        <v>45949</v>
      </c>
      <c r="E285" s="1"/>
      <c r="F285" s="1"/>
      <c r="G285" s="1"/>
      <c r="H285" t="s">
        <v>25</v>
      </c>
      <c r="I285" t="s">
        <v>35</v>
      </c>
      <c r="J285" s="1"/>
    </row>
    <row r="286" spans="1:16" x14ac:dyDescent="0.3">
      <c r="A286" t="s">
        <v>314</v>
      </c>
      <c r="B286" t="s">
        <v>21</v>
      </c>
      <c r="C286" t="s">
        <v>17</v>
      </c>
      <c r="D286" s="1">
        <v>45960</v>
      </c>
      <c r="E286" s="1">
        <v>45963</v>
      </c>
      <c r="F286" s="1">
        <v>45965</v>
      </c>
      <c r="G286" s="1">
        <v>45971</v>
      </c>
      <c r="H286" t="s">
        <v>18</v>
      </c>
      <c r="I286" t="s">
        <v>19</v>
      </c>
      <c r="J286" s="1">
        <v>45989</v>
      </c>
      <c r="K286">
        <v>3</v>
      </c>
      <c r="L286">
        <v>2</v>
      </c>
      <c r="M286">
        <v>6</v>
      </c>
      <c r="N286">
        <v>4</v>
      </c>
      <c r="O286">
        <v>11</v>
      </c>
      <c r="P286" t="s">
        <v>1049</v>
      </c>
    </row>
    <row r="287" spans="1:16" x14ac:dyDescent="0.3">
      <c r="A287" t="s">
        <v>315</v>
      </c>
      <c r="B287" t="s">
        <v>23</v>
      </c>
      <c r="C287" t="s">
        <v>17</v>
      </c>
      <c r="D287" s="1">
        <v>45940</v>
      </c>
      <c r="E287" s="1">
        <v>45943</v>
      </c>
      <c r="F287" s="1">
        <v>45945</v>
      </c>
      <c r="G287" s="1">
        <v>45947</v>
      </c>
      <c r="H287" t="s">
        <v>18</v>
      </c>
      <c r="I287" t="s">
        <v>19</v>
      </c>
      <c r="J287" s="1">
        <v>45975</v>
      </c>
      <c r="K287">
        <v>3</v>
      </c>
      <c r="L287">
        <v>2</v>
      </c>
      <c r="M287">
        <v>2</v>
      </c>
      <c r="N287">
        <v>9</v>
      </c>
      <c r="O287">
        <v>7</v>
      </c>
      <c r="P287" t="s">
        <v>1050</v>
      </c>
    </row>
    <row r="288" spans="1:16" x14ac:dyDescent="0.3">
      <c r="A288" t="s">
        <v>316</v>
      </c>
      <c r="B288" t="s">
        <v>16</v>
      </c>
      <c r="C288" t="s">
        <v>24</v>
      </c>
      <c r="D288" s="1">
        <v>45945</v>
      </c>
      <c r="E288" s="1"/>
      <c r="F288" s="1"/>
      <c r="G288" s="1"/>
      <c r="H288" t="s">
        <v>25</v>
      </c>
      <c r="I288" t="s">
        <v>28</v>
      </c>
      <c r="J288" s="1"/>
    </row>
    <row r="289" spans="1:16" x14ac:dyDescent="0.3">
      <c r="A289" t="s">
        <v>317</v>
      </c>
      <c r="B289" t="s">
        <v>16</v>
      </c>
      <c r="C289" t="s">
        <v>32</v>
      </c>
      <c r="D289" s="1">
        <v>45934</v>
      </c>
      <c r="E289" s="1">
        <v>45935</v>
      </c>
      <c r="F289" s="1">
        <v>45940</v>
      </c>
      <c r="G289" s="1">
        <v>45947</v>
      </c>
      <c r="H289" t="s">
        <v>18</v>
      </c>
      <c r="I289" t="s">
        <v>19</v>
      </c>
      <c r="J289" s="1">
        <v>45958</v>
      </c>
      <c r="K289">
        <v>1</v>
      </c>
      <c r="L289">
        <v>5</v>
      </c>
      <c r="M289">
        <v>7</v>
      </c>
      <c r="N289">
        <v>2</v>
      </c>
      <c r="O289">
        <v>13</v>
      </c>
      <c r="P289" t="s">
        <v>1049</v>
      </c>
    </row>
    <row r="290" spans="1:16" x14ac:dyDescent="0.3">
      <c r="A290" t="s">
        <v>318</v>
      </c>
      <c r="B290" t="s">
        <v>21</v>
      </c>
      <c r="C290" t="s">
        <v>17</v>
      </c>
      <c r="D290" s="1">
        <v>45945</v>
      </c>
      <c r="E290" s="1">
        <v>45946</v>
      </c>
      <c r="F290" s="1">
        <v>45947</v>
      </c>
      <c r="G290" s="1">
        <v>45949</v>
      </c>
      <c r="H290" t="s">
        <v>25</v>
      </c>
      <c r="I290" t="s">
        <v>35</v>
      </c>
      <c r="J290" s="1"/>
      <c r="K290">
        <v>1</v>
      </c>
      <c r="L290">
        <v>1</v>
      </c>
      <c r="M290">
        <v>2</v>
      </c>
      <c r="O290">
        <v>4</v>
      </c>
    </row>
    <row r="291" spans="1:16" x14ac:dyDescent="0.3">
      <c r="A291" t="s">
        <v>319</v>
      </c>
      <c r="B291" t="s">
        <v>23</v>
      </c>
      <c r="C291" t="s">
        <v>24</v>
      </c>
      <c r="D291" s="1">
        <v>45953</v>
      </c>
      <c r="E291" s="1"/>
      <c r="F291" s="1"/>
      <c r="G291" s="1"/>
      <c r="H291" t="s">
        <v>25</v>
      </c>
      <c r="I291" t="s">
        <v>26</v>
      </c>
      <c r="J291" s="1"/>
    </row>
    <row r="292" spans="1:16" x14ac:dyDescent="0.3">
      <c r="A292" t="s">
        <v>320</v>
      </c>
      <c r="B292" t="s">
        <v>34</v>
      </c>
      <c r="C292" t="s">
        <v>32</v>
      </c>
      <c r="D292" s="1">
        <v>45940</v>
      </c>
      <c r="E292" s="1">
        <v>45945</v>
      </c>
      <c r="F292" s="1">
        <v>45950</v>
      </c>
      <c r="G292" s="1">
        <v>45957</v>
      </c>
      <c r="H292" t="s">
        <v>18</v>
      </c>
      <c r="I292" t="s">
        <v>19</v>
      </c>
      <c r="J292" s="1">
        <v>45971</v>
      </c>
      <c r="K292">
        <v>5</v>
      </c>
      <c r="L292">
        <v>5</v>
      </c>
      <c r="M292">
        <v>7</v>
      </c>
      <c r="N292">
        <v>4</v>
      </c>
      <c r="O292">
        <v>17</v>
      </c>
      <c r="P292" t="s">
        <v>1049</v>
      </c>
    </row>
    <row r="293" spans="1:16" x14ac:dyDescent="0.3">
      <c r="A293" t="s">
        <v>321</v>
      </c>
      <c r="B293" t="s">
        <v>23</v>
      </c>
      <c r="C293" t="s">
        <v>17</v>
      </c>
      <c r="D293" s="1">
        <v>45953</v>
      </c>
      <c r="E293" s="1">
        <v>45958</v>
      </c>
      <c r="F293" s="1">
        <v>45962</v>
      </c>
      <c r="G293" s="1">
        <v>45967</v>
      </c>
      <c r="H293" t="s">
        <v>18</v>
      </c>
      <c r="I293" t="s">
        <v>19</v>
      </c>
      <c r="J293" s="1">
        <v>45980</v>
      </c>
      <c r="K293">
        <v>5</v>
      </c>
      <c r="L293">
        <v>4</v>
      </c>
      <c r="M293">
        <v>5</v>
      </c>
      <c r="N293">
        <v>1</v>
      </c>
      <c r="O293">
        <v>14</v>
      </c>
      <c r="P293" t="s">
        <v>1049</v>
      </c>
    </row>
    <row r="294" spans="1:16" x14ac:dyDescent="0.3">
      <c r="A294" t="s">
        <v>322</v>
      </c>
      <c r="B294" t="s">
        <v>21</v>
      </c>
      <c r="C294" t="s">
        <v>24</v>
      </c>
      <c r="D294" s="1">
        <v>45943</v>
      </c>
      <c r="E294" s="1"/>
      <c r="F294" s="1"/>
      <c r="G294" s="1"/>
      <c r="H294" t="s">
        <v>25</v>
      </c>
      <c r="I294" t="s">
        <v>26</v>
      </c>
      <c r="J294" s="1"/>
    </row>
    <row r="295" spans="1:16" x14ac:dyDescent="0.3">
      <c r="A295" t="s">
        <v>323</v>
      </c>
      <c r="B295" t="s">
        <v>21</v>
      </c>
      <c r="C295" t="s">
        <v>32</v>
      </c>
      <c r="D295" s="1">
        <v>45961</v>
      </c>
      <c r="E295" s="1">
        <v>45966</v>
      </c>
      <c r="F295" s="1">
        <v>45971</v>
      </c>
      <c r="G295" s="1">
        <v>45978</v>
      </c>
      <c r="H295" t="s">
        <v>18</v>
      </c>
      <c r="I295" t="s">
        <v>19</v>
      </c>
      <c r="J295" s="1">
        <v>45990</v>
      </c>
      <c r="K295">
        <v>5</v>
      </c>
      <c r="L295">
        <v>5</v>
      </c>
      <c r="M295">
        <v>7</v>
      </c>
      <c r="N295">
        <v>6</v>
      </c>
      <c r="O295">
        <v>17</v>
      </c>
      <c r="P295" t="s">
        <v>1049</v>
      </c>
    </row>
    <row r="296" spans="1:16" x14ac:dyDescent="0.3">
      <c r="A296" t="s">
        <v>324</v>
      </c>
      <c r="B296" t="s">
        <v>23</v>
      </c>
      <c r="C296" t="s">
        <v>24</v>
      </c>
      <c r="D296" s="1">
        <v>45939</v>
      </c>
      <c r="E296" s="1"/>
      <c r="F296" s="1"/>
      <c r="G296" s="1"/>
      <c r="H296" t="s">
        <v>25</v>
      </c>
      <c r="I296" t="s">
        <v>103</v>
      </c>
      <c r="J296" s="1"/>
    </row>
    <row r="297" spans="1:16" x14ac:dyDescent="0.3">
      <c r="A297" t="s">
        <v>325</v>
      </c>
      <c r="B297" t="s">
        <v>34</v>
      </c>
      <c r="C297" t="s">
        <v>17</v>
      </c>
      <c r="D297" s="1">
        <v>45947</v>
      </c>
      <c r="E297" s="1">
        <v>45951</v>
      </c>
      <c r="F297" s="1">
        <v>45954</v>
      </c>
      <c r="G297" s="1">
        <v>45961</v>
      </c>
      <c r="H297" t="s">
        <v>25</v>
      </c>
      <c r="I297" t="s">
        <v>65</v>
      </c>
      <c r="J297" s="1"/>
      <c r="K297">
        <v>4</v>
      </c>
      <c r="L297">
        <v>3</v>
      </c>
      <c r="M297">
        <v>7</v>
      </c>
      <c r="O297">
        <v>14</v>
      </c>
    </row>
    <row r="298" spans="1:16" x14ac:dyDescent="0.3">
      <c r="A298" t="s">
        <v>326</v>
      </c>
      <c r="B298" t="s">
        <v>34</v>
      </c>
      <c r="C298" t="s">
        <v>17</v>
      </c>
      <c r="D298" s="1">
        <v>45948</v>
      </c>
      <c r="E298" s="1">
        <v>45952</v>
      </c>
      <c r="F298" s="1">
        <v>45953</v>
      </c>
      <c r="G298" s="1">
        <v>45960</v>
      </c>
      <c r="H298" t="s">
        <v>18</v>
      </c>
      <c r="I298" t="s">
        <v>19</v>
      </c>
      <c r="J298" s="1">
        <v>45981</v>
      </c>
      <c r="K298">
        <v>4</v>
      </c>
      <c r="L298">
        <v>1</v>
      </c>
      <c r="M298">
        <v>7</v>
      </c>
      <c r="N298">
        <v>6</v>
      </c>
      <c r="O298">
        <v>12</v>
      </c>
      <c r="P298" t="s">
        <v>1049</v>
      </c>
    </row>
    <row r="299" spans="1:16" x14ac:dyDescent="0.3">
      <c r="A299" t="s">
        <v>327</v>
      </c>
      <c r="B299" t="s">
        <v>16</v>
      </c>
      <c r="C299" t="s">
        <v>17</v>
      </c>
      <c r="D299" s="1">
        <v>45946</v>
      </c>
      <c r="E299" s="1">
        <v>45951</v>
      </c>
      <c r="F299" s="1">
        <v>45956</v>
      </c>
      <c r="G299" s="1">
        <v>45960</v>
      </c>
      <c r="H299" t="s">
        <v>18</v>
      </c>
      <c r="I299" t="s">
        <v>19</v>
      </c>
      <c r="J299" s="1">
        <v>45987</v>
      </c>
      <c r="K299">
        <v>5</v>
      </c>
      <c r="L299">
        <v>5</v>
      </c>
      <c r="M299">
        <v>4</v>
      </c>
      <c r="N299">
        <v>10</v>
      </c>
      <c r="O299">
        <v>14</v>
      </c>
      <c r="P299" t="s">
        <v>1050</v>
      </c>
    </row>
    <row r="300" spans="1:16" x14ac:dyDescent="0.3">
      <c r="A300" t="s">
        <v>328</v>
      </c>
      <c r="B300" t="s">
        <v>34</v>
      </c>
      <c r="C300" t="s">
        <v>32</v>
      </c>
      <c r="D300" s="1">
        <v>45945</v>
      </c>
      <c r="E300" s="1">
        <v>45950</v>
      </c>
      <c r="F300" s="1">
        <v>45951</v>
      </c>
      <c r="G300" s="1">
        <v>45953</v>
      </c>
      <c r="H300" t="s">
        <v>18</v>
      </c>
      <c r="I300" t="s">
        <v>19</v>
      </c>
      <c r="J300" s="1">
        <v>45976</v>
      </c>
      <c r="K300">
        <v>5</v>
      </c>
      <c r="L300">
        <v>1</v>
      </c>
      <c r="M300">
        <v>2</v>
      </c>
      <c r="N300">
        <v>10</v>
      </c>
      <c r="O300">
        <v>8</v>
      </c>
      <c r="P300" t="s">
        <v>1050</v>
      </c>
    </row>
    <row r="301" spans="1:16" x14ac:dyDescent="0.3">
      <c r="A301" t="s">
        <v>329</v>
      </c>
      <c r="B301" t="s">
        <v>23</v>
      </c>
      <c r="C301" t="s">
        <v>24</v>
      </c>
      <c r="D301" s="1">
        <v>45933</v>
      </c>
      <c r="E301" s="1"/>
      <c r="F301" s="1"/>
      <c r="G301" s="1"/>
      <c r="H301" t="s">
        <v>25</v>
      </c>
      <c r="I301" t="s">
        <v>35</v>
      </c>
      <c r="J301" s="1"/>
    </row>
    <row r="302" spans="1:16" x14ac:dyDescent="0.3">
      <c r="A302" t="s">
        <v>330</v>
      </c>
      <c r="B302" t="s">
        <v>21</v>
      </c>
      <c r="C302" t="s">
        <v>24</v>
      </c>
      <c r="D302" s="1">
        <v>45950</v>
      </c>
      <c r="E302" s="1"/>
      <c r="F302" s="1"/>
      <c r="G302" s="1"/>
      <c r="H302" t="s">
        <v>25</v>
      </c>
      <c r="I302" t="s">
        <v>103</v>
      </c>
      <c r="J302" s="1"/>
    </row>
    <row r="303" spans="1:16" x14ac:dyDescent="0.3">
      <c r="A303" t="s">
        <v>331</v>
      </c>
      <c r="B303" t="s">
        <v>16</v>
      </c>
      <c r="C303" t="s">
        <v>17</v>
      </c>
      <c r="D303" s="1">
        <v>45932</v>
      </c>
      <c r="E303" s="1">
        <v>45933</v>
      </c>
      <c r="F303" s="1">
        <v>45934</v>
      </c>
      <c r="G303" s="1">
        <v>45940</v>
      </c>
      <c r="H303" t="s">
        <v>18</v>
      </c>
      <c r="I303" t="s">
        <v>19</v>
      </c>
      <c r="J303" s="1">
        <v>45968</v>
      </c>
      <c r="K303">
        <v>1</v>
      </c>
      <c r="L303">
        <v>1</v>
      </c>
      <c r="M303">
        <v>6</v>
      </c>
      <c r="N303">
        <v>8</v>
      </c>
      <c r="O303">
        <v>8</v>
      </c>
      <c r="P303" t="s">
        <v>1041</v>
      </c>
    </row>
    <row r="304" spans="1:16" x14ac:dyDescent="0.3">
      <c r="A304" t="s">
        <v>332</v>
      </c>
      <c r="B304" t="s">
        <v>16</v>
      </c>
      <c r="C304" t="s">
        <v>17</v>
      </c>
      <c r="D304" s="1">
        <v>45959</v>
      </c>
      <c r="E304" s="1">
        <v>45963</v>
      </c>
      <c r="F304" s="1">
        <v>45968</v>
      </c>
      <c r="G304" s="1">
        <v>45973</v>
      </c>
      <c r="H304" t="s">
        <v>18</v>
      </c>
      <c r="I304" t="s">
        <v>19</v>
      </c>
      <c r="J304" s="1">
        <v>45990</v>
      </c>
      <c r="K304">
        <v>4</v>
      </c>
      <c r="L304">
        <v>5</v>
      </c>
      <c r="M304">
        <v>5</v>
      </c>
      <c r="N304">
        <v>5</v>
      </c>
      <c r="O304">
        <v>14</v>
      </c>
      <c r="P304" t="s">
        <v>1049</v>
      </c>
    </row>
    <row r="305" spans="1:16" x14ac:dyDescent="0.3">
      <c r="A305" t="s">
        <v>333</v>
      </c>
      <c r="B305" t="s">
        <v>21</v>
      </c>
      <c r="C305" t="s">
        <v>17</v>
      </c>
      <c r="D305" s="1">
        <v>45944</v>
      </c>
      <c r="E305" s="1">
        <v>45949</v>
      </c>
      <c r="F305" s="1">
        <v>45954</v>
      </c>
      <c r="G305" s="1">
        <v>45957</v>
      </c>
      <c r="H305" t="s">
        <v>18</v>
      </c>
      <c r="I305" t="s">
        <v>19</v>
      </c>
      <c r="J305" s="1">
        <v>45984</v>
      </c>
      <c r="K305">
        <v>5</v>
      </c>
      <c r="L305">
        <v>5</v>
      </c>
      <c r="M305">
        <v>3</v>
      </c>
      <c r="N305">
        <v>6</v>
      </c>
      <c r="O305">
        <v>13</v>
      </c>
      <c r="P305" t="s">
        <v>1049</v>
      </c>
    </row>
    <row r="306" spans="1:16" x14ac:dyDescent="0.3">
      <c r="A306" t="s">
        <v>334</v>
      </c>
      <c r="B306" t="s">
        <v>34</v>
      </c>
      <c r="C306" t="s">
        <v>17</v>
      </c>
      <c r="D306" s="1">
        <v>45954</v>
      </c>
      <c r="E306" s="1">
        <v>45956</v>
      </c>
      <c r="F306" s="1">
        <v>45958</v>
      </c>
      <c r="G306" s="1">
        <v>45963</v>
      </c>
      <c r="H306" t="s">
        <v>18</v>
      </c>
      <c r="I306" t="s">
        <v>19</v>
      </c>
      <c r="J306" s="1">
        <v>45974</v>
      </c>
      <c r="K306">
        <v>2</v>
      </c>
      <c r="L306">
        <v>2</v>
      </c>
      <c r="M306">
        <v>5</v>
      </c>
      <c r="N306">
        <v>1</v>
      </c>
      <c r="O306">
        <v>9</v>
      </c>
      <c r="P306" t="s">
        <v>1049</v>
      </c>
    </row>
    <row r="307" spans="1:16" x14ac:dyDescent="0.3">
      <c r="A307" t="s">
        <v>335</v>
      </c>
      <c r="B307" t="s">
        <v>21</v>
      </c>
      <c r="C307" t="s">
        <v>17</v>
      </c>
      <c r="D307" s="1">
        <v>45941</v>
      </c>
      <c r="E307" s="1">
        <v>45944</v>
      </c>
      <c r="F307" s="1">
        <v>45949</v>
      </c>
      <c r="G307" s="1">
        <v>45952</v>
      </c>
      <c r="H307" t="s">
        <v>18</v>
      </c>
      <c r="I307" t="s">
        <v>19</v>
      </c>
      <c r="J307" s="1">
        <v>45974</v>
      </c>
      <c r="K307">
        <v>3</v>
      </c>
      <c r="L307">
        <v>5</v>
      </c>
      <c r="M307">
        <v>3</v>
      </c>
      <c r="N307">
        <v>1</v>
      </c>
      <c r="O307">
        <v>11</v>
      </c>
      <c r="P307" t="s">
        <v>1049</v>
      </c>
    </row>
    <row r="308" spans="1:16" x14ac:dyDescent="0.3">
      <c r="A308" t="s">
        <v>336</v>
      </c>
      <c r="B308" t="s">
        <v>34</v>
      </c>
      <c r="C308" t="s">
        <v>17</v>
      </c>
      <c r="D308" s="1">
        <v>45950</v>
      </c>
      <c r="E308" s="1">
        <v>45955</v>
      </c>
      <c r="F308" s="1">
        <v>45960</v>
      </c>
      <c r="G308" s="1">
        <v>45965</v>
      </c>
      <c r="H308" t="s">
        <v>18</v>
      </c>
      <c r="I308" t="s">
        <v>19</v>
      </c>
      <c r="J308" s="1">
        <v>45991</v>
      </c>
      <c r="K308">
        <v>5</v>
      </c>
      <c r="L308">
        <v>5</v>
      </c>
      <c r="M308">
        <v>5</v>
      </c>
      <c r="N308">
        <v>8</v>
      </c>
      <c r="O308">
        <v>15</v>
      </c>
      <c r="P308" t="s">
        <v>1041</v>
      </c>
    </row>
    <row r="309" spans="1:16" x14ac:dyDescent="0.3">
      <c r="A309" t="s">
        <v>337</v>
      </c>
      <c r="B309" t="s">
        <v>21</v>
      </c>
      <c r="C309" t="s">
        <v>17</v>
      </c>
      <c r="D309" s="1">
        <v>45939</v>
      </c>
      <c r="E309" s="1">
        <v>45943</v>
      </c>
      <c r="F309" s="1">
        <v>45945</v>
      </c>
      <c r="G309" s="1">
        <v>45949</v>
      </c>
      <c r="H309" t="s">
        <v>18</v>
      </c>
      <c r="I309" t="s">
        <v>19</v>
      </c>
      <c r="J309" s="1">
        <v>45972</v>
      </c>
      <c r="K309">
        <v>4</v>
      </c>
      <c r="L309">
        <v>2</v>
      </c>
      <c r="M309">
        <v>4</v>
      </c>
      <c r="N309">
        <v>9</v>
      </c>
      <c r="O309">
        <v>10</v>
      </c>
      <c r="P309" t="s">
        <v>1050</v>
      </c>
    </row>
    <row r="310" spans="1:16" x14ac:dyDescent="0.3">
      <c r="A310" t="s">
        <v>338</v>
      </c>
      <c r="B310" t="s">
        <v>23</v>
      </c>
      <c r="C310" t="s">
        <v>17</v>
      </c>
      <c r="D310" s="1">
        <v>45931</v>
      </c>
      <c r="E310" s="1">
        <v>45936</v>
      </c>
      <c r="F310" s="1">
        <v>45938</v>
      </c>
      <c r="G310" s="1">
        <v>45942</v>
      </c>
      <c r="H310" t="s">
        <v>18</v>
      </c>
      <c r="I310" t="s">
        <v>19</v>
      </c>
      <c r="J310" s="1">
        <v>45969</v>
      </c>
      <c r="K310">
        <v>5</v>
      </c>
      <c r="L310">
        <v>2</v>
      </c>
      <c r="M310">
        <v>4</v>
      </c>
      <c r="N310">
        <v>6</v>
      </c>
      <c r="O310">
        <v>11</v>
      </c>
      <c r="P310" t="s">
        <v>1049</v>
      </c>
    </row>
    <row r="311" spans="1:16" x14ac:dyDescent="0.3">
      <c r="A311" t="s">
        <v>339</v>
      </c>
      <c r="B311" t="s">
        <v>34</v>
      </c>
      <c r="C311" t="s">
        <v>17</v>
      </c>
      <c r="D311" s="1">
        <v>45933</v>
      </c>
      <c r="E311" s="1">
        <v>45935</v>
      </c>
      <c r="F311" s="1">
        <v>45938</v>
      </c>
      <c r="G311" s="1">
        <v>45942</v>
      </c>
      <c r="H311" t="s">
        <v>18</v>
      </c>
      <c r="I311" t="s">
        <v>19</v>
      </c>
      <c r="J311" s="1">
        <v>45967</v>
      </c>
      <c r="K311">
        <v>2</v>
      </c>
      <c r="L311">
        <v>3</v>
      </c>
      <c r="M311">
        <v>4</v>
      </c>
      <c r="N311">
        <v>5</v>
      </c>
      <c r="O311">
        <v>9</v>
      </c>
      <c r="P311" t="s">
        <v>1049</v>
      </c>
    </row>
    <row r="312" spans="1:16" x14ac:dyDescent="0.3">
      <c r="A312" t="s">
        <v>340</v>
      </c>
      <c r="B312" t="s">
        <v>23</v>
      </c>
      <c r="C312" t="s">
        <v>32</v>
      </c>
      <c r="D312" s="1">
        <v>45938</v>
      </c>
      <c r="E312" s="1">
        <v>45939</v>
      </c>
      <c r="F312" s="1">
        <v>45944</v>
      </c>
      <c r="G312" s="1">
        <v>45948</v>
      </c>
      <c r="H312" t="s">
        <v>18</v>
      </c>
      <c r="I312" t="s">
        <v>19</v>
      </c>
      <c r="J312" s="1">
        <v>45976</v>
      </c>
      <c r="K312">
        <v>1</v>
      </c>
      <c r="L312">
        <v>5</v>
      </c>
      <c r="M312">
        <v>4</v>
      </c>
      <c r="N312">
        <v>3</v>
      </c>
      <c r="O312">
        <v>10</v>
      </c>
      <c r="P312" t="s">
        <v>1049</v>
      </c>
    </row>
    <row r="313" spans="1:16" x14ac:dyDescent="0.3">
      <c r="A313" t="s">
        <v>341</v>
      </c>
      <c r="B313" t="s">
        <v>16</v>
      </c>
      <c r="C313" t="s">
        <v>32</v>
      </c>
      <c r="D313" s="1">
        <v>45961</v>
      </c>
      <c r="E313" s="1">
        <v>45965</v>
      </c>
      <c r="F313" s="1">
        <v>45969</v>
      </c>
      <c r="G313" s="1">
        <v>45975</v>
      </c>
      <c r="H313" t="s">
        <v>18</v>
      </c>
      <c r="I313" t="s">
        <v>19</v>
      </c>
      <c r="J313" s="1">
        <v>45992</v>
      </c>
      <c r="K313">
        <v>4</v>
      </c>
      <c r="L313">
        <v>4</v>
      </c>
      <c r="M313">
        <v>6</v>
      </c>
      <c r="N313">
        <v>6</v>
      </c>
      <c r="O313">
        <v>14</v>
      </c>
      <c r="P313" t="s">
        <v>1049</v>
      </c>
    </row>
    <row r="314" spans="1:16" x14ac:dyDescent="0.3">
      <c r="A314" t="s">
        <v>342</v>
      </c>
      <c r="B314" t="s">
        <v>21</v>
      </c>
      <c r="C314" t="s">
        <v>17</v>
      </c>
      <c r="D314" s="1">
        <v>45952</v>
      </c>
      <c r="E314" s="1">
        <v>45953</v>
      </c>
      <c r="F314" s="1">
        <v>45954</v>
      </c>
      <c r="G314" s="1">
        <v>45960</v>
      </c>
      <c r="H314" t="s">
        <v>18</v>
      </c>
      <c r="I314" t="s">
        <v>19</v>
      </c>
      <c r="J314" s="1">
        <v>45985</v>
      </c>
      <c r="K314">
        <v>1</v>
      </c>
      <c r="L314">
        <v>1</v>
      </c>
      <c r="M314">
        <v>6</v>
      </c>
      <c r="N314">
        <v>6</v>
      </c>
      <c r="O314">
        <v>8</v>
      </c>
      <c r="P314" t="s">
        <v>1049</v>
      </c>
    </row>
    <row r="315" spans="1:16" x14ac:dyDescent="0.3">
      <c r="A315" t="s">
        <v>343</v>
      </c>
      <c r="B315" t="s">
        <v>16</v>
      </c>
      <c r="C315" t="s">
        <v>17</v>
      </c>
      <c r="D315" s="1">
        <v>45957</v>
      </c>
      <c r="E315" s="1">
        <v>45960</v>
      </c>
      <c r="F315" s="1">
        <v>45962</v>
      </c>
      <c r="G315" s="1">
        <v>45965</v>
      </c>
      <c r="H315" t="s">
        <v>18</v>
      </c>
      <c r="I315" t="s">
        <v>19</v>
      </c>
      <c r="J315" s="1">
        <v>45984</v>
      </c>
      <c r="K315">
        <v>3</v>
      </c>
      <c r="L315">
        <v>2</v>
      </c>
      <c r="M315">
        <v>3</v>
      </c>
      <c r="N315">
        <v>6</v>
      </c>
      <c r="O315">
        <v>8</v>
      </c>
      <c r="P315" t="s">
        <v>1049</v>
      </c>
    </row>
    <row r="316" spans="1:16" x14ac:dyDescent="0.3">
      <c r="A316" t="s">
        <v>344</v>
      </c>
      <c r="B316" t="s">
        <v>16</v>
      </c>
      <c r="C316" t="s">
        <v>17</v>
      </c>
      <c r="D316" s="1">
        <v>45958</v>
      </c>
      <c r="E316" s="1">
        <v>45959</v>
      </c>
      <c r="F316" s="1">
        <v>45964</v>
      </c>
      <c r="G316" s="1">
        <v>45970</v>
      </c>
      <c r="H316" t="s">
        <v>18</v>
      </c>
      <c r="I316" t="s">
        <v>19</v>
      </c>
      <c r="J316" s="1">
        <v>45982</v>
      </c>
      <c r="K316">
        <v>1</v>
      </c>
      <c r="L316">
        <v>5</v>
      </c>
      <c r="M316">
        <v>6</v>
      </c>
      <c r="N316">
        <v>4</v>
      </c>
      <c r="O316">
        <v>12</v>
      </c>
      <c r="P316" t="s">
        <v>1049</v>
      </c>
    </row>
    <row r="317" spans="1:16" x14ac:dyDescent="0.3">
      <c r="A317" t="s">
        <v>345</v>
      </c>
      <c r="B317" t="s">
        <v>16</v>
      </c>
      <c r="C317" t="s">
        <v>17</v>
      </c>
      <c r="D317" s="1">
        <v>45949</v>
      </c>
      <c r="E317" s="1">
        <v>45954</v>
      </c>
      <c r="F317" s="1">
        <v>45958</v>
      </c>
      <c r="G317" s="1">
        <v>45963</v>
      </c>
      <c r="H317" t="s">
        <v>18</v>
      </c>
      <c r="I317" t="s">
        <v>19</v>
      </c>
      <c r="J317" s="1">
        <v>45985</v>
      </c>
      <c r="K317">
        <v>5</v>
      </c>
      <c r="L317">
        <v>4</v>
      </c>
      <c r="M317">
        <v>5</v>
      </c>
      <c r="N317">
        <v>5</v>
      </c>
      <c r="O317">
        <v>14</v>
      </c>
      <c r="P317" t="s">
        <v>1049</v>
      </c>
    </row>
    <row r="318" spans="1:16" x14ac:dyDescent="0.3">
      <c r="A318" t="s">
        <v>346</v>
      </c>
      <c r="B318" t="s">
        <v>16</v>
      </c>
      <c r="C318" t="s">
        <v>17</v>
      </c>
      <c r="D318" s="1">
        <v>45949</v>
      </c>
      <c r="E318" s="1">
        <v>45951</v>
      </c>
      <c r="F318" s="1">
        <v>45952</v>
      </c>
      <c r="G318" s="1">
        <v>45956</v>
      </c>
      <c r="H318" t="s">
        <v>18</v>
      </c>
      <c r="I318" t="s">
        <v>19</v>
      </c>
      <c r="J318" s="1">
        <v>45967</v>
      </c>
      <c r="K318">
        <v>2</v>
      </c>
      <c r="L318">
        <v>1</v>
      </c>
      <c r="M318">
        <v>4</v>
      </c>
      <c r="N318">
        <v>9</v>
      </c>
      <c r="O318">
        <v>7</v>
      </c>
      <c r="P318" t="s">
        <v>1050</v>
      </c>
    </row>
    <row r="319" spans="1:16" x14ac:dyDescent="0.3">
      <c r="A319" t="s">
        <v>347</v>
      </c>
      <c r="B319" t="s">
        <v>21</v>
      </c>
      <c r="C319" t="s">
        <v>17</v>
      </c>
      <c r="D319" s="1">
        <v>45961</v>
      </c>
      <c r="E319" s="1">
        <v>45962</v>
      </c>
      <c r="F319" s="1">
        <v>45967</v>
      </c>
      <c r="G319" s="1">
        <v>45974</v>
      </c>
      <c r="H319" t="s">
        <v>25</v>
      </c>
      <c r="I319" t="s">
        <v>65</v>
      </c>
      <c r="J319" s="1"/>
      <c r="K319">
        <v>1</v>
      </c>
      <c r="L319">
        <v>5</v>
      </c>
      <c r="M319">
        <v>7</v>
      </c>
      <c r="O319">
        <v>13</v>
      </c>
    </row>
    <row r="320" spans="1:16" x14ac:dyDescent="0.3">
      <c r="A320" t="s">
        <v>348</v>
      </c>
      <c r="B320" t="s">
        <v>16</v>
      </c>
      <c r="C320" t="s">
        <v>17</v>
      </c>
      <c r="D320" s="1">
        <v>45931</v>
      </c>
      <c r="E320" s="1">
        <v>45933</v>
      </c>
      <c r="F320" s="1">
        <v>45937</v>
      </c>
      <c r="G320" s="1">
        <v>45939</v>
      </c>
      <c r="H320" t="s">
        <v>18</v>
      </c>
      <c r="I320" t="s">
        <v>19</v>
      </c>
      <c r="J320" s="1">
        <v>45965</v>
      </c>
      <c r="K320">
        <v>2</v>
      </c>
      <c r="L320">
        <v>4</v>
      </c>
      <c r="M320">
        <v>2</v>
      </c>
      <c r="N320">
        <v>6</v>
      </c>
      <c r="O320">
        <v>8</v>
      </c>
      <c r="P320" t="s">
        <v>1049</v>
      </c>
    </row>
    <row r="321" spans="1:16" x14ac:dyDescent="0.3">
      <c r="A321" t="s">
        <v>349</v>
      </c>
      <c r="B321" t="s">
        <v>21</v>
      </c>
      <c r="C321" t="s">
        <v>17</v>
      </c>
      <c r="D321" s="1">
        <v>45955</v>
      </c>
      <c r="E321" s="1">
        <v>45959</v>
      </c>
      <c r="F321" s="1">
        <v>45960</v>
      </c>
      <c r="G321" s="1">
        <v>45962</v>
      </c>
      <c r="H321" t="s">
        <v>25</v>
      </c>
      <c r="I321" t="s">
        <v>35</v>
      </c>
      <c r="J321" s="1"/>
      <c r="K321">
        <v>4</v>
      </c>
      <c r="L321">
        <v>1</v>
      </c>
      <c r="M321">
        <v>2</v>
      </c>
      <c r="O321">
        <v>7</v>
      </c>
    </row>
    <row r="322" spans="1:16" x14ac:dyDescent="0.3">
      <c r="A322" t="s">
        <v>350</v>
      </c>
      <c r="B322" t="s">
        <v>21</v>
      </c>
      <c r="C322" t="s">
        <v>17</v>
      </c>
      <c r="D322" s="1">
        <v>45952</v>
      </c>
      <c r="E322" s="1">
        <v>45956</v>
      </c>
      <c r="F322" s="1">
        <v>45960</v>
      </c>
      <c r="G322" s="1">
        <v>45962</v>
      </c>
      <c r="H322" t="s">
        <v>18</v>
      </c>
      <c r="I322" t="s">
        <v>19</v>
      </c>
      <c r="J322" s="1">
        <v>45990</v>
      </c>
      <c r="K322">
        <v>4</v>
      </c>
      <c r="L322">
        <v>4</v>
      </c>
      <c r="M322">
        <v>2</v>
      </c>
      <c r="N322">
        <v>4</v>
      </c>
      <c r="O322">
        <v>10</v>
      </c>
      <c r="P322" t="s">
        <v>1049</v>
      </c>
    </row>
    <row r="323" spans="1:16" x14ac:dyDescent="0.3">
      <c r="A323" t="s">
        <v>351</v>
      </c>
      <c r="B323" t="s">
        <v>23</v>
      </c>
      <c r="C323" t="s">
        <v>24</v>
      </c>
      <c r="D323" s="1">
        <v>45957</v>
      </c>
      <c r="E323" s="1"/>
      <c r="F323" s="1"/>
      <c r="G323" s="1"/>
      <c r="H323" t="s">
        <v>25</v>
      </c>
      <c r="I323" t="s">
        <v>28</v>
      </c>
      <c r="J323" s="1"/>
    </row>
    <row r="324" spans="1:16" x14ac:dyDescent="0.3">
      <c r="A324" t="s">
        <v>352</v>
      </c>
      <c r="B324" t="s">
        <v>34</v>
      </c>
      <c r="C324" t="s">
        <v>17</v>
      </c>
      <c r="D324" s="1">
        <v>45939</v>
      </c>
      <c r="E324" s="1">
        <v>45944</v>
      </c>
      <c r="F324" s="1">
        <v>45946</v>
      </c>
      <c r="G324" s="1">
        <v>45953</v>
      </c>
      <c r="H324" t="s">
        <v>25</v>
      </c>
      <c r="I324" t="s">
        <v>65</v>
      </c>
      <c r="J324" s="1"/>
      <c r="K324">
        <v>5</v>
      </c>
      <c r="L324">
        <v>2</v>
      </c>
      <c r="M324">
        <v>7</v>
      </c>
      <c r="O324">
        <v>14</v>
      </c>
    </row>
    <row r="325" spans="1:16" x14ac:dyDescent="0.3">
      <c r="A325" t="s">
        <v>353</v>
      </c>
      <c r="B325" t="s">
        <v>34</v>
      </c>
      <c r="C325" t="s">
        <v>32</v>
      </c>
      <c r="D325" s="1">
        <v>45949</v>
      </c>
      <c r="E325" s="1">
        <v>45954</v>
      </c>
      <c r="F325" s="1">
        <v>45959</v>
      </c>
      <c r="G325" s="1">
        <v>45964</v>
      </c>
      <c r="H325" t="s">
        <v>18</v>
      </c>
      <c r="I325" t="s">
        <v>19</v>
      </c>
      <c r="J325" s="1">
        <v>45990</v>
      </c>
      <c r="K325">
        <v>5</v>
      </c>
      <c r="L325">
        <v>5</v>
      </c>
      <c r="M325">
        <v>5</v>
      </c>
      <c r="N325">
        <v>2</v>
      </c>
      <c r="O325">
        <v>15</v>
      </c>
      <c r="P325" t="s">
        <v>1049</v>
      </c>
    </row>
    <row r="326" spans="1:16" x14ac:dyDescent="0.3">
      <c r="A326" t="s">
        <v>354</v>
      </c>
      <c r="B326" t="s">
        <v>21</v>
      </c>
      <c r="C326" t="s">
        <v>32</v>
      </c>
      <c r="D326" s="1">
        <v>45932</v>
      </c>
      <c r="E326" s="1">
        <v>45937</v>
      </c>
      <c r="F326" s="1">
        <v>45941</v>
      </c>
      <c r="G326" s="1">
        <v>45943</v>
      </c>
      <c r="H326" t="s">
        <v>25</v>
      </c>
      <c r="I326" t="s">
        <v>26</v>
      </c>
      <c r="J326" s="1"/>
      <c r="K326">
        <v>5</v>
      </c>
      <c r="L326">
        <v>4</v>
      </c>
      <c r="M326">
        <v>2</v>
      </c>
      <c r="O326">
        <v>11</v>
      </c>
    </row>
    <row r="327" spans="1:16" x14ac:dyDescent="0.3">
      <c r="A327" t="s">
        <v>355</v>
      </c>
      <c r="B327" t="s">
        <v>23</v>
      </c>
      <c r="C327" t="s">
        <v>32</v>
      </c>
      <c r="D327" s="1">
        <v>45955</v>
      </c>
      <c r="E327" s="1">
        <v>45957</v>
      </c>
      <c r="F327" s="1">
        <v>45961</v>
      </c>
      <c r="G327" s="1">
        <v>45963</v>
      </c>
      <c r="H327" t="s">
        <v>18</v>
      </c>
      <c r="I327" t="s">
        <v>19</v>
      </c>
      <c r="J327" s="1">
        <v>45991</v>
      </c>
      <c r="K327">
        <v>2</v>
      </c>
      <c r="L327">
        <v>4</v>
      </c>
      <c r="M327">
        <v>2</v>
      </c>
      <c r="N327">
        <v>10</v>
      </c>
      <c r="O327">
        <v>8</v>
      </c>
      <c r="P327" t="s">
        <v>1050</v>
      </c>
    </row>
    <row r="328" spans="1:16" x14ac:dyDescent="0.3">
      <c r="A328" t="s">
        <v>356</v>
      </c>
      <c r="B328" t="s">
        <v>21</v>
      </c>
      <c r="C328" t="s">
        <v>17</v>
      </c>
      <c r="D328" s="1">
        <v>45955</v>
      </c>
      <c r="E328" s="1">
        <v>45958</v>
      </c>
      <c r="F328" s="1">
        <v>45963</v>
      </c>
      <c r="G328" s="1">
        <v>45966</v>
      </c>
      <c r="H328" t="s">
        <v>18</v>
      </c>
      <c r="I328" t="s">
        <v>19</v>
      </c>
      <c r="J328" s="1">
        <v>45995</v>
      </c>
      <c r="K328">
        <v>3</v>
      </c>
      <c r="L328">
        <v>5</v>
      </c>
      <c r="M328">
        <v>3</v>
      </c>
      <c r="N328">
        <v>6</v>
      </c>
      <c r="O328">
        <v>11</v>
      </c>
      <c r="P328" t="s">
        <v>1049</v>
      </c>
    </row>
    <row r="329" spans="1:16" x14ac:dyDescent="0.3">
      <c r="A329" t="s">
        <v>357</v>
      </c>
      <c r="B329" t="s">
        <v>21</v>
      </c>
      <c r="C329" t="s">
        <v>17</v>
      </c>
      <c r="D329" s="1">
        <v>45936</v>
      </c>
      <c r="E329" s="1">
        <v>45939</v>
      </c>
      <c r="F329" s="1">
        <v>45940</v>
      </c>
      <c r="G329" s="1">
        <v>45945</v>
      </c>
      <c r="H329" t="s">
        <v>18</v>
      </c>
      <c r="I329" t="s">
        <v>19</v>
      </c>
      <c r="J329" s="1">
        <v>45959</v>
      </c>
      <c r="K329">
        <v>3</v>
      </c>
      <c r="L329">
        <v>1</v>
      </c>
      <c r="M329">
        <v>5</v>
      </c>
      <c r="N329">
        <v>7</v>
      </c>
      <c r="O329">
        <v>9</v>
      </c>
      <c r="P329" t="s">
        <v>1041</v>
      </c>
    </row>
    <row r="330" spans="1:16" x14ac:dyDescent="0.3">
      <c r="A330" t="s">
        <v>358</v>
      </c>
      <c r="B330" t="s">
        <v>21</v>
      </c>
      <c r="C330" t="s">
        <v>17</v>
      </c>
      <c r="D330" s="1">
        <v>45946</v>
      </c>
      <c r="E330" s="1">
        <v>45949</v>
      </c>
      <c r="F330" s="1">
        <v>45954</v>
      </c>
      <c r="G330" s="1">
        <v>45959</v>
      </c>
      <c r="H330" t="s">
        <v>18</v>
      </c>
      <c r="I330" t="s">
        <v>19</v>
      </c>
      <c r="J330" s="1">
        <v>45972</v>
      </c>
      <c r="K330">
        <v>3</v>
      </c>
      <c r="L330">
        <v>5</v>
      </c>
      <c r="M330">
        <v>5</v>
      </c>
      <c r="N330">
        <v>3</v>
      </c>
      <c r="O330">
        <v>13</v>
      </c>
      <c r="P330" t="s">
        <v>1049</v>
      </c>
    </row>
    <row r="331" spans="1:16" x14ac:dyDescent="0.3">
      <c r="A331" t="s">
        <v>359</v>
      </c>
      <c r="B331" t="s">
        <v>23</v>
      </c>
      <c r="C331" t="s">
        <v>17</v>
      </c>
      <c r="D331" s="1">
        <v>45947</v>
      </c>
      <c r="E331" s="1">
        <v>45951</v>
      </c>
      <c r="F331" s="1">
        <v>45955</v>
      </c>
      <c r="G331" s="1">
        <v>45957</v>
      </c>
      <c r="H331" t="s">
        <v>18</v>
      </c>
      <c r="I331" t="s">
        <v>19</v>
      </c>
      <c r="J331" s="1">
        <v>45981</v>
      </c>
      <c r="K331">
        <v>4</v>
      </c>
      <c r="L331">
        <v>4</v>
      </c>
      <c r="M331">
        <v>2</v>
      </c>
      <c r="N331">
        <v>2</v>
      </c>
      <c r="O331">
        <v>10</v>
      </c>
      <c r="P331" t="s">
        <v>1049</v>
      </c>
    </row>
    <row r="332" spans="1:16" x14ac:dyDescent="0.3">
      <c r="A332" t="s">
        <v>360</v>
      </c>
      <c r="B332" t="s">
        <v>34</v>
      </c>
      <c r="C332" t="s">
        <v>32</v>
      </c>
      <c r="D332" s="1">
        <v>45951</v>
      </c>
      <c r="E332" s="1">
        <v>45955</v>
      </c>
      <c r="F332" s="1">
        <v>45958</v>
      </c>
      <c r="G332" s="1">
        <v>45963</v>
      </c>
      <c r="H332" t="s">
        <v>18</v>
      </c>
      <c r="I332" t="s">
        <v>19</v>
      </c>
      <c r="J332" s="1">
        <v>45978</v>
      </c>
      <c r="K332">
        <v>4</v>
      </c>
      <c r="L332">
        <v>3</v>
      </c>
      <c r="M332">
        <v>5</v>
      </c>
      <c r="N332">
        <v>1</v>
      </c>
      <c r="O332">
        <v>12</v>
      </c>
      <c r="P332" t="s">
        <v>1049</v>
      </c>
    </row>
    <row r="333" spans="1:16" x14ac:dyDescent="0.3">
      <c r="A333" t="s">
        <v>361</v>
      </c>
      <c r="B333" t="s">
        <v>23</v>
      </c>
      <c r="C333" t="s">
        <v>17</v>
      </c>
      <c r="D333" s="1">
        <v>45945</v>
      </c>
      <c r="E333" s="1">
        <v>45948</v>
      </c>
      <c r="F333" s="1">
        <v>45949</v>
      </c>
      <c r="G333" s="1">
        <v>45952</v>
      </c>
      <c r="H333" t="s">
        <v>18</v>
      </c>
      <c r="I333" t="s">
        <v>19</v>
      </c>
      <c r="J333" s="1">
        <v>45967</v>
      </c>
      <c r="K333">
        <v>3</v>
      </c>
      <c r="L333">
        <v>1</v>
      </c>
      <c r="M333">
        <v>3</v>
      </c>
      <c r="N333">
        <v>0</v>
      </c>
      <c r="O333">
        <v>7</v>
      </c>
      <c r="P333" t="s">
        <v>1049</v>
      </c>
    </row>
    <row r="334" spans="1:16" x14ac:dyDescent="0.3">
      <c r="A334" t="s">
        <v>362</v>
      </c>
      <c r="B334" t="s">
        <v>16</v>
      </c>
      <c r="C334" t="s">
        <v>32</v>
      </c>
      <c r="D334" s="1">
        <v>45960</v>
      </c>
      <c r="E334" s="1">
        <v>45965</v>
      </c>
      <c r="F334" s="1">
        <v>45969</v>
      </c>
      <c r="G334" s="1">
        <v>45976</v>
      </c>
      <c r="H334" t="s">
        <v>18</v>
      </c>
      <c r="I334" t="s">
        <v>19</v>
      </c>
      <c r="J334" s="1">
        <v>45992</v>
      </c>
      <c r="K334">
        <v>5</v>
      </c>
      <c r="L334">
        <v>4</v>
      </c>
      <c r="M334">
        <v>7</v>
      </c>
      <c r="N334">
        <v>2</v>
      </c>
      <c r="O334">
        <v>16</v>
      </c>
      <c r="P334" t="s">
        <v>1049</v>
      </c>
    </row>
    <row r="335" spans="1:16" x14ac:dyDescent="0.3">
      <c r="A335" t="s">
        <v>363</v>
      </c>
      <c r="B335" t="s">
        <v>23</v>
      </c>
      <c r="C335" t="s">
        <v>17</v>
      </c>
      <c r="D335" s="1">
        <v>45939</v>
      </c>
      <c r="E335" s="1">
        <v>45940</v>
      </c>
      <c r="F335" s="1">
        <v>45943</v>
      </c>
      <c r="G335" s="1">
        <v>45946</v>
      </c>
      <c r="H335" t="s">
        <v>18</v>
      </c>
      <c r="I335" t="s">
        <v>19</v>
      </c>
      <c r="J335" s="1">
        <v>45962</v>
      </c>
      <c r="K335">
        <v>1</v>
      </c>
      <c r="L335">
        <v>3</v>
      </c>
      <c r="M335">
        <v>3</v>
      </c>
      <c r="N335">
        <v>2</v>
      </c>
      <c r="O335">
        <v>7</v>
      </c>
      <c r="P335" t="s">
        <v>1049</v>
      </c>
    </row>
    <row r="336" spans="1:16" x14ac:dyDescent="0.3">
      <c r="A336" t="s">
        <v>364</v>
      </c>
      <c r="B336" t="s">
        <v>23</v>
      </c>
      <c r="C336" t="s">
        <v>32</v>
      </c>
      <c r="D336" s="1">
        <v>45936</v>
      </c>
      <c r="E336" s="1">
        <v>45939</v>
      </c>
      <c r="F336" s="1">
        <v>45940</v>
      </c>
      <c r="G336" s="1">
        <v>45947</v>
      </c>
      <c r="H336" t="s">
        <v>18</v>
      </c>
      <c r="I336" t="s">
        <v>19</v>
      </c>
      <c r="J336" s="1">
        <v>45961</v>
      </c>
      <c r="K336">
        <v>3</v>
      </c>
      <c r="L336">
        <v>1</v>
      </c>
      <c r="M336">
        <v>7</v>
      </c>
      <c r="N336">
        <v>1</v>
      </c>
      <c r="O336">
        <v>11</v>
      </c>
      <c r="P336" t="s">
        <v>1049</v>
      </c>
    </row>
    <row r="337" spans="1:16" x14ac:dyDescent="0.3">
      <c r="A337" t="s">
        <v>365</v>
      </c>
      <c r="B337" t="s">
        <v>23</v>
      </c>
      <c r="C337" t="s">
        <v>24</v>
      </c>
      <c r="D337" s="1">
        <v>45949</v>
      </c>
      <c r="E337" s="1"/>
      <c r="F337" s="1"/>
      <c r="G337" s="1"/>
      <c r="H337" t="s">
        <v>25</v>
      </c>
      <c r="I337" t="s">
        <v>103</v>
      </c>
      <c r="J337" s="1"/>
    </row>
    <row r="338" spans="1:16" x14ac:dyDescent="0.3">
      <c r="A338" t="s">
        <v>366</v>
      </c>
      <c r="B338" t="s">
        <v>23</v>
      </c>
      <c r="C338" t="s">
        <v>32</v>
      </c>
      <c r="D338" s="1">
        <v>45944</v>
      </c>
      <c r="E338" s="1">
        <v>45945</v>
      </c>
      <c r="F338" s="1">
        <v>45947</v>
      </c>
      <c r="G338" s="1">
        <v>45951</v>
      </c>
      <c r="H338" t="s">
        <v>18</v>
      </c>
      <c r="I338" t="s">
        <v>19</v>
      </c>
      <c r="J338" s="1">
        <v>45962</v>
      </c>
      <c r="K338">
        <v>1</v>
      </c>
      <c r="L338">
        <v>2</v>
      </c>
      <c r="M338">
        <v>4</v>
      </c>
      <c r="N338">
        <v>7</v>
      </c>
      <c r="O338">
        <v>7</v>
      </c>
      <c r="P338" t="s">
        <v>1041</v>
      </c>
    </row>
    <row r="339" spans="1:16" x14ac:dyDescent="0.3">
      <c r="A339" t="s">
        <v>367</v>
      </c>
      <c r="B339" t="s">
        <v>34</v>
      </c>
      <c r="C339" t="s">
        <v>24</v>
      </c>
      <c r="D339" s="1">
        <v>45951</v>
      </c>
      <c r="E339" s="1"/>
      <c r="F339" s="1"/>
      <c r="G339" s="1"/>
      <c r="H339" t="s">
        <v>25</v>
      </c>
      <c r="I339" t="s">
        <v>65</v>
      </c>
      <c r="J339" s="1"/>
    </row>
    <row r="340" spans="1:16" x14ac:dyDescent="0.3">
      <c r="A340" t="s">
        <v>368</v>
      </c>
      <c r="B340" t="s">
        <v>16</v>
      </c>
      <c r="C340" t="s">
        <v>17</v>
      </c>
      <c r="D340" s="1">
        <v>45957</v>
      </c>
      <c r="E340" s="1">
        <v>45960</v>
      </c>
      <c r="F340" s="1">
        <v>45965</v>
      </c>
      <c r="G340" s="1">
        <v>45968</v>
      </c>
      <c r="H340" t="s">
        <v>18</v>
      </c>
      <c r="I340" t="s">
        <v>19</v>
      </c>
      <c r="J340" s="1">
        <v>45991</v>
      </c>
      <c r="K340">
        <v>3</v>
      </c>
      <c r="L340">
        <v>5</v>
      </c>
      <c r="M340">
        <v>3</v>
      </c>
      <c r="N340">
        <v>3</v>
      </c>
      <c r="O340">
        <v>11</v>
      </c>
      <c r="P340" t="s">
        <v>1049</v>
      </c>
    </row>
    <row r="341" spans="1:16" x14ac:dyDescent="0.3">
      <c r="A341" t="s">
        <v>369</v>
      </c>
      <c r="B341" t="s">
        <v>34</v>
      </c>
      <c r="C341" t="s">
        <v>24</v>
      </c>
      <c r="D341" s="1">
        <v>45946</v>
      </c>
      <c r="E341" s="1"/>
      <c r="F341" s="1"/>
      <c r="G341" s="1"/>
      <c r="H341" t="s">
        <v>25</v>
      </c>
      <c r="I341" t="s">
        <v>65</v>
      </c>
      <c r="J341" s="1"/>
    </row>
    <row r="342" spans="1:16" x14ac:dyDescent="0.3">
      <c r="A342" t="s">
        <v>370</v>
      </c>
      <c r="B342" t="s">
        <v>34</v>
      </c>
      <c r="C342" t="s">
        <v>17</v>
      </c>
      <c r="D342" s="1">
        <v>45933</v>
      </c>
      <c r="E342" s="1">
        <v>45934</v>
      </c>
      <c r="F342" s="1">
        <v>45935</v>
      </c>
      <c r="G342" s="1">
        <v>45939</v>
      </c>
      <c r="H342" t="s">
        <v>18</v>
      </c>
      <c r="I342" t="s">
        <v>19</v>
      </c>
      <c r="J342" s="1">
        <v>45951</v>
      </c>
      <c r="K342">
        <v>1</v>
      </c>
      <c r="L342">
        <v>1</v>
      </c>
      <c r="M342">
        <v>4</v>
      </c>
      <c r="N342">
        <v>10</v>
      </c>
      <c r="O342">
        <v>6</v>
      </c>
      <c r="P342" t="s">
        <v>1050</v>
      </c>
    </row>
    <row r="343" spans="1:16" x14ac:dyDescent="0.3">
      <c r="A343" t="s">
        <v>371</v>
      </c>
      <c r="B343" t="s">
        <v>23</v>
      </c>
      <c r="C343" t="s">
        <v>17</v>
      </c>
      <c r="D343" s="1">
        <v>45946</v>
      </c>
      <c r="E343" s="1">
        <v>45951</v>
      </c>
      <c r="F343" s="1">
        <v>45952</v>
      </c>
      <c r="G343" s="1">
        <v>45954</v>
      </c>
      <c r="H343" t="s">
        <v>18</v>
      </c>
      <c r="I343" t="s">
        <v>19</v>
      </c>
      <c r="J343" s="1">
        <v>45977</v>
      </c>
      <c r="K343">
        <v>5</v>
      </c>
      <c r="L343">
        <v>1</v>
      </c>
      <c r="M343">
        <v>2</v>
      </c>
      <c r="N343">
        <v>1</v>
      </c>
      <c r="O343">
        <v>8</v>
      </c>
      <c r="P343" t="s">
        <v>1049</v>
      </c>
    </row>
    <row r="344" spans="1:16" x14ac:dyDescent="0.3">
      <c r="A344" t="s">
        <v>372</v>
      </c>
      <c r="B344" t="s">
        <v>21</v>
      </c>
      <c r="C344" t="s">
        <v>17</v>
      </c>
      <c r="D344" s="1">
        <v>45942</v>
      </c>
      <c r="E344" s="1">
        <v>45946</v>
      </c>
      <c r="F344" s="1">
        <v>45950</v>
      </c>
      <c r="G344" s="1">
        <v>45957</v>
      </c>
      <c r="H344" t="s">
        <v>18</v>
      </c>
      <c r="I344" t="s">
        <v>19</v>
      </c>
      <c r="J344" s="1">
        <v>45973</v>
      </c>
      <c r="K344">
        <v>4</v>
      </c>
      <c r="L344">
        <v>4</v>
      </c>
      <c r="M344">
        <v>7</v>
      </c>
      <c r="N344">
        <v>4</v>
      </c>
      <c r="O344">
        <v>15</v>
      </c>
      <c r="P344" t="s">
        <v>1049</v>
      </c>
    </row>
    <row r="345" spans="1:16" x14ac:dyDescent="0.3">
      <c r="A345" t="s">
        <v>373</v>
      </c>
      <c r="B345" t="s">
        <v>21</v>
      </c>
      <c r="C345" t="s">
        <v>17</v>
      </c>
      <c r="D345" s="1">
        <v>45944</v>
      </c>
      <c r="E345" s="1">
        <v>45947</v>
      </c>
      <c r="F345" s="1">
        <v>45950</v>
      </c>
      <c r="G345" s="1">
        <v>45954</v>
      </c>
      <c r="H345" t="s">
        <v>18</v>
      </c>
      <c r="I345" t="s">
        <v>19</v>
      </c>
      <c r="J345" s="1">
        <v>45984</v>
      </c>
      <c r="K345">
        <v>3</v>
      </c>
      <c r="L345">
        <v>3</v>
      </c>
      <c r="M345">
        <v>4</v>
      </c>
      <c r="N345">
        <v>8</v>
      </c>
      <c r="O345">
        <v>10</v>
      </c>
      <c r="P345" t="s">
        <v>1041</v>
      </c>
    </row>
    <row r="346" spans="1:16" x14ac:dyDescent="0.3">
      <c r="A346" t="s">
        <v>374</v>
      </c>
      <c r="B346" t="s">
        <v>34</v>
      </c>
      <c r="C346" t="s">
        <v>17</v>
      </c>
      <c r="D346" s="1">
        <v>45941</v>
      </c>
      <c r="E346" s="1">
        <v>45944</v>
      </c>
      <c r="F346" s="1">
        <v>45945</v>
      </c>
      <c r="G346" s="1">
        <v>45949</v>
      </c>
      <c r="H346" t="s">
        <v>18</v>
      </c>
      <c r="I346" t="s">
        <v>19</v>
      </c>
      <c r="J346" s="1">
        <v>45963</v>
      </c>
      <c r="K346">
        <v>3</v>
      </c>
      <c r="L346">
        <v>1</v>
      </c>
      <c r="M346">
        <v>4</v>
      </c>
      <c r="N346">
        <v>3</v>
      </c>
      <c r="O346">
        <v>8</v>
      </c>
      <c r="P346" t="s">
        <v>1049</v>
      </c>
    </row>
    <row r="347" spans="1:16" x14ac:dyDescent="0.3">
      <c r="A347" t="s">
        <v>375</v>
      </c>
      <c r="B347" t="s">
        <v>34</v>
      </c>
      <c r="C347" t="s">
        <v>17</v>
      </c>
      <c r="D347" s="1">
        <v>45941</v>
      </c>
      <c r="E347" s="1">
        <v>45946</v>
      </c>
      <c r="F347" s="1">
        <v>45951</v>
      </c>
      <c r="G347" s="1">
        <v>45953</v>
      </c>
      <c r="H347" t="s">
        <v>18</v>
      </c>
      <c r="I347" t="s">
        <v>19</v>
      </c>
      <c r="J347" s="1">
        <v>45982</v>
      </c>
      <c r="K347">
        <v>5</v>
      </c>
      <c r="L347">
        <v>5</v>
      </c>
      <c r="M347">
        <v>2</v>
      </c>
      <c r="N347">
        <v>6</v>
      </c>
      <c r="O347">
        <v>12</v>
      </c>
      <c r="P347" t="s">
        <v>1049</v>
      </c>
    </row>
    <row r="348" spans="1:16" x14ac:dyDescent="0.3">
      <c r="A348" t="s">
        <v>376</v>
      </c>
      <c r="B348" t="s">
        <v>23</v>
      </c>
      <c r="C348" t="s">
        <v>17</v>
      </c>
      <c r="D348" s="1">
        <v>45952</v>
      </c>
      <c r="E348" s="1">
        <v>45954</v>
      </c>
      <c r="F348" s="1">
        <v>45955</v>
      </c>
      <c r="G348" s="1">
        <v>45959</v>
      </c>
      <c r="H348" t="s">
        <v>18</v>
      </c>
      <c r="I348" t="s">
        <v>19</v>
      </c>
      <c r="J348" s="1">
        <v>45977</v>
      </c>
      <c r="K348">
        <v>2</v>
      </c>
      <c r="L348">
        <v>1</v>
      </c>
      <c r="M348">
        <v>4</v>
      </c>
      <c r="N348">
        <v>4</v>
      </c>
      <c r="O348">
        <v>7</v>
      </c>
      <c r="P348" t="s">
        <v>1049</v>
      </c>
    </row>
    <row r="349" spans="1:16" x14ac:dyDescent="0.3">
      <c r="A349" t="s">
        <v>377</v>
      </c>
      <c r="B349" t="s">
        <v>34</v>
      </c>
      <c r="C349" t="s">
        <v>32</v>
      </c>
      <c r="D349" s="1">
        <v>45934</v>
      </c>
      <c r="E349" s="1">
        <v>45937</v>
      </c>
      <c r="F349" s="1">
        <v>45938</v>
      </c>
      <c r="G349" s="1">
        <v>45945</v>
      </c>
      <c r="H349" t="s">
        <v>18</v>
      </c>
      <c r="I349" t="s">
        <v>19</v>
      </c>
      <c r="J349" s="1">
        <v>45965</v>
      </c>
      <c r="K349">
        <v>3</v>
      </c>
      <c r="L349">
        <v>1</v>
      </c>
      <c r="M349">
        <v>7</v>
      </c>
      <c r="N349">
        <v>8</v>
      </c>
      <c r="O349">
        <v>11</v>
      </c>
      <c r="P349" t="s">
        <v>1041</v>
      </c>
    </row>
    <row r="350" spans="1:16" x14ac:dyDescent="0.3">
      <c r="A350" t="s">
        <v>378</v>
      </c>
      <c r="B350" t="s">
        <v>23</v>
      </c>
      <c r="C350" t="s">
        <v>17</v>
      </c>
      <c r="D350" s="1">
        <v>45958</v>
      </c>
      <c r="E350" s="1">
        <v>45959</v>
      </c>
      <c r="F350" s="1">
        <v>45963</v>
      </c>
      <c r="G350" s="1">
        <v>45970</v>
      </c>
      <c r="H350" t="s">
        <v>18</v>
      </c>
      <c r="I350" t="s">
        <v>19</v>
      </c>
      <c r="J350" s="1">
        <v>45982</v>
      </c>
      <c r="K350">
        <v>1</v>
      </c>
      <c r="L350">
        <v>4</v>
      </c>
      <c r="M350">
        <v>7</v>
      </c>
      <c r="N350">
        <v>4</v>
      </c>
      <c r="O350">
        <v>12</v>
      </c>
      <c r="P350" t="s">
        <v>1049</v>
      </c>
    </row>
    <row r="351" spans="1:16" x14ac:dyDescent="0.3">
      <c r="A351" t="s">
        <v>379</v>
      </c>
      <c r="B351" t="s">
        <v>21</v>
      </c>
      <c r="C351" t="s">
        <v>17</v>
      </c>
      <c r="D351" s="1">
        <v>45936</v>
      </c>
      <c r="E351" s="1">
        <v>45941</v>
      </c>
      <c r="F351" s="1">
        <v>45942</v>
      </c>
      <c r="G351" s="1">
        <v>45945</v>
      </c>
      <c r="H351" t="s">
        <v>18</v>
      </c>
      <c r="I351" t="s">
        <v>19</v>
      </c>
      <c r="J351" s="1">
        <v>45957</v>
      </c>
      <c r="K351">
        <v>5</v>
      </c>
      <c r="L351">
        <v>1</v>
      </c>
      <c r="M351">
        <v>3</v>
      </c>
      <c r="N351">
        <v>6</v>
      </c>
      <c r="O351">
        <v>9</v>
      </c>
      <c r="P351" t="s">
        <v>1049</v>
      </c>
    </row>
    <row r="352" spans="1:16" x14ac:dyDescent="0.3">
      <c r="A352" t="s">
        <v>380</v>
      </c>
      <c r="B352" t="s">
        <v>21</v>
      </c>
      <c r="C352" t="s">
        <v>17</v>
      </c>
      <c r="D352" s="1">
        <v>45941</v>
      </c>
      <c r="E352" s="1">
        <v>45943</v>
      </c>
      <c r="F352" s="1">
        <v>45946</v>
      </c>
      <c r="G352" s="1">
        <v>45948</v>
      </c>
      <c r="H352" t="s">
        <v>25</v>
      </c>
      <c r="I352" t="s">
        <v>26</v>
      </c>
      <c r="J352" s="1"/>
      <c r="K352">
        <v>2</v>
      </c>
      <c r="L352">
        <v>3</v>
      </c>
      <c r="M352">
        <v>2</v>
      </c>
      <c r="O352">
        <v>7</v>
      </c>
    </row>
    <row r="353" spans="1:16" x14ac:dyDescent="0.3">
      <c r="A353" t="s">
        <v>381</v>
      </c>
      <c r="B353" t="s">
        <v>16</v>
      </c>
      <c r="C353" t="s">
        <v>17</v>
      </c>
      <c r="D353" s="1">
        <v>45944</v>
      </c>
      <c r="E353" s="1">
        <v>45947</v>
      </c>
      <c r="F353" s="1">
        <v>45951</v>
      </c>
      <c r="G353" s="1">
        <v>45956</v>
      </c>
      <c r="H353" t="s">
        <v>25</v>
      </c>
      <c r="I353" t="s">
        <v>35</v>
      </c>
      <c r="J353" s="1"/>
      <c r="K353">
        <v>3</v>
      </c>
      <c r="L353">
        <v>4</v>
      </c>
      <c r="M353">
        <v>5</v>
      </c>
      <c r="O353">
        <v>12</v>
      </c>
    </row>
    <row r="354" spans="1:16" x14ac:dyDescent="0.3">
      <c r="A354" t="s">
        <v>382</v>
      </c>
      <c r="B354" t="s">
        <v>21</v>
      </c>
      <c r="C354" t="s">
        <v>17</v>
      </c>
      <c r="D354" s="1">
        <v>45953</v>
      </c>
      <c r="E354" s="1">
        <v>45956</v>
      </c>
      <c r="F354" s="1">
        <v>45958</v>
      </c>
      <c r="G354" s="1">
        <v>45965</v>
      </c>
      <c r="H354" t="s">
        <v>18</v>
      </c>
      <c r="I354" t="s">
        <v>19</v>
      </c>
      <c r="J354" s="1">
        <v>45987</v>
      </c>
      <c r="K354">
        <v>3</v>
      </c>
      <c r="L354">
        <v>2</v>
      </c>
      <c r="M354">
        <v>7</v>
      </c>
      <c r="N354">
        <v>5</v>
      </c>
      <c r="O354">
        <v>12</v>
      </c>
      <c r="P354" t="s">
        <v>1049</v>
      </c>
    </row>
    <row r="355" spans="1:16" x14ac:dyDescent="0.3">
      <c r="A355" t="s">
        <v>383</v>
      </c>
      <c r="B355" t="s">
        <v>34</v>
      </c>
      <c r="C355" t="s">
        <v>24</v>
      </c>
      <c r="D355" s="1">
        <v>45946</v>
      </c>
      <c r="E355" s="1"/>
      <c r="F355" s="1"/>
      <c r="G355" s="1"/>
      <c r="H355" t="s">
        <v>25</v>
      </c>
      <c r="I355" t="s">
        <v>28</v>
      </c>
      <c r="J355" s="1"/>
    </row>
    <row r="356" spans="1:16" x14ac:dyDescent="0.3">
      <c r="A356" t="s">
        <v>384</v>
      </c>
      <c r="B356" t="s">
        <v>21</v>
      </c>
      <c r="C356" t="s">
        <v>32</v>
      </c>
      <c r="D356" s="1">
        <v>45940</v>
      </c>
      <c r="E356" s="1">
        <v>45944</v>
      </c>
      <c r="F356" s="1">
        <v>45946</v>
      </c>
      <c r="G356" s="1">
        <v>45950</v>
      </c>
      <c r="H356" t="s">
        <v>18</v>
      </c>
      <c r="I356" t="s">
        <v>19</v>
      </c>
      <c r="J356" s="1">
        <v>45977</v>
      </c>
      <c r="K356">
        <v>4</v>
      </c>
      <c r="L356">
        <v>2</v>
      </c>
      <c r="M356">
        <v>4</v>
      </c>
      <c r="N356">
        <v>2</v>
      </c>
      <c r="O356">
        <v>10</v>
      </c>
      <c r="P356" t="s">
        <v>1049</v>
      </c>
    </row>
    <row r="357" spans="1:16" x14ac:dyDescent="0.3">
      <c r="A357" t="s">
        <v>385</v>
      </c>
      <c r="B357" t="s">
        <v>23</v>
      </c>
      <c r="C357" t="s">
        <v>17</v>
      </c>
      <c r="D357" s="1">
        <v>45952</v>
      </c>
      <c r="E357" s="1">
        <v>45954</v>
      </c>
      <c r="F357" s="1">
        <v>45958</v>
      </c>
      <c r="G357" s="1">
        <v>45965</v>
      </c>
      <c r="H357" t="s">
        <v>18</v>
      </c>
      <c r="I357" t="s">
        <v>19</v>
      </c>
      <c r="J357" s="1">
        <v>45987</v>
      </c>
      <c r="K357">
        <v>2</v>
      </c>
      <c r="L357">
        <v>4</v>
      </c>
      <c r="M357">
        <v>7</v>
      </c>
      <c r="N357">
        <v>3</v>
      </c>
      <c r="O357">
        <v>13</v>
      </c>
      <c r="P357" t="s">
        <v>1049</v>
      </c>
    </row>
    <row r="358" spans="1:16" x14ac:dyDescent="0.3">
      <c r="A358" t="s">
        <v>386</v>
      </c>
      <c r="B358" t="s">
        <v>21</v>
      </c>
      <c r="C358" t="s">
        <v>17</v>
      </c>
      <c r="D358" s="1">
        <v>45961</v>
      </c>
      <c r="E358" s="1">
        <v>45966</v>
      </c>
      <c r="F358" s="1">
        <v>45969</v>
      </c>
      <c r="G358" s="1">
        <v>45976</v>
      </c>
      <c r="H358" t="s">
        <v>18</v>
      </c>
      <c r="I358" t="s">
        <v>19</v>
      </c>
      <c r="J358" s="1">
        <v>46003</v>
      </c>
      <c r="K358">
        <v>5</v>
      </c>
      <c r="L358">
        <v>3</v>
      </c>
      <c r="M358">
        <v>7</v>
      </c>
      <c r="N358">
        <v>10</v>
      </c>
      <c r="O358">
        <v>15</v>
      </c>
      <c r="P358" t="s">
        <v>1050</v>
      </c>
    </row>
    <row r="359" spans="1:16" x14ac:dyDescent="0.3">
      <c r="A359" t="s">
        <v>387</v>
      </c>
      <c r="B359" t="s">
        <v>16</v>
      </c>
      <c r="C359" t="s">
        <v>17</v>
      </c>
      <c r="D359" s="1">
        <v>45943</v>
      </c>
      <c r="E359" s="1">
        <v>45944</v>
      </c>
      <c r="F359" s="1">
        <v>45948</v>
      </c>
      <c r="G359" s="1">
        <v>45951</v>
      </c>
      <c r="H359" t="s">
        <v>18</v>
      </c>
      <c r="I359" t="s">
        <v>19</v>
      </c>
      <c r="J359" s="1">
        <v>45971</v>
      </c>
      <c r="K359">
        <v>1</v>
      </c>
      <c r="L359">
        <v>4</v>
      </c>
      <c r="M359">
        <v>3</v>
      </c>
      <c r="N359">
        <v>3</v>
      </c>
      <c r="O359">
        <v>8</v>
      </c>
      <c r="P359" t="s">
        <v>1049</v>
      </c>
    </row>
    <row r="360" spans="1:16" x14ac:dyDescent="0.3">
      <c r="A360" t="s">
        <v>388</v>
      </c>
      <c r="B360" t="s">
        <v>21</v>
      </c>
      <c r="C360" t="s">
        <v>24</v>
      </c>
      <c r="D360" s="1">
        <v>45957</v>
      </c>
      <c r="E360" s="1"/>
      <c r="F360" s="1"/>
      <c r="G360" s="1"/>
      <c r="H360" t="s">
        <v>25</v>
      </c>
      <c r="I360" t="s">
        <v>26</v>
      </c>
      <c r="J360" s="1"/>
    </row>
    <row r="361" spans="1:16" x14ac:dyDescent="0.3">
      <c r="A361" t="s">
        <v>389</v>
      </c>
      <c r="B361" t="s">
        <v>23</v>
      </c>
      <c r="C361" t="s">
        <v>32</v>
      </c>
      <c r="D361" s="1">
        <v>45955</v>
      </c>
      <c r="E361" s="1">
        <v>45958</v>
      </c>
      <c r="F361" s="1">
        <v>45962</v>
      </c>
      <c r="G361" s="1">
        <v>45967</v>
      </c>
      <c r="H361" t="s">
        <v>18</v>
      </c>
      <c r="I361" t="s">
        <v>19</v>
      </c>
      <c r="J361" s="1">
        <v>45985</v>
      </c>
      <c r="K361">
        <v>3</v>
      </c>
      <c r="L361">
        <v>4</v>
      </c>
      <c r="M361">
        <v>5</v>
      </c>
      <c r="N361">
        <v>5</v>
      </c>
      <c r="O361">
        <v>12</v>
      </c>
      <c r="P361" t="s">
        <v>1049</v>
      </c>
    </row>
    <row r="362" spans="1:16" x14ac:dyDescent="0.3">
      <c r="A362" t="s">
        <v>390</v>
      </c>
      <c r="B362" t="s">
        <v>23</v>
      </c>
      <c r="C362" t="s">
        <v>17</v>
      </c>
      <c r="D362" s="1">
        <v>45948</v>
      </c>
      <c r="E362" s="1">
        <v>45953</v>
      </c>
      <c r="F362" s="1">
        <v>45957</v>
      </c>
      <c r="G362" s="1">
        <v>45964</v>
      </c>
      <c r="H362" t="s">
        <v>18</v>
      </c>
      <c r="I362" t="s">
        <v>19</v>
      </c>
      <c r="J362" s="1">
        <v>45990</v>
      </c>
      <c r="K362">
        <v>5</v>
      </c>
      <c r="L362">
        <v>4</v>
      </c>
      <c r="M362">
        <v>7</v>
      </c>
      <c r="N362">
        <v>8</v>
      </c>
      <c r="O362">
        <v>16</v>
      </c>
      <c r="P362" t="s">
        <v>1041</v>
      </c>
    </row>
    <row r="363" spans="1:16" x14ac:dyDescent="0.3">
      <c r="A363" t="s">
        <v>391</v>
      </c>
      <c r="B363" t="s">
        <v>34</v>
      </c>
      <c r="C363" t="s">
        <v>17</v>
      </c>
      <c r="D363" s="1">
        <v>45932</v>
      </c>
      <c r="E363" s="1">
        <v>45936</v>
      </c>
      <c r="F363" s="1">
        <v>45940</v>
      </c>
      <c r="G363" s="1">
        <v>45942</v>
      </c>
      <c r="H363" t="s">
        <v>18</v>
      </c>
      <c r="I363" t="s">
        <v>19</v>
      </c>
      <c r="J363" s="1">
        <v>45966</v>
      </c>
      <c r="K363">
        <v>4</v>
      </c>
      <c r="L363">
        <v>4</v>
      </c>
      <c r="M363">
        <v>2</v>
      </c>
      <c r="N363">
        <v>0</v>
      </c>
      <c r="O363">
        <v>10</v>
      </c>
      <c r="P363" t="s">
        <v>1049</v>
      </c>
    </row>
    <row r="364" spans="1:16" x14ac:dyDescent="0.3">
      <c r="A364" t="s">
        <v>392</v>
      </c>
      <c r="B364" t="s">
        <v>21</v>
      </c>
      <c r="C364" t="s">
        <v>17</v>
      </c>
      <c r="D364" s="1">
        <v>45945</v>
      </c>
      <c r="E364" s="1">
        <v>45948</v>
      </c>
      <c r="F364" s="1">
        <v>45949</v>
      </c>
      <c r="G364" s="1">
        <v>45956</v>
      </c>
      <c r="H364" t="s">
        <v>18</v>
      </c>
      <c r="I364" t="s">
        <v>19</v>
      </c>
      <c r="J364" s="1">
        <v>45966</v>
      </c>
      <c r="K364">
        <v>3</v>
      </c>
      <c r="L364">
        <v>1</v>
      </c>
      <c r="M364">
        <v>7</v>
      </c>
      <c r="N364">
        <v>1</v>
      </c>
      <c r="O364">
        <v>11</v>
      </c>
      <c r="P364" t="s">
        <v>1049</v>
      </c>
    </row>
    <row r="365" spans="1:16" x14ac:dyDescent="0.3">
      <c r="A365" t="s">
        <v>393</v>
      </c>
      <c r="B365" t="s">
        <v>23</v>
      </c>
      <c r="C365" t="s">
        <v>17</v>
      </c>
      <c r="D365" s="1">
        <v>45933</v>
      </c>
      <c r="E365" s="1">
        <v>45935</v>
      </c>
      <c r="F365" s="1">
        <v>45940</v>
      </c>
      <c r="G365" s="1">
        <v>45942</v>
      </c>
      <c r="H365" t="s">
        <v>18</v>
      </c>
      <c r="I365" t="s">
        <v>19</v>
      </c>
      <c r="J365" s="1">
        <v>45971</v>
      </c>
      <c r="K365">
        <v>2</v>
      </c>
      <c r="L365">
        <v>5</v>
      </c>
      <c r="M365">
        <v>2</v>
      </c>
      <c r="N365">
        <v>4</v>
      </c>
      <c r="O365">
        <v>9</v>
      </c>
      <c r="P365" t="s">
        <v>1049</v>
      </c>
    </row>
    <row r="366" spans="1:16" x14ac:dyDescent="0.3">
      <c r="A366" t="s">
        <v>394</v>
      </c>
      <c r="B366" t="s">
        <v>16</v>
      </c>
      <c r="C366" t="s">
        <v>17</v>
      </c>
      <c r="D366" s="1">
        <v>45941</v>
      </c>
      <c r="E366" s="1">
        <v>45946</v>
      </c>
      <c r="F366" s="1">
        <v>45948</v>
      </c>
      <c r="G366" s="1">
        <v>45950</v>
      </c>
      <c r="H366" t="s">
        <v>18</v>
      </c>
      <c r="I366" t="s">
        <v>19</v>
      </c>
      <c r="J366" s="1">
        <v>45978</v>
      </c>
      <c r="K366">
        <v>5</v>
      </c>
      <c r="L366">
        <v>2</v>
      </c>
      <c r="M366">
        <v>2</v>
      </c>
      <c r="N366">
        <v>5</v>
      </c>
      <c r="O366">
        <v>9</v>
      </c>
      <c r="P366" t="s">
        <v>1049</v>
      </c>
    </row>
    <row r="367" spans="1:16" x14ac:dyDescent="0.3">
      <c r="A367" t="s">
        <v>395</v>
      </c>
      <c r="B367" t="s">
        <v>34</v>
      </c>
      <c r="C367" t="s">
        <v>17</v>
      </c>
      <c r="D367" s="1">
        <v>45939</v>
      </c>
      <c r="E367" s="1">
        <v>45940</v>
      </c>
      <c r="F367" s="1">
        <v>45943</v>
      </c>
      <c r="G367" s="1">
        <v>45946</v>
      </c>
      <c r="H367" t="s">
        <v>18</v>
      </c>
      <c r="I367" t="s">
        <v>19</v>
      </c>
      <c r="J367" s="1">
        <v>45972</v>
      </c>
      <c r="K367">
        <v>1</v>
      </c>
      <c r="L367">
        <v>3</v>
      </c>
      <c r="M367">
        <v>3</v>
      </c>
      <c r="N367">
        <v>10</v>
      </c>
      <c r="O367">
        <v>7</v>
      </c>
      <c r="P367" t="s">
        <v>1050</v>
      </c>
    </row>
    <row r="368" spans="1:16" x14ac:dyDescent="0.3">
      <c r="A368" t="s">
        <v>396</v>
      </c>
      <c r="B368" t="s">
        <v>16</v>
      </c>
      <c r="C368" t="s">
        <v>17</v>
      </c>
      <c r="D368" s="1">
        <v>45941</v>
      </c>
      <c r="E368" s="1">
        <v>45945</v>
      </c>
      <c r="F368" s="1">
        <v>45946</v>
      </c>
      <c r="G368" s="1">
        <v>45951</v>
      </c>
      <c r="H368" t="s">
        <v>18</v>
      </c>
      <c r="I368" t="s">
        <v>19</v>
      </c>
      <c r="J368" s="1">
        <v>45974</v>
      </c>
      <c r="K368">
        <v>4</v>
      </c>
      <c r="L368">
        <v>1</v>
      </c>
      <c r="M368">
        <v>5</v>
      </c>
      <c r="N368">
        <v>3</v>
      </c>
      <c r="O368">
        <v>10</v>
      </c>
      <c r="P368" t="s">
        <v>1049</v>
      </c>
    </row>
    <row r="369" spans="1:16" x14ac:dyDescent="0.3">
      <c r="A369" t="s">
        <v>397</v>
      </c>
      <c r="B369" t="s">
        <v>21</v>
      </c>
      <c r="C369" t="s">
        <v>32</v>
      </c>
      <c r="D369" s="1">
        <v>45934</v>
      </c>
      <c r="E369" s="1">
        <v>45939</v>
      </c>
      <c r="F369" s="1">
        <v>45941</v>
      </c>
      <c r="G369" s="1">
        <v>45943</v>
      </c>
      <c r="H369" t="s">
        <v>25</v>
      </c>
      <c r="I369" t="s">
        <v>28</v>
      </c>
      <c r="J369" s="1"/>
      <c r="K369">
        <v>5</v>
      </c>
      <c r="L369">
        <v>2</v>
      </c>
      <c r="M369">
        <v>2</v>
      </c>
      <c r="O369">
        <v>9</v>
      </c>
    </row>
    <row r="370" spans="1:16" x14ac:dyDescent="0.3">
      <c r="A370" t="s">
        <v>398</v>
      </c>
      <c r="B370" t="s">
        <v>21</v>
      </c>
      <c r="C370" t="s">
        <v>17</v>
      </c>
      <c r="D370" s="1">
        <v>45955</v>
      </c>
      <c r="E370" s="1">
        <v>45958</v>
      </c>
      <c r="F370" s="1">
        <v>45963</v>
      </c>
      <c r="G370" s="1">
        <v>45966</v>
      </c>
      <c r="H370" t="s">
        <v>18</v>
      </c>
      <c r="I370" t="s">
        <v>19</v>
      </c>
      <c r="J370" s="1">
        <v>45979</v>
      </c>
      <c r="K370">
        <v>3</v>
      </c>
      <c r="L370">
        <v>5</v>
      </c>
      <c r="M370">
        <v>3</v>
      </c>
      <c r="N370">
        <v>10</v>
      </c>
      <c r="O370">
        <v>11</v>
      </c>
      <c r="P370" t="s">
        <v>1050</v>
      </c>
    </row>
    <row r="371" spans="1:16" x14ac:dyDescent="0.3">
      <c r="A371" t="s">
        <v>399</v>
      </c>
      <c r="B371" t="s">
        <v>21</v>
      </c>
      <c r="C371" t="s">
        <v>32</v>
      </c>
      <c r="D371" s="1">
        <v>45943</v>
      </c>
      <c r="E371" s="1">
        <v>45944</v>
      </c>
      <c r="F371" s="1">
        <v>45948</v>
      </c>
      <c r="G371" s="1">
        <v>45954</v>
      </c>
      <c r="H371" t="s">
        <v>18</v>
      </c>
      <c r="I371" t="s">
        <v>19</v>
      </c>
      <c r="J371" s="1">
        <v>45977</v>
      </c>
      <c r="K371">
        <v>1</v>
      </c>
      <c r="L371">
        <v>4</v>
      </c>
      <c r="M371">
        <v>6</v>
      </c>
      <c r="N371">
        <v>4</v>
      </c>
      <c r="O371">
        <v>11</v>
      </c>
      <c r="P371" t="s">
        <v>1049</v>
      </c>
    </row>
    <row r="372" spans="1:16" x14ac:dyDescent="0.3">
      <c r="A372" t="s">
        <v>400</v>
      </c>
      <c r="B372" t="s">
        <v>34</v>
      </c>
      <c r="C372" t="s">
        <v>17</v>
      </c>
      <c r="D372" s="1">
        <v>45958</v>
      </c>
      <c r="E372" s="1">
        <v>45961</v>
      </c>
      <c r="F372" s="1">
        <v>45966</v>
      </c>
      <c r="G372" s="1">
        <v>45969</v>
      </c>
      <c r="H372" t="s">
        <v>18</v>
      </c>
      <c r="I372" t="s">
        <v>19</v>
      </c>
      <c r="J372" s="1">
        <v>45983</v>
      </c>
      <c r="K372">
        <v>3</v>
      </c>
      <c r="L372">
        <v>5</v>
      </c>
      <c r="M372">
        <v>3</v>
      </c>
      <c r="N372">
        <v>7</v>
      </c>
      <c r="O372">
        <v>11</v>
      </c>
      <c r="P372" t="s">
        <v>1041</v>
      </c>
    </row>
    <row r="373" spans="1:16" x14ac:dyDescent="0.3">
      <c r="A373" t="s">
        <v>401</v>
      </c>
      <c r="B373" t="s">
        <v>23</v>
      </c>
      <c r="C373" t="s">
        <v>17</v>
      </c>
      <c r="D373" s="1">
        <v>45947</v>
      </c>
      <c r="E373" s="1">
        <v>45950</v>
      </c>
      <c r="F373" s="1">
        <v>45952</v>
      </c>
      <c r="G373" s="1">
        <v>45958</v>
      </c>
      <c r="H373" t="s">
        <v>18</v>
      </c>
      <c r="I373" t="s">
        <v>19</v>
      </c>
      <c r="J373" s="1">
        <v>45972</v>
      </c>
      <c r="K373">
        <v>3</v>
      </c>
      <c r="L373">
        <v>2</v>
      </c>
      <c r="M373">
        <v>6</v>
      </c>
      <c r="N373">
        <v>1</v>
      </c>
      <c r="O373">
        <v>11</v>
      </c>
      <c r="P373" t="s">
        <v>1049</v>
      </c>
    </row>
    <row r="374" spans="1:16" x14ac:dyDescent="0.3">
      <c r="A374" t="s">
        <v>402</v>
      </c>
      <c r="B374" t="s">
        <v>34</v>
      </c>
      <c r="C374" t="s">
        <v>17</v>
      </c>
      <c r="D374" s="1">
        <v>45957</v>
      </c>
      <c r="E374" s="1">
        <v>45959</v>
      </c>
      <c r="F374" s="1">
        <v>45961</v>
      </c>
      <c r="G374" s="1">
        <v>45968</v>
      </c>
      <c r="H374" t="s">
        <v>18</v>
      </c>
      <c r="I374" t="s">
        <v>19</v>
      </c>
      <c r="J374" s="1">
        <v>45996</v>
      </c>
      <c r="K374">
        <v>2</v>
      </c>
      <c r="L374">
        <v>2</v>
      </c>
      <c r="M374">
        <v>7</v>
      </c>
      <c r="N374">
        <v>5</v>
      </c>
      <c r="O374">
        <v>11</v>
      </c>
      <c r="P374" t="s">
        <v>1049</v>
      </c>
    </row>
    <row r="375" spans="1:16" x14ac:dyDescent="0.3">
      <c r="A375" t="s">
        <v>403</v>
      </c>
      <c r="B375" t="s">
        <v>16</v>
      </c>
      <c r="C375" t="s">
        <v>17</v>
      </c>
      <c r="D375" s="1">
        <v>45931</v>
      </c>
      <c r="E375" s="1">
        <v>45933</v>
      </c>
      <c r="F375" s="1">
        <v>45934</v>
      </c>
      <c r="G375" s="1">
        <v>45939</v>
      </c>
      <c r="H375" t="s">
        <v>18</v>
      </c>
      <c r="I375" t="s">
        <v>19</v>
      </c>
      <c r="J375" s="1">
        <v>45967</v>
      </c>
      <c r="K375">
        <v>2</v>
      </c>
      <c r="L375">
        <v>1</v>
      </c>
      <c r="M375">
        <v>5</v>
      </c>
      <c r="N375">
        <v>2</v>
      </c>
      <c r="O375">
        <v>8</v>
      </c>
      <c r="P375" t="s">
        <v>1049</v>
      </c>
    </row>
    <row r="376" spans="1:16" x14ac:dyDescent="0.3">
      <c r="A376" t="s">
        <v>404</v>
      </c>
      <c r="B376" t="s">
        <v>34</v>
      </c>
      <c r="C376" t="s">
        <v>32</v>
      </c>
      <c r="D376" s="1">
        <v>45952</v>
      </c>
      <c r="E376" s="1">
        <v>45955</v>
      </c>
      <c r="F376" s="1">
        <v>45956</v>
      </c>
      <c r="G376" s="1">
        <v>45958</v>
      </c>
      <c r="H376" t="s">
        <v>18</v>
      </c>
      <c r="I376" t="s">
        <v>19</v>
      </c>
      <c r="J376" s="1">
        <v>45986</v>
      </c>
      <c r="K376">
        <v>3</v>
      </c>
      <c r="L376">
        <v>1</v>
      </c>
      <c r="M376">
        <v>2</v>
      </c>
      <c r="N376">
        <v>9</v>
      </c>
      <c r="O376">
        <v>6</v>
      </c>
      <c r="P376" t="s">
        <v>1050</v>
      </c>
    </row>
    <row r="377" spans="1:16" x14ac:dyDescent="0.3">
      <c r="A377" t="s">
        <v>405</v>
      </c>
      <c r="B377" t="s">
        <v>16</v>
      </c>
      <c r="C377" t="s">
        <v>17</v>
      </c>
      <c r="D377" s="1">
        <v>45958</v>
      </c>
      <c r="E377" s="1">
        <v>45962</v>
      </c>
      <c r="F377" s="1">
        <v>45965</v>
      </c>
      <c r="G377" s="1">
        <v>45967</v>
      </c>
      <c r="H377" t="s">
        <v>25</v>
      </c>
      <c r="I377" t="s">
        <v>35</v>
      </c>
      <c r="J377" s="1"/>
      <c r="K377">
        <v>4</v>
      </c>
      <c r="L377">
        <v>3</v>
      </c>
      <c r="M377">
        <v>2</v>
      </c>
      <c r="O377">
        <v>9</v>
      </c>
    </row>
    <row r="378" spans="1:16" x14ac:dyDescent="0.3">
      <c r="A378" t="s">
        <v>406</v>
      </c>
      <c r="B378" t="s">
        <v>34</v>
      </c>
      <c r="C378" t="s">
        <v>17</v>
      </c>
      <c r="D378" s="1">
        <v>45948</v>
      </c>
      <c r="E378" s="1">
        <v>45950</v>
      </c>
      <c r="F378" s="1">
        <v>45954</v>
      </c>
      <c r="G378" s="1">
        <v>45961</v>
      </c>
      <c r="H378" t="s">
        <v>18</v>
      </c>
      <c r="I378" t="s">
        <v>19</v>
      </c>
      <c r="J378" s="1">
        <v>45974</v>
      </c>
      <c r="K378">
        <v>2</v>
      </c>
      <c r="L378">
        <v>4</v>
      </c>
      <c r="M378">
        <v>7</v>
      </c>
      <c r="N378">
        <v>3</v>
      </c>
      <c r="O378">
        <v>13</v>
      </c>
      <c r="P378" t="s">
        <v>1049</v>
      </c>
    </row>
    <row r="379" spans="1:16" x14ac:dyDescent="0.3">
      <c r="A379" t="s">
        <v>407</v>
      </c>
      <c r="B379" t="s">
        <v>23</v>
      </c>
      <c r="C379" t="s">
        <v>17</v>
      </c>
      <c r="D379" s="1">
        <v>45945</v>
      </c>
      <c r="E379" s="1">
        <v>45947</v>
      </c>
      <c r="F379" s="1">
        <v>45952</v>
      </c>
      <c r="G379" s="1">
        <v>45956</v>
      </c>
      <c r="H379" t="s">
        <v>18</v>
      </c>
      <c r="I379" t="s">
        <v>19</v>
      </c>
      <c r="J379" s="1">
        <v>45969</v>
      </c>
      <c r="K379">
        <v>2</v>
      </c>
      <c r="L379">
        <v>5</v>
      </c>
      <c r="M379">
        <v>4</v>
      </c>
      <c r="N379">
        <v>9</v>
      </c>
      <c r="O379">
        <v>11</v>
      </c>
      <c r="P379" t="s">
        <v>1050</v>
      </c>
    </row>
    <row r="380" spans="1:16" x14ac:dyDescent="0.3">
      <c r="A380" t="s">
        <v>408</v>
      </c>
      <c r="B380" t="s">
        <v>16</v>
      </c>
      <c r="C380" t="s">
        <v>24</v>
      </c>
      <c r="D380" s="1">
        <v>45944</v>
      </c>
      <c r="E380" s="1"/>
      <c r="F380" s="1"/>
      <c r="G380" s="1"/>
      <c r="H380" t="s">
        <v>25</v>
      </c>
      <c r="I380" t="s">
        <v>65</v>
      </c>
      <c r="J380" s="1"/>
    </row>
    <row r="381" spans="1:16" x14ac:dyDescent="0.3">
      <c r="A381" t="s">
        <v>409</v>
      </c>
      <c r="B381" t="s">
        <v>21</v>
      </c>
      <c r="C381" t="s">
        <v>32</v>
      </c>
      <c r="D381" s="1">
        <v>45932</v>
      </c>
      <c r="E381" s="1">
        <v>45934</v>
      </c>
      <c r="F381" s="1">
        <v>45938</v>
      </c>
      <c r="G381" s="1">
        <v>45940</v>
      </c>
      <c r="H381" t="s">
        <v>18</v>
      </c>
      <c r="I381" t="s">
        <v>19</v>
      </c>
      <c r="J381" s="1">
        <v>45968</v>
      </c>
      <c r="K381">
        <v>2</v>
      </c>
      <c r="L381">
        <v>4</v>
      </c>
      <c r="M381">
        <v>2</v>
      </c>
      <c r="N381">
        <v>10</v>
      </c>
      <c r="O381">
        <v>8</v>
      </c>
      <c r="P381" t="s">
        <v>1050</v>
      </c>
    </row>
    <row r="382" spans="1:16" x14ac:dyDescent="0.3">
      <c r="A382" t="s">
        <v>410</v>
      </c>
      <c r="B382" t="s">
        <v>21</v>
      </c>
      <c r="C382" t="s">
        <v>17</v>
      </c>
      <c r="D382" s="1">
        <v>45937</v>
      </c>
      <c r="E382" s="1">
        <v>45939</v>
      </c>
      <c r="F382" s="1">
        <v>45944</v>
      </c>
      <c r="G382" s="1">
        <v>45949</v>
      </c>
      <c r="H382" t="s">
        <v>18</v>
      </c>
      <c r="I382" t="s">
        <v>19</v>
      </c>
      <c r="J382" s="1">
        <v>45962</v>
      </c>
      <c r="K382">
        <v>2</v>
      </c>
      <c r="L382">
        <v>5</v>
      </c>
      <c r="M382">
        <v>5</v>
      </c>
      <c r="N382">
        <v>1</v>
      </c>
      <c r="O382">
        <v>12</v>
      </c>
      <c r="P382" t="s">
        <v>1049</v>
      </c>
    </row>
    <row r="383" spans="1:16" x14ac:dyDescent="0.3">
      <c r="A383" t="s">
        <v>411</v>
      </c>
      <c r="B383" t="s">
        <v>34</v>
      </c>
      <c r="C383" t="s">
        <v>17</v>
      </c>
      <c r="D383" s="1">
        <v>45947</v>
      </c>
      <c r="E383" s="1">
        <v>45948</v>
      </c>
      <c r="F383" s="1">
        <v>45952</v>
      </c>
      <c r="G383" s="1">
        <v>45959</v>
      </c>
      <c r="H383" t="s">
        <v>18</v>
      </c>
      <c r="I383" t="s">
        <v>19</v>
      </c>
      <c r="J383" s="1">
        <v>45978</v>
      </c>
      <c r="K383">
        <v>1</v>
      </c>
      <c r="L383">
        <v>4</v>
      </c>
      <c r="M383">
        <v>7</v>
      </c>
      <c r="N383">
        <v>8</v>
      </c>
      <c r="O383">
        <v>12</v>
      </c>
      <c r="P383" t="s">
        <v>1041</v>
      </c>
    </row>
    <row r="384" spans="1:16" x14ac:dyDescent="0.3">
      <c r="A384" t="s">
        <v>412</v>
      </c>
      <c r="B384" t="s">
        <v>21</v>
      </c>
      <c r="C384" t="s">
        <v>17</v>
      </c>
      <c r="D384" s="1">
        <v>45942</v>
      </c>
      <c r="E384" s="1">
        <v>45945</v>
      </c>
      <c r="F384" s="1">
        <v>45947</v>
      </c>
      <c r="G384" s="1">
        <v>45950</v>
      </c>
      <c r="H384" t="s">
        <v>18</v>
      </c>
      <c r="I384" t="s">
        <v>19</v>
      </c>
      <c r="J384" s="1">
        <v>45977</v>
      </c>
      <c r="K384">
        <v>3</v>
      </c>
      <c r="L384">
        <v>2</v>
      </c>
      <c r="M384">
        <v>3</v>
      </c>
      <c r="N384">
        <v>4</v>
      </c>
      <c r="O384">
        <v>8</v>
      </c>
      <c r="P384" t="s">
        <v>1049</v>
      </c>
    </row>
    <row r="385" spans="1:16" x14ac:dyDescent="0.3">
      <c r="A385" t="s">
        <v>413</v>
      </c>
      <c r="B385" t="s">
        <v>16</v>
      </c>
      <c r="C385" t="s">
        <v>32</v>
      </c>
      <c r="D385" s="1">
        <v>45950</v>
      </c>
      <c r="E385" s="1">
        <v>45951</v>
      </c>
      <c r="F385" s="1">
        <v>45953</v>
      </c>
      <c r="G385" s="1">
        <v>45958</v>
      </c>
      <c r="H385" t="s">
        <v>18</v>
      </c>
      <c r="I385" t="s">
        <v>19</v>
      </c>
      <c r="J385" s="1">
        <v>45979</v>
      </c>
      <c r="K385">
        <v>1</v>
      </c>
      <c r="L385">
        <v>2</v>
      </c>
      <c r="M385">
        <v>5</v>
      </c>
      <c r="N385">
        <v>9</v>
      </c>
      <c r="O385">
        <v>8</v>
      </c>
      <c r="P385" t="s">
        <v>1050</v>
      </c>
    </row>
    <row r="386" spans="1:16" x14ac:dyDescent="0.3">
      <c r="A386" t="s">
        <v>414</v>
      </c>
      <c r="B386" t="s">
        <v>21</v>
      </c>
      <c r="C386" t="s">
        <v>32</v>
      </c>
      <c r="D386" s="1">
        <v>45955</v>
      </c>
      <c r="E386" s="1">
        <v>45960</v>
      </c>
      <c r="F386" s="1">
        <v>45964</v>
      </c>
      <c r="G386" s="1">
        <v>45966</v>
      </c>
      <c r="H386" t="s">
        <v>25</v>
      </c>
      <c r="I386" t="s">
        <v>28</v>
      </c>
      <c r="J386" s="1"/>
      <c r="K386">
        <v>5</v>
      </c>
      <c r="L386">
        <v>4</v>
      </c>
      <c r="M386">
        <v>2</v>
      </c>
      <c r="O386">
        <v>11</v>
      </c>
    </row>
    <row r="387" spans="1:16" x14ac:dyDescent="0.3">
      <c r="A387" t="s">
        <v>415</v>
      </c>
      <c r="B387" t="s">
        <v>23</v>
      </c>
      <c r="C387" t="s">
        <v>24</v>
      </c>
      <c r="D387" s="1">
        <v>45946</v>
      </c>
      <c r="E387" s="1"/>
      <c r="F387" s="1"/>
      <c r="G387" s="1"/>
      <c r="H387" t="s">
        <v>25</v>
      </c>
      <c r="I387" t="s">
        <v>103</v>
      </c>
      <c r="J387" s="1"/>
    </row>
    <row r="388" spans="1:16" x14ac:dyDescent="0.3">
      <c r="A388" t="s">
        <v>416</v>
      </c>
      <c r="B388" t="s">
        <v>23</v>
      </c>
      <c r="C388" t="s">
        <v>17</v>
      </c>
      <c r="D388" s="1">
        <v>45951</v>
      </c>
      <c r="E388" s="1">
        <v>45956</v>
      </c>
      <c r="F388" s="1">
        <v>45959</v>
      </c>
      <c r="G388" s="1">
        <v>45962</v>
      </c>
      <c r="H388" t="s">
        <v>18</v>
      </c>
      <c r="I388" t="s">
        <v>19</v>
      </c>
      <c r="J388" s="1">
        <v>45985</v>
      </c>
      <c r="K388">
        <v>5</v>
      </c>
      <c r="L388">
        <v>3</v>
      </c>
      <c r="M388">
        <v>3</v>
      </c>
      <c r="N388">
        <v>5</v>
      </c>
      <c r="O388">
        <v>11</v>
      </c>
      <c r="P388" t="s">
        <v>1049</v>
      </c>
    </row>
    <row r="389" spans="1:16" x14ac:dyDescent="0.3">
      <c r="A389" t="s">
        <v>417</v>
      </c>
      <c r="B389" t="s">
        <v>34</v>
      </c>
      <c r="C389" t="s">
        <v>17</v>
      </c>
      <c r="D389" s="1">
        <v>45945</v>
      </c>
      <c r="E389" s="1">
        <v>45950</v>
      </c>
      <c r="F389" s="1">
        <v>45952</v>
      </c>
      <c r="G389" s="1">
        <v>45957</v>
      </c>
      <c r="H389" t="s">
        <v>25</v>
      </c>
      <c r="I389" t="s">
        <v>103</v>
      </c>
      <c r="J389" s="1"/>
      <c r="K389">
        <v>5</v>
      </c>
      <c r="L389">
        <v>2</v>
      </c>
      <c r="M389">
        <v>5</v>
      </c>
      <c r="O389">
        <v>12</v>
      </c>
    </row>
    <row r="390" spans="1:16" x14ac:dyDescent="0.3">
      <c r="A390" t="s">
        <v>418</v>
      </c>
      <c r="B390" t="s">
        <v>16</v>
      </c>
      <c r="C390" t="s">
        <v>17</v>
      </c>
      <c r="D390" s="1">
        <v>45955</v>
      </c>
      <c r="E390" s="1">
        <v>45956</v>
      </c>
      <c r="F390" s="1">
        <v>45959</v>
      </c>
      <c r="G390" s="1">
        <v>45961</v>
      </c>
      <c r="H390" t="s">
        <v>18</v>
      </c>
      <c r="I390" t="s">
        <v>19</v>
      </c>
      <c r="J390" s="1">
        <v>45979</v>
      </c>
      <c r="K390">
        <v>1</v>
      </c>
      <c r="L390">
        <v>3</v>
      </c>
      <c r="M390">
        <v>2</v>
      </c>
      <c r="N390">
        <v>3</v>
      </c>
      <c r="O390">
        <v>6</v>
      </c>
      <c r="P390" t="s">
        <v>1049</v>
      </c>
    </row>
    <row r="391" spans="1:16" x14ac:dyDescent="0.3">
      <c r="A391" t="s">
        <v>419</v>
      </c>
      <c r="B391" t="s">
        <v>23</v>
      </c>
      <c r="C391" t="s">
        <v>17</v>
      </c>
      <c r="D391" s="1">
        <v>45932</v>
      </c>
      <c r="E391" s="1">
        <v>45935</v>
      </c>
      <c r="F391" s="1">
        <v>45937</v>
      </c>
      <c r="G391" s="1">
        <v>45944</v>
      </c>
      <c r="H391" t="s">
        <v>18</v>
      </c>
      <c r="I391" t="s">
        <v>19</v>
      </c>
      <c r="J391" s="1">
        <v>45966</v>
      </c>
      <c r="K391">
        <v>3</v>
      </c>
      <c r="L391">
        <v>2</v>
      </c>
      <c r="M391">
        <v>7</v>
      </c>
      <c r="N391">
        <v>6</v>
      </c>
      <c r="O391">
        <v>12</v>
      </c>
      <c r="P391" t="s">
        <v>1049</v>
      </c>
    </row>
    <row r="392" spans="1:16" x14ac:dyDescent="0.3">
      <c r="A392" t="s">
        <v>420</v>
      </c>
      <c r="B392" t="s">
        <v>23</v>
      </c>
      <c r="C392" t="s">
        <v>32</v>
      </c>
      <c r="D392" s="1">
        <v>45937</v>
      </c>
      <c r="E392" s="1">
        <v>45942</v>
      </c>
      <c r="F392" s="1">
        <v>45943</v>
      </c>
      <c r="G392" s="1">
        <v>45945</v>
      </c>
      <c r="H392" t="s">
        <v>18</v>
      </c>
      <c r="I392" t="s">
        <v>19</v>
      </c>
      <c r="J392" s="1">
        <v>45975</v>
      </c>
      <c r="K392">
        <v>5</v>
      </c>
      <c r="L392">
        <v>1</v>
      </c>
      <c r="M392">
        <v>2</v>
      </c>
      <c r="N392">
        <v>1</v>
      </c>
      <c r="O392">
        <v>8</v>
      </c>
      <c r="P392" t="s">
        <v>1049</v>
      </c>
    </row>
    <row r="393" spans="1:16" x14ac:dyDescent="0.3">
      <c r="A393" t="s">
        <v>421</v>
      </c>
      <c r="B393" t="s">
        <v>16</v>
      </c>
      <c r="C393" t="s">
        <v>17</v>
      </c>
      <c r="D393" s="1">
        <v>45939</v>
      </c>
      <c r="E393" s="1">
        <v>45941</v>
      </c>
      <c r="F393" s="1">
        <v>45942</v>
      </c>
      <c r="G393" s="1">
        <v>45944</v>
      </c>
      <c r="H393" t="s">
        <v>18</v>
      </c>
      <c r="I393" t="s">
        <v>19</v>
      </c>
      <c r="J393" s="1">
        <v>45969</v>
      </c>
      <c r="K393">
        <v>2</v>
      </c>
      <c r="L393">
        <v>1</v>
      </c>
      <c r="M393">
        <v>2</v>
      </c>
      <c r="N393">
        <v>4</v>
      </c>
      <c r="O393">
        <v>5</v>
      </c>
      <c r="P393" t="s">
        <v>1049</v>
      </c>
    </row>
    <row r="394" spans="1:16" x14ac:dyDescent="0.3">
      <c r="A394" t="s">
        <v>422</v>
      </c>
      <c r="B394" t="s">
        <v>21</v>
      </c>
      <c r="C394" t="s">
        <v>17</v>
      </c>
      <c r="D394" s="1">
        <v>45948</v>
      </c>
      <c r="E394" s="1">
        <v>45953</v>
      </c>
      <c r="F394" s="1">
        <v>45957</v>
      </c>
      <c r="G394" s="1">
        <v>45961</v>
      </c>
      <c r="H394" t="s">
        <v>18</v>
      </c>
      <c r="I394" t="s">
        <v>19</v>
      </c>
      <c r="J394" s="1">
        <v>45989</v>
      </c>
      <c r="K394">
        <v>5</v>
      </c>
      <c r="L394">
        <v>4</v>
      </c>
      <c r="M394">
        <v>4</v>
      </c>
      <c r="N394">
        <v>6</v>
      </c>
      <c r="O394">
        <v>13</v>
      </c>
      <c r="P394" t="s">
        <v>1049</v>
      </c>
    </row>
    <row r="395" spans="1:16" x14ac:dyDescent="0.3">
      <c r="A395" t="s">
        <v>423</v>
      </c>
      <c r="B395" t="s">
        <v>21</v>
      </c>
      <c r="C395" t="s">
        <v>24</v>
      </c>
      <c r="D395" s="1">
        <v>45935</v>
      </c>
      <c r="E395" s="1"/>
      <c r="F395" s="1"/>
      <c r="G395" s="1"/>
      <c r="H395" t="s">
        <v>25</v>
      </c>
      <c r="I395" t="s">
        <v>26</v>
      </c>
      <c r="J395" s="1"/>
    </row>
    <row r="396" spans="1:16" x14ac:dyDescent="0.3">
      <c r="A396" t="s">
        <v>424</v>
      </c>
      <c r="B396" t="s">
        <v>34</v>
      </c>
      <c r="C396" t="s">
        <v>32</v>
      </c>
      <c r="D396" s="1">
        <v>45960</v>
      </c>
      <c r="E396" s="1">
        <v>45964</v>
      </c>
      <c r="F396" s="1">
        <v>45969</v>
      </c>
      <c r="G396" s="1">
        <v>45973</v>
      </c>
      <c r="H396" t="s">
        <v>18</v>
      </c>
      <c r="I396" t="s">
        <v>19</v>
      </c>
      <c r="J396" s="1">
        <v>46002</v>
      </c>
      <c r="K396">
        <v>4</v>
      </c>
      <c r="L396">
        <v>5</v>
      </c>
      <c r="M396">
        <v>4</v>
      </c>
      <c r="N396">
        <v>2</v>
      </c>
      <c r="O396">
        <v>13</v>
      </c>
      <c r="P396" t="s">
        <v>1049</v>
      </c>
    </row>
    <row r="397" spans="1:16" x14ac:dyDescent="0.3">
      <c r="A397" t="s">
        <v>425</v>
      </c>
      <c r="B397" t="s">
        <v>21</v>
      </c>
      <c r="C397" t="s">
        <v>17</v>
      </c>
      <c r="D397" s="1">
        <v>45940</v>
      </c>
      <c r="E397" s="1">
        <v>45942</v>
      </c>
      <c r="F397" s="1">
        <v>45943</v>
      </c>
      <c r="G397" s="1">
        <v>45947</v>
      </c>
      <c r="H397" t="s">
        <v>18</v>
      </c>
      <c r="I397" t="s">
        <v>19</v>
      </c>
      <c r="J397" s="1">
        <v>45972</v>
      </c>
      <c r="K397">
        <v>2</v>
      </c>
      <c r="L397">
        <v>1</v>
      </c>
      <c r="M397">
        <v>4</v>
      </c>
      <c r="N397">
        <v>8</v>
      </c>
      <c r="O397">
        <v>7</v>
      </c>
      <c r="P397" t="s">
        <v>1041</v>
      </c>
    </row>
    <row r="398" spans="1:16" x14ac:dyDescent="0.3">
      <c r="A398" t="s">
        <v>426</v>
      </c>
      <c r="B398" t="s">
        <v>16</v>
      </c>
      <c r="C398" t="s">
        <v>17</v>
      </c>
      <c r="D398" s="1">
        <v>45945</v>
      </c>
      <c r="E398" s="1">
        <v>45947</v>
      </c>
      <c r="F398" s="1">
        <v>45949</v>
      </c>
      <c r="G398" s="1">
        <v>45952</v>
      </c>
      <c r="H398" t="s">
        <v>18</v>
      </c>
      <c r="I398" t="s">
        <v>19</v>
      </c>
      <c r="J398" s="1">
        <v>45963</v>
      </c>
      <c r="K398">
        <v>2</v>
      </c>
      <c r="L398">
        <v>2</v>
      </c>
      <c r="M398">
        <v>3</v>
      </c>
      <c r="N398">
        <v>6</v>
      </c>
      <c r="O398">
        <v>7</v>
      </c>
      <c r="P398" t="s">
        <v>1049</v>
      </c>
    </row>
    <row r="399" spans="1:16" x14ac:dyDescent="0.3">
      <c r="A399" t="s">
        <v>427</v>
      </c>
      <c r="B399" t="s">
        <v>23</v>
      </c>
      <c r="C399" t="s">
        <v>17</v>
      </c>
      <c r="D399" s="1">
        <v>45959</v>
      </c>
      <c r="E399" s="1">
        <v>45961</v>
      </c>
      <c r="F399" s="1">
        <v>45963</v>
      </c>
      <c r="G399" s="1">
        <v>45968</v>
      </c>
      <c r="H399" t="s">
        <v>18</v>
      </c>
      <c r="I399" t="s">
        <v>19</v>
      </c>
      <c r="J399" s="1">
        <v>45983</v>
      </c>
      <c r="K399">
        <v>2</v>
      </c>
      <c r="L399">
        <v>2</v>
      </c>
      <c r="M399">
        <v>5</v>
      </c>
      <c r="N399">
        <v>2</v>
      </c>
      <c r="O399">
        <v>9</v>
      </c>
      <c r="P399" t="s">
        <v>1049</v>
      </c>
    </row>
    <row r="400" spans="1:16" x14ac:dyDescent="0.3">
      <c r="A400" t="s">
        <v>428</v>
      </c>
      <c r="B400" t="s">
        <v>21</v>
      </c>
      <c r="C400" t="s">
        <v>17</v>
      </c>
      <c r="D400" s="1">
        <v>45953</v>
      </c>
      <c r="E400" s="1">
        <v>45958</v>
      </c>
      <c r="F400" s="1">
        <v>45959</v>
      </c>
      <c r="G400" s="1">
        <v>45962</v>
      </c>
      <c r="H400" t="s">
        <v>18</v>
      </c>
      <c r="I400" t="s">
        <v>19</v>
      </c>
      <c r="J400" s="1">
        <v>45980</v>
      </c>
      <c r="K400">
        <v>5</v>
      </c>
      <c r="L400">
        <v>1</v>
      </c>
      <c r="M400">
        <v>3</v>
      </c>
      <c r="N400">
        <v>6</v>
      </c>
      <c r="O400">
        <v>9</v>
      </c>
      <c r="P400" t="s">
        <v>1049</v>
      </c>
    </row>
    <row r="401" spans="1:16" x14ac:dyDescent="0.3">
      <c r="A401" t="s">
        <v>429</v>
      </c>
      <c r="B401" t="s">
        <v>34</v>
      </c>
      <c r="C401" t="s">
        <v>17</v>
      </c>
      <c r="D401" s="1">
        <v>45946</v>
      </c>
      <c r="E401" s="1">
        <v>45948</v>
      </c>
      <c r="F401" s="1">
        <v>45949</v>
      </c>
      <c r="G401" s="1">
        <v>45956</v>
      </c>
      <c r="H401" t="s">
        <v>18</v>
      </c>
      <c r="I401" t="s">
        <v>19</v>
      </c>
      <c r="J401" s="1">
        <v>45978</v>
      </c>
      <c r="K401">
        <v>2</v>
      </c>
      <c r="L401">
        <v>1</v>
      </c>
      <c r="M401">
        <v>7</v>
      </c>
      <c r="N401">
        <v>7</v>
      </c>
      <c r="O401">
        <v>10</v>
      </c>
      <c r="P401" t="s">
        <v>1041</v>
      </c>
    </row>
    <row r="402" spans="1:16" x14ac:dyDescent="0.3">
      <c r="A402" t="s">
        <v>430</v>
      </c>
      <c r="B402" t="s">
        <v>21</v>
      </c>
      <c r="C402" t="s">
        <v>17</v>
      </c>
      <c r="D402" s="1">
        <v>45934</v>
      </c>
      <c r="E402" s="1">
        <v>45938</v>
      </c>
      <c r="F402" s="1">
        <v>45943</v>
      </c>
      <c r="G402" s="1">
        <v>45950</v>
      </c>
      <c r="H402" t="s">
        <v>18</v>
      </c>
      <c r="I402" t="s">
        <v>19</v>
      </c>
      <c r="J402" s="1">
        <v>45964</v>
      </c>
      <c r="K402">
        <v>4</v>
      </c>
      <c r="L402">
        <v>5</v>
      </c>
      <c r="M402">
        <v>7</v>
      </c>
      <c r="N402">
        <v>1</v>
      </c>
      <c r="O402">
        <v>16</v>
      </c>
      <c r="P402" t="s">
        <v>1049</v>
      </c>
    </row>
    <row r="403" spans="1:16" x14ac:dyDescent="0.3">
      <c r="A403" t="s">
        <v>431</v>
      </c>
      <c r="B403" t="s">
        <v>16</v>
      </c>
      <c r="C403" t="s">
        <v>17</v>
      </c>
      <c r="D403" s="1">
        <v>45931</v>
      </c>
      <c r="E403" s="1">
        <v>45932</v>
      </c>
      <c r="F403" s="1">
        <v>45933</v>
      </c>
      <c r="G403" s="1">
        <v>45936</v>
      </c>
      <c r="H403" t="s">
        <v>18</v>
      </c>
      <c r="I403" t="s">
        <v>19</v>
      </c>
      <c r="J403" s="1">
        <v>45965</v>
      </c>
      <c r="K403">
        <v>1</v>
      </c>
      <c r="L403">
        <v>1</v>
      </c>
      <c r="M403">
        <v>3</v>
      </c>
      <c r="N403">
        <v>8</v>
      </c>
      <c r="O403">
        <v>5</v>
      </c>
      <c r="P403" t="s">
        <v>1041</v>
      </c>
    </row>
    <row r="404" spans="1:16" x14ac:dyDescent="0.3">
      <c r="A404" t="s">
        <v>432</v>
      </c>
      <c r="B404" t="s">
        <v>34</v>
      </c>
      <c r="C404" t="s">
        <v>17</v>
      </c>
      <c r="D404" s="1">
        <v>45951</v>
      </c>
      <c r="E404" s="1">
        <v>45955</v>
      </c>
      <c r="F404" s="1">
        <v>45959</v>
      </c>
      <c r="G404" s="1">
        <v>45961</v>
      </c>
      <c r="H404" t="s">
        <v>18</v>
      </c>
      <c r="I404" t="s">
        <v>19</v>
      </c>
      <c r="J404" s="1">
        <v>45990</v>
      </c>
      <c r="K404">
        <v>4</v>
      </c>
      <c r="L404">
        <v>4</v>
      </c>
      <c r="M404">
        <v>2</v>
      </c>
      <c r="N404">
        <v>7</v>
      </c>
      <c r="O404">
        <v>10</v>
      </c>
      <c r="P404" t="s">
        <v>1041</v>
      </c>
    </row>
    <row r="405" spans="1:16" x14ac:dyDescent="0.3">
      <c r="A405" t="s">
        <v>433</v>
      </c>
      <c r="B405" t="s">
        <v>21</v>
      </c>
      <c r="C405" t="s">
        <v>24</v>
      </c>
      <c r="D405" s="1">
        <v>45950</v>
      </c>
      <c r="E405" s="1"/>
      <c r="F405" s="1"/>
      <c r="G405" s="1"/>
      <c r="H405" t="s">
        <v>25</v>
      </c>
      <c r="I405" t="s">
        <v>35</v>
      </c>
      <c r="J405" s="1"/>
    </row>
    <row r="406" spans="1:16" x14ac:dyDescent="0.3">
      <c r="A406" t="s">
        <v>434</v>
      </c>
      <c r="B406" t="s">
        <v>34</v>
      </c>
      <c r="C406" t="s">
        <v>17</v>
      </c>
      <c r="D406" s="1">
        <v>45956</v>
      </c>
      <c r="E406" s="1">
        <v>45959</v>
      </c>
      <c r="F406" s="1">
        <v>45964</v>
      </c>
      <c r="G406" s="1">
        <v>45970</v>
      </c>
      <c r="H406" t="s">
        <v>25</v>
      </c>
      <c r="I406" t="s">
        <v>26</v>
      </c>
      <c r="J406" s="1"/>
      <c r="K406">
        <v>3</v>
      </c>
      <c r="L406">
        <v>5</v>
      </c>
      <c r="M406">
        <v>6</v>
      </c>
      <c r="O406">
        <v>14</v>
      </c>
    </row>
    <row r="407" spans="1:16" x14ac:dyDescent="0.3">
      <c r="A407" t="s">
        <v>435</v>
      </c>
      <c r="B407" t="s">
        <v>16</v>
      </c>
      <c r="C407" t="s">
        <v>17</v>
      </c>
      <c r="D407" s="1">
        <v>45938</v>
      </c>
      <c r="E407" s="1">
        <v>45940</v>
      </c>
      <c r="F407" s="1">
        <v>45941</v>
      </c>
      <c r="G407" s="1">
        <v>45947</v>
      </c>
      <c r="H407" t="s">
        <v>18</v>
      </c>
      <c r="I407" t="s">
        <v>19</v>
      </c>
      <c r="J407" s="1">
        <v>45969</v>
      </c>
      <c r="K407">
        <v>2</v>
      </c>
      <c r="L407">
        <v>1</v>
      </c>
      <c r="M407">
        <v>6</v>
      </c>
      <c r="N407">
        <v>7</v>
      </c>
      <c r="O407">
        <v>9</v>
      </c>
      <c r="P407" t="s">
        <v>1041</v>
      </c>
    </row>
    <row r="408" spans="1:16" x14ac:dyDescent="0.3">
      <c r="A408" t="s">
        <v>436</v>
      </c>
      <c r="B408" t="s">
        <v>23</v>
      </c>
      <c r="C408" t="s">
        <v>32</v>
      </c>
      <c r="D408" s="1">
        <v>45953</v>
      </c>
      <c r="E408" s="1">
        <v>45957</v>
      </c>
      <c r="F408" s="1">
        <v>45959</v>
      </c>
      <c r="G408" s="1">
        <v>45961</v>
      </c>
      <c r="H408" t="s">
        <v>18</v>
      </c>
      <c r="I408" t="s">
        <v>19</v>
      </c>
      <c r="J408" s="1">
        <v>45972</v>
      </c>
      <c r="K408">
        <v>4</v>
      </c>
      <c r="L408">
        <v>2</v>
      </c>
      <c r="M408">
        <v>2</v>
      </c>
      <c r="N408">
        <v>7</v>
      </c>
      <c r="O408">
        <v>8</v>
      </c>
      <c r="P408" t="s">
        <v>1041</v>
      </c>
    </row>
    <row r="409" spans="1:16" x14ac:dyDescent="0.3">
      <c r="A409" t="s">
        <v>437</v>
      </c>
      <c r="B409" t="s">
        <v>16</v>
      </c>
      <c r="C409" t="s">
        <v>24</v>
      </c>
      <c r="D409" s="1">
        <v>45936</v>
      </c>
      <c r="E409" s="1"/>
      <c r="F409" s="1"/>
      <c r="G409" s="1"/>
      <c r="H409" t="s">
        <v>25</v>
      </c>
      <c r="I409" t="s">
        <v>26</v>
      </c>
      <c r="J409" s="1"/>
    </row>
    <row r="410" spans="1:16" x14ac:dyDescent="0.3">
      <c r="A410" t="s">
        <v>438</v>
      </c>
      <c r="B410" t="s">
        <v>16</v>
      </c>
      <c r="C410" t="s">
        <v>32</v>
      </c>
      <c r="D410" s="1">
        <v>45940</v>
      </c>
      <c r="E410" s="1">
        <v>45945</v>
      </c>
      <c r="F410" s="1">
        <v>45946</v>
      </c>
      <c r="G410" s="1">
        <v>45952</v>
      </c>
      <c r="H410" t="s">
        <v>25</v>
      </c>
      <c r="I410" t="s">
        <v>26</v>
      </c>
      <c r="J410" s="1"/>
      <c r="K410">
        <v>5</v>
      </c>
      <c r="L410">
        <v>1</v>
      </c>
      <c r="M410">
        <v>6</v>
      </c>
      <c r="O410">
        <v>12</v>
      </c>
    </row>
    <row r="411" spans="1:16" x14ac:dyDescent="0.3">
      <c r="A411" t="s">
        <v>439</v>
      </c>
      <c r="B411" t="s">
        <v>16</v>
      </c>
      <c r="C411" t="s">
        <v>32</v>
      </c>
      <c r="D411" s="1">
        <v>45948</v>
      </c>
      <c r="E411" s="1">
        <v>45951</v>
      </c>
      <c r="F411" s="1">
        <v>45955</v>
      </c>
      <c r="G411" s="1">
        <v>45962</v>
      </c>
      <c r="H411" t="s">
        <v>18</v>
      </c>
      <c r="I411" t="s">
        <v>19</v>
      </c>
      <c r="J411" s="1">
        <v>45984</v>
      </c>
      <c r="K411">
        <v>3</v>
      </c>
      <c r="L411">
        <v>4</v>
      </c>
      <c r="M411">
        <v>7</v>
      </c>
      <c r="N411">
        <v>1</v>
      </c>
      <c r="O411">
        <v>14</v>
      </c>
      <c r="P411" t="s">
        <v>1049</v>
      </c>
    </row>
    <row r="412" spans="1:16" x14ac:dyDescent="0.3">
      <c r="A412" t="s">
        <v>440</v>
      </c>
      <c r="B412" t="s">
        <v>16</v>
      </c>
      <c r="C412" t="s">
        <v>32</v>
      </c>
      <c r="D412" s="1">
        <v>45931</v>
      </c>
      <c r="E412" s="1">
        <v>45935</v>
      </c>
      <c r="F412" s="1">
        <v>45939</v>
      </c>
      <c r="G412" s="1">
        <v>45942</v>
      </c>
      <c r="H412" t="s">
        <v>18</v>
      </c>
      <c r="I412" t="s">
        <v>19</v>
      </c>
      <c r="J412" s="1">
        <v>45962</v>
      </c>
      <c r="K412">
        <v>4</v>
      </c>
      <c r="L412">
        <v>4</v>
      </c>
      <c r="M412">
        <v>3</v>
      </c>
      <c r="N412">
        <v>1</v>
      </c>
      <c r="O412">
        <v>11</v>
      </c>
      <c r="P412" t="s">
        <v>1049</v>
      </c>
    </row>
    <row r="413" spans="1:16" x14ac:dyDescent="0.3">
      <c r="A413" t="s">
        <v>441</v>
      </c>
      <c r="B413" t="s">
        <v>23</v>
      </c>
      <c r="C413" t="s">
        <v>17</v>
      </c>
      <c r="D413" s="1">
        <v>45948</v>
      </c>
      <c r="E413" s="1">
        <v>45950</v>
      </c>
      <c r="F413" s="1">
        <v>45952</v>
      </c>
      <c r="G413" s="1">
        <v>45957</v>
      </c>
      <c r="H413" t="s">
        <v>18</v>
      </c>
      <c r="I413" t="s">
        <v>19</v>
      </c>
      <c r="J413" s="1">
        <v>45974</v>
      </c>
      <c r="K413">
        <v>2</v>
      </c>
      <c r="L413">
        <v>2</v>
      </c>
      <c r="M413">
        <v>5</v>
      </c>
      <c r="N413">
        <v>10</v>
      </c>
      <c r="O413">
        <v>9</v>
      </c>
      <c r="P413" t="s">
        <v>1050</v>
      </c>
    </row>
    <row r="414" spans="1:16" x14ac:dyDescent="0.3">
      <c r="A414" t="s">
        <v>442</v>
      </c>
      <c r="B414" t="s">
        <v>23</v>
      </c>
      <c r="C414" t="s">
        <v>32</v>
      </c>
      <c r="D414" s="1">
        <v>45944</v>
      </c>
      <c r="E414" s="1">
        <v>45949</v>
      </c>
      <c r="F414" s="1">
        <v>45954</v>
      </c>
      <c r="G414" s="1">
        <v>45958</v>
      </c>
      <c r="H414" t="s">
        <v>18</v>
      </c>
      <c r="I414" t="s">
        <v>19</v>
      </c>
      <c r="J414" s="1">
        <v>45969</v>
      </c>
      <c r="K414">
        <v>5</v>
      </c>
      <c r="L414">
        <v>5</v>
      </c>
      <c r="M414">
        <v>4</v>
      </c>
      <c r="N414">
        <v>7</v>
      </c>
      <c r="O414">
        <v>14</v>
      </c>
      <c r="P414" t="s">
        <v>1041</v>
      </c>
    </row>
    <row r="415" spans="1:16" x14ac:dyDescent="0.3">
      <c r="A415" t="s">
        <v>443</v>
      </c>
      <c r="B415" t="s">
        <v>34</v>
      </c>
      <c r="C415" t="s">
        <v>32</v>
      </c>
      <c r="D415" s="1">
        <v>45933</v>
      </c>
      <c r="E415" s="1">
        <v>45935</v>
      </c>
      <c r="F415" s="1">
        <v>45937</v>
      </c>
      <c r="G415" s="1">
        <v>45944</v>
      </c>
      <c r="H415" t="s">
        <v>18</v>
      </c>
      <c r="I415" t="s">
        <v>19</v>
      </c>
      <c r="J415" s="1">
        <v>45969</v>
      </c>
      <c r="K415">
        <v>2</v>
      </c>
      <c r="L415">
        <v>2</v>
      </c>
      <c r="M415">
        <v>7</v>
      </c>
      <c r="N415">
        <v>3</v>
      </c>
      <c r="O415">
        <v>11</v>
      </c>
      <c r="P415" t="s">
        <v>1049</v>
      </c>
    </row>
    <row r="416" spans="1:16" x14ac:dyDescent="0.3">
      <c r="A416" t="s">
        <v>444</v>
      </c>
      <c r="B416" t="s">
        <v>21</v>
      </c>
      <c r="C416" t="s">
        <v>32</v>
      </c>
      <c r="D416" s="1">
        <v>45938</v>
      </c>
      <c r="E416" s="1">
        <v>45941</v>
      </c>
      <c r="F416" s="1">
        <v>45942</v>
      </c>
      <c r="G416" s="1">
        <v>45945</v>
      </c>
      <c r="H416" t="s">
        <v>25</v>
      </c>
      <c r="I416" t="s">
        <v>103</v>
      </c>
      <c r="J416" s="1"/>
      <c r="K416">
        <v>3</v>
      </c>
      <c r="L416">
        <v>1</v>
      </c>
      <c r="M416">
        <v>3</v>
      </c>
      <c r="O416">
        <v>7</v>
      </c>
    </row>
    <row r="417" spans="1:16" x14ac:dyDescent="0.3">
      <c r="A417" t="s">
        <v>445</v>
      </c>
      <c r="B417" t="s">
        <v>23</v>
      </c>
      <c r="C417" t="s">
        <v>32</v>
      </c>
      <c r="D417" s="1">
        <v>45957</v>
      </c>
      <c r="E417" s="1">
        <v>45961</v>
      </c>
      <c r="F417" s="1">
        <v>45963</v>
      </c>
      <c r="G417" s="1">
        <v>45970</v>
      </c>
      <c r="H417" t="s">
        <v>18</v>
      </c>
      <c r="I417" t="s">
        <v>19</v>
      </c>
      <c r="J417" s="1">
        <v>45988</v>
      </c>
      <c r="K417">
        <v>4</v>
      </c>
      <c r="L417">
        <v>2</v>
      </c>
      <c r="M417">
        <v>7</v>
      </c>
      <c r="N417">
        <v>0</v>
      </c>
      <c r="O417">
        <v>13</v>
      </c>
      <c r="P417" t="s">
        <v>1049</v>
      </c>
    </row>
    <row r="418" spans="1:16" x14ac:dyDescent="0.3">
      <c r="A418" t="s">
        <v>446</v>
      </c>
      <c r="B418" t="s">
        <v>23</v>
      </c>
      <c r="C418" t="s">
        <v>17</v>
      </c>
      <c r="D418" s="1">
        <v>45960</v>
      </c>
      <c r="E418" s="1">
        <v>45962</v>
      </c>
      <c r="F418" s="1">
        <v>45967</v>
      </c>
      <c r="G418" s="1">
        <v>45974</v>
      </c>
      <c r="H418" t="s">
        <v>18</v>
      </c>
      <c r="I418" t="s">
        <v>19</v>
      </c>
      <c r="J418" s="1">
        <v>45995</v>
      </c>
      <c r="K418">
        <v>2</v>
      </c>
      <c r="L418">
        <v>5</v>
      </c>
      <c r="M418">
        <v>7</v>
      </c>
      <c r="N418">
        <v>4</v>
      </c>
      <c r="O418">
        <v>14</v>
      </c>
      <c r="P418" t="s">
        <v>1049</v>
      </c>
    </row>
    <row r="419" spans="1:16" x14ac:dyDescent="0.3">
      <c r="A419" t="s">
        <v>447</v>
      </c>
      <c r="B419" t="s">
        <v>21</v>
      </c>
      <c r="C419" t="s">
        <v>17</v>
      </c>
      <c r="D419" s="1">
        <v>45934</v>
      </c>
      <c r="E419" s="1">
        <v>45937</v>
      </c>
      <c r="F419" s="1">
        <v>45940</v>
      </c>
      <c r="G419" s="1">
        <v>45943</v>
      </c>
      <c r="H419" t="s">
        <v>18</v>
      </c>
      <c r="I419" t="s">
        <v>19</v>
      </c>
      <c r="J419" s="1">
        <v>45953</v>
      </c>
      <c r="K419">
        <v>3</v>
      </c>
      <c r="L419">
        <v>3</v>
      </c>
      <c r="M419">
        <v>3</v>
      </c>
      <c r="N419">
        <v>10</v>
      </c>
      <c r="O419">
        <v>9</v>
      </c>
      <c r="P419" t="s">
        <v>1050</v>
      </c>
    </row>
    <row r="420" spans="1:16" x14ac:dyDescent="0.3">
      <c r="A420" t="s">
        <v>448</v>
      </c>
      <c r="B420" t="s">
        <v>23</v>
      </c>
      <c r="C420" t="s">
        <v>17</v>
      </c>
      <c r="D420" s="1">
        <v>45945</v>
      </c>
      <c r="E420" s="1">
        <v>45950</v>
      </c>
      <c r="F420" s="1">
        <v>45952</v>
      </c>
      <c r="G420" s="1">
        <v>45957</v>
      </c>
      <c r="H420" t="s">
        <v>18</v>
      </c>
      <c r="I420" t="s">
        <v>19</v>
      </c>
      <c r="J420" s="1">
        <v>45977</v>
      </c>
      <c r="K420">
        <v>5</v>
      </c>
      <c r="L420">
        <v>2</v>
      </c>
      <c r="M420">
        <v>5</v>
      </c>
      <c r="N420">
        <v>9</v>
      </c>
      <c r="O420">
        <v>12</v>
      </c>
      <c r="P420" t="s">
        <v>1050</v>
      </c>
    </row>
    <row r="421" spans="1:16" x14ac:dyDescent="0.3">
      <c r="A421" t="s">
        <v>449</v>
      </c>
      <c r="B421" t="s">
        <v>16</v>
      </c>
      <c r="C421" t="s">
        <v>17</v>
      </c>
      <c r="D421" s="1">
        <v>45961</v>
      </c>
      <c r="E421" s="1">
        <v>45965</v>
      </c>
      <c r="F421" s="1">
        <v>45970</v>
      </c>
      <c r="G421" s="1">
        <v>45976</v>
      </c>
      <c r="H421" t="s">
        <v>18</v>
      </c>
      <c r="I421" t="s">
        <v>19</v>
      </c>
      <c r="J421" s="1">
        <v>45995</v>
      </c>
      <c r="K421">
        <v>4</v>
      </c>
      <c r="L421">
        <v>5</v>
      </c>
      <c r="M421">
        <v>6</v>
      </c>
      <c r="N421">
        <v>5</v>
      </c>
      <c r="O421">
        <v>15</v>
      </c>
      <c r="P421" t="s">
        <v>1049</v>
      </c>
    </row>
    <row r="422" spans="1:16" x14ac:dyDescent="0.3">
      <c r="A422" t="s">
        <v>450</v>
      </c>
      <c r="B422" t="s">
        <v>16</v>
      </c>
      <c r="C422" t="s">
        <v>17</v>
      </c>
      <c r="D422" s="1">
        <v>45934</v>
      </c>
      <c r="E422" s="1">
        <v>45938</v>
      </c>
      <c r="F422" s="1">
        <v>45941</v>
      </c>
      <c r="G422" s="1">
        <v>45948</v>
      </c>
      <c r="H422" t="s">
        <v>18</v>
      </c>
      <c r="I422" t="s">
        <v>19</v>
      </c>
      <c r="J422" s="1">
        <v>45967</v>
      </c>
      <c r="K422">
        <v>4</v>
      </c>
      <c r="L422">
        <v>3</v>
      </c>
      <c r="M422">
        <v>7</v>
      </c>
      <c r="N422">
        <v>1</v>
      </c>
      <c r="O422">
        <v>14</v>
      </c>
      <c r="P422" t="s">
        <v>1049</v>
      </c>
    </row>
    <row r="423" spans="1:16" x14ac:dyDescent="0.3">
      <c r="A423" t="s">
        <v>451</v>
      </c>
      <c r="B423" t="s">
        <v>21</v>
      </c>
      <c r="C423" t="s">
        <v>32</v>
      </c>
      <c r="D423" s="1">
        <v>45951</v>
      </c>
      <c r="E423" s="1">
        <v>45954</v>
      </c>
      <c r="F423" s="1">
        <v>45959</v>
      </c>
      <c r="G423" s="1">
        <v>45964</v>
      </c>
      <c r="H423" t="s">
        <v>18</v>
      </c>
      <c r="I423" t="s">
        <v>19</v>
      </c>
      <c r="J423" s="1">
        <v>45982</v>
      </c>
      <c r="K423">
        <v>3</v>
      </c>
      <c r="L423">
        <v>5</v>
      </c>
      <c r="M423">
        <v>5</v>
      </c>
      <c r="N423">
        <v>7</v>
      </c>
      <c r="O423">
        <v>13</v>
      </c>
      <c r="P423" t="s">
        <v>1041</v>
      </c>
    </row>
    <row r="424" spans="1:16" x14ac:dyDescent="0.3">
      <c r="A424" t="s">
        <v>452</v>
      </c>
      <c r="B424" t="s">
        <v>34</v>
      </c>
      <c r="C424" t="s">
        <v>17</v>
      </c>
      <c r="D424" s="1">
        <v>45957</v>
      </c>
      <c r="E424" s="1">
        <v>45961</v>
      </c>
      <c r="F424" s="1">
        <v>45966</v>
      </c>
      <c r="G424" s="1">
        <v>45969</v>
      </c>
      <c r="H424" t="s">
        <v>18</v>
      </c>
      <c r="I424" t="s">
        <v>19</v>
      </c>
      <c r="J424" s="1">
        <v>45994</v>
      </c>
      <c r="K424">
        <v>4</v>
      </c>
      <c r="L424">
        <v>5</v>
      </c>
      <c r="M424">
        <v>3</v>
      </c>
      <c r="N424">
        <v>2</v>
      </c>
      <c r="O424">
        <v>12</v>
      </c>
      <c r="P424" t="s">
        <v>1049</v>
      </c>
    </row>
    <row r="425" spans="1:16" x14ac:dyDescent="0.3">
      <c r="A425" t="s">
        <v>453</v>
      </c>
      <c r="B425" t="s">
        <v>34</v>
      </c>
      <c r="C425" t="s">
        <v>24</v>
      </c>
      <c r="D425" s="1">
        <v>45935</v>
      </c>
      <c r="E425" s="1"/>
      <c r="F425" s="1"/>
      <c r="G425" s="1"/>
      <c r="H425" t="s">
        <v>25</v>
      </c>
      <c r="I425" t="s">
        <v>103</v>
      </c>
      <c r="J425" s="1"/>
    </row>
    <row r="426" spans="1:16" x14ac:dyDescent="0.3">
      <c r="A426" t="s">
        <v>454</v>
      </c>
      <c r="B426" t="s">
        <v>21</v>
      </c>
      <c r="C426" t="s">
        <v>17</v>
      </c>
      <c r="D426" s="1">
        <v>45946</v>
      </c>
      <c r="E426" s="1">
        <v>45951</v>
      </c>
      <c r="F426" s="1">
        <v>45954</v>
      </c>
      <c r="G426" s="1">
        <v>45956</v>
      </c>
      <c r="H426" t="s">
        <v>18</v>
      </c>
      <c r="I426" t="s">
        <v>19</v>
      </c>
      <c r="J426" s="1">
        <v>45969</v>
      </c>
      <c r="K426">
        <v>5</v>
      </c>
      <c r="L426">
        <v>3</v>
      </c>
      <c r="M426">
        <v>2</v>
      </c>
      <c r="N426">
        <v>3</v>
      </c>
      <c r="O426">
        <v>10</v>
      </c>
      <c r="P426" t="s">
        <v>1049</v>
      </c>
    </row>
    <row r="427" spans="1:16" x14ac:dyDescent="0.3">
      <c r="A427" t="s">
        <v>455</v>
      </c>
      <c r="B427" t="s">
        <v>21</v>
      </c>
      <c r="C427" t="s">
        <v>32</v>
      </c>
      <c r="D427" s="1">
        <v>45960</v>
      </c>
      <c r="E427" s="1">
        <v>45965</v>
      </c>
      <c r="F427" s="1">
        <v>45967</v>
      </c>
      <c r="G427" s="1">
        <v>45969</v>
      </c>
      <c r="H427" t="s">
        <v>18</v>
      </c>
      <c r="I427" t="s">
        <v>19</v>
      </c>
      <c r="J427" s="1">
        <v>45986</v>
      </c>
      <c r="K427">
        <v>5</v>
      </c>
      <c r="L427">
        <v>2</v>
      </c>
      <c r="M427">
        <v>2</v>
      </c>
      <c r="N427">
        <v>3</v>
      </c>
      <c r="O427">
        <v>9</v>
      </c>
      <c r="P427" t="s">
        <v>1049</v>
      </c>
    </row>
    <row r="428" spans="1:16" x14ac:dyDescent="0.3">
      <c r="A428" t="s">
        <v>456</v>
      </c>
      <c r="B428" t="s">
        <v>16</v>
      </c>
      <c r="C428" t="s">
        <v>17</v>
      </c>
      <c r="D428" s="1">
        <v>45953</v>
      </c>
      <c r="E428" s="1">
        <v>45957</v>
      </c>
      <c r="F428" s="1">
        <v>45960</v>
      </c>
      <c r="G428" s="1">
        <v>45963</v>
      </c>
      <c r="H428" t="s">
        <v>18</v>
      </c>
      <c r="I428" t="s">
        <v>19</v>
      </c>
      <c r="J428" s="1">
        <v>45977</v>
      </c>
      <c r="K428">
        <v>4</v>
      </c>
      <c r="L428">
        <v>3</v>
      </c>
      <c r="M428">
        <v>3</v>
      </c>
      <c r="N428">
        <v>6</v>
      </c>
      <c r="O428">
        <v>10</v>
      </c>
      <c r="P428" t="s">
        <v>1049</v>
      </c>
    </row>
    <row r="429" spans="1:16" x14ac:dyDescent="0.3">
      <c r="A429" t="s">
        <v>457</v>
      </c>
      <c r="B429" t="s">
        <v>34</v>
      </c>
      <c r="C429" t="s">
        <v>17</v>
      </c>
      <c r="D429" s="1">
        <v>45940</v>
      </c>
      <c r="E429" s="1">
        <v>45942</v>
      </c>
      <c r="F429" s="1">
        <v>45944</v>
      </c>
      <c r="G429" s="1">
        <v>45946</v>
      </c>
      <c r="H429" t="s">
        <v>18</v>
      </c>
      <c r="I429" t="s">
        <v>19</v>
      </c>
      <c r="J429" s="1">
        <v>45965</v>
      </c>
      <c r="K429">
        <v>2</v>
      </c>
      <c r="L429">
        <v>2</v>
      </c>
      <c r="M429">
        <v>2</v>
      </c>
      <c r="N429">
        <v>7</v>
      </c>
      <c r="O429">
        <v>6</v>
      </c>
      <c r="P429" t="s">
        <v>1041</v>
      </c>
    </row>
    <row r="430" spans="1:16" x14ac:dyDescent="0.3">
      <c r="A430" t="s">
        <v>458</v>
      </c>
      <c r="B430" t="s">
        <v>23</v>
      </c>
      <c r="C430" t="s">
        <v>17</v>
      </c>
      <c r="D430" s="1">
        <v>45947</v>
      </c>
      <c r="E430" s="1">
        <v>45949</v>
      </c>
      <c r="F430" s="1">
        <v>45954</v>
      </c>
      <c r="G430" s="1">
        <v>45960</v>
      </c>
      <c r="H430" t="s">
        <v>18</v>
      </c>
      <c r="I430" t="s">
        <v>19</v>
      </c>
      <c r="J430" s="1">
        <v>45984</v>
      </c>
      <c r="K430">
        <v>2</v>
      </c>
      <c r="L430">
        <v>5</v>
      </c>
      <c r="M430">
        <v>6</v>
      </c>
      <c r="N430">
        <v>8</v>
      </c>
      <c r="O430">
        <v>13</v>
      </c>
      <c r="P430" t="s">
        <v>1041</v>
      </c>
    </row>
    <row r="431" spans="1:16" x14ac:dyDescent="0.3">
      <c r="A431" t="s">
        <v>459</v>
      </c>
      <c r="B431" t="s">
        <v>16</v>
      </c>
      <c r="C431" t="s">
        <v>32</v>
      </c>
      <c r="D431" s="1">
        <v>45953</v>
      </c>
      <c r="E431" s="1">
        <v>45958</v>
      </c>
      <c r="F431" s="1">
        <v>45960</v>
      </c>
      <c r="G431" s="1">
        <v>45967</v>
      </c>
      <c r="H431" t="s">
        <v>18</v>
      </c>
      <c r="I431" t="s">
        <v>19</v>
      </c>
      <c r="J431" s="1">
        <v>45987</v>
      </c>
      <c r="K431">
        <v>5</v>
      </c>
      <c r="L431">
        <v>2</v>
      </c>
      <c r="M431">
        <v>7</v>
      </c>
      <c r="N431">
        <v>6</v>
      </c>
      <c r="O431">
        <v>14</v>
      </c>
      <c r="P431" t="s">
        <v>1049</v>
      </c>
    </row>
    <row r="432" spans="1:16" x14ac:dyDescent="0.3">
      <c r="A432" t="s">
        <v>460</v>
      </c>
      <c r="B432" t="s">
        <v>21</v>
      </c>
      <c r="C432" t="s">
        <v>32</v>
      </c>
      <c r="D432" s="1">
        <v>45939</v>
      </c>
      <c r="E432" s="1">
        <v>45941</v>
      </c>
      <c r="F432" s="1">
        <v>45945</v>
      </c>
      <c r="G432" s="1">
        <v>45950</v>
      </c>
      <c r="H432" t="s">
        <v>18</v>
      </c>
      <c r="I432" t="s">
        <v>19</v>
      </c>
      <c r="J432" s="1">
        <v>45968</v>
      </c>
      <c r="K432">
        <v>2</v>
      </c>
      <c r="L432">
        <v>4</v>
      </c>
      <c r="M432">
        <v>5</v>
      </c>
      <c r="N432">
        <v>10</v>
      </c>
      <c r="O432">
        <v>11</v>
      </c>
      <c r="P432" t="s">
        <v>1050</v>
      </c>
    </row>
    <row r="433" spans="1:16" x14ac:dyDescent="0.3">
      <c r="A433" t="s">
        <v>461</v>
      </c>
      <c r="B433" t="s">
        <v>34</v>
      </c>
      <c r="C433" t="s">
        <v>32</v>
      </c>
      <c r="D433" s="1">
        <v>45944</v>
      </c>
      <c r="E433" s="1">
        <v>45947</v>
      </c>
      <c r="F433" s="1">
        <v>45950</v>
      </c>
      <c r="G433" s="1">
        <v>45954</v>
      </c>
      <c r="H433" t="s">
        <v>18</v>
      </c>
      <c r="I433" t="s">
        <v>19</v>
      </c>
      <c r="J433" s="1">
        <v>45977</v>
      </c>
      <c r="K433">
        <v>3</v>
      </c>
      <c r="L433">
        <v>3</v>
      </c>
      <c r="M433">
        <v>4</v>
      </c>
      <c r="N433">
        <v>4</v>
      </c>
      <c r="O433">
        <v>10</v>
      </c>
      <c r="P433" t="s">
        <v>1049</v>
      </c>
    </row>
    <row r="434" spans="1:16" x14ac:dyDescent="0.3">
      <c r="A434" t="s">
        <v>462</v>
      </c>
      <c r="B434" t="s">
        <v>23</v>
      </c>
      <c r="C434" t="s">
        <v>24</v>
      </c>
      <c r="D434" s="1">
        <v>45957</v>
      </c>
      <c r="E434" s="1"/>
      <c r="F434" s="1"/>
      <c r="G434" s="1"/>
      <c r="H434" t="s">
        <v>25</v>
      </c>
      <c r="I434" t="s">
        <v>26</v>
      </c>
      <c r="J434" s="1"/>
    </row>
    <row r="435" spans="1:16" x14ac:dyDescent="0.3">
      <c r="A435" t="s">
        <v>463</v>
      </c>
      <c r="B435" t="s">
        <v>23</v>
      </c>
      <c r="C435" t="s">
        <v>17</v>
      </c>
      <c r="D435" s="1">
        <v>45946</v>
      </c>
      <c r="E435" s="1">
        <v>45947</v>
      </c>
      <c r="F435" s="1">
        <v>45950</v>
      </c>
      <c r="G435" s="1">
        <v>45955</v>
      </c>
      <c r="H435" t="s">
        <v>18</v>
      </c>
      <c r="I435" t="s">
        <v>19</v>
      </c>
      <c r="J435" s="1">
        <v>45984</v>
      </c>
      <c r="K435">
        <v>1</v>
      </c>
      <c r="L435">
        <v>3</v>
      </c>
      <c r="M435">
        <v>5</v>
      </c>
      <c r="N435">
        <v>1</v>
      </c>
      <c r="O435">
        <v>9</v>
      </c>
      <c r="P435" t="s">
        <v>1049</v>
      </c>
    </row>
    <row r="436" spans="1:16" x14ac:dyDescent="0.3">
      <c r="A436" t="s">
        <v>464</v>
      </c>
      <c r="B436" t="s">
        <v>16</v>
      </c>
      <c r="C436" t="s">
        <v>32</v>
      </c>
      <c r="D436" s="1">
        <v>45946</v>
      </c>
      <c r="E436" s="1">
        <v>45950</v>
      </c>
      <c r="F436" s="1">
        <v>45951</v>
      </c>
      <c r="G436" s="1">
        <v>45955</v>
      </c>
      <c r="H436" t="s">
        <v>18</v>
      </c>
      <c r="I436" t="s">
        <v>19</v>
      </c>
      <c r="J436" s="1">
        <v>45985</v>
      </c>
      <c r="K436">
        <v>4</v>
      </c>
      <c r="L436">
        <v>1</v>
      </c>
      <c r="M436">
        <v>4</v>
      </c>
      <c r="N436">
        <v>3</v>
      </c>
      <c r="O436">
        <v>9</v>
      </c>
      <c r="P436" t="s">
        <v>1049</v>
      </c>
    </row>
    <row r="437" spans="1:16" x14ac:dyDescent="0.3">
      <c r="A437" t="s">
        <v>465</v>
      </c>
      <c r="B437" t="s">
        <v>34</v>
      </c>
      <c r="C437" t="s">
        <v>32</v>
      </c>
      <c r="D437" s="1">
        <v>45938</v>
      </c>
      <c r="E437" s="1">
        <v>45941</v>
      </c>
      <c r="F437" s="1">
        <v>45946</v>
      </c>
      <c r="G437" s="1">
        <v>45949</v>
      </c>
      <c r="H437" t="s">
        <v>18</v>
      </c>
      <c r="I437" t="s">
        <v>19</v>
      </c>
      <c r="J437" s="1">
        <v>45961</v>
      </c>
      <c r="K437">
        <v>3</v>
      </c>
      <c r="L437">
        <v>5</v>
      </c>
      <c r="M437">
        <v>3</v>
      </c>
      <c r="N437">
        <v>7</v>
      </c>
      <c r="O437">
        <v>11</v>
      </c>
      <c r="P437" t="s">
        <v>1041</v>
      </c>
    </row>
    <row r="438" spans="1:16" x14ac:dyDescent="0.3">
      <c r="A438" t="s">
        <v>466</v>
      </c>
      <c r="B438" t="s">
        <v>34</v>
      </c>
      <c r="C438" t="s">
        <v>17</v>
      </c>
      <c r="D438" s="1">
        <v>45945</v>
      </c>
      <c r="E438" s="1">
        <v>45950</v>
      </c>
      <c r="F438" s="1">
        <v>45955</v>
      </c>
      <c r="G438" s="1">
        <v>45958</v>
      </c>
      <c r="H438" t="s">
        <v>18</v>
      </c>
      <c r="I438" t="s">
        <v>19</v>
      </c>
      <c r="J438" s="1">
        <v>45974</v>
      </c>
      <c r="K438">
        <v>5</v>
      </c>
      <c r="L438">
        <v>5</v>
      </c>
      <c r="M438">
        <v>3</v>
      </c>
      <c r="N438">
        <v>3</v>
      </c>
      <c r="O438">
        <v>13</v>
      </c>
      <c r="P438" t="s">
        <v>1049</v>
      </c>
    </row>
    <row r="439" spans="1:16" x14ac:dyDescent="0.3">
      <c r="A439" t="s">
        <v>467</v>
      </c>
      <c r="B439" t="s">
        <v>21</v>
      </c>
      <c r="C439" t="s">
        <v>32</v>
      </c>
      <c r="D439" s="1">
        <v>45948</v>
      </c>
      <c r="E439" s="1">
        <v>45949</v>
      </c>
      <c r="F439" s="1">
        <v>45951</v>
      </c>
      <c r="G439" s="1">
        <v>45955</v>
      </c>
      <c r="H439" t="s">
        <v>18</v>
      </c>
      <c r="I439" t="s">
        <v>19</v>
      </c>
      <c r="J439" s="1">
        <v>45979</v>
      </c>
      <c r="K439">
        <v>1</v>
      </c>
      <c r="L439">
        <v>2</v>
      </c>
      <c r="M439">
        <v>4</v>
      </c>
      <c r="N439">
        <v>8</v>
      </c>
      <c r="O439">
        <v>7</v>
      </c>
      <c r="P439" t="s">
        <v>1041</v>
      </c>
    </row>
    <row r="440" spans="1:16" x14ac:dyDescent="0.3">
      <c r="A440" t="s">
        <v>468</v>
      </c>
      <c r="B440" t="s">
        <v>34</v>
      </c>
      <c r="C440" t="s">
        <v>32</v>
      </c>
      <c r="D440" s="1">
        <v>45935</v>
      </c>
      <c r="E440" s="1">
        <v>45940</v>
      </c>
      <c r="F440" s="1">
        <v>45944</v>
      </c>
      <c r="G440" s="1">
        <v>45951</v>
      </c>
      <c r="H440" t="s">
        <v>18</v>
      </c>
      <c r="I440" t="s">
        <v>19</v>
      </c>
      <c r="J440" s="1">
        <v>45967</v>
      </c>
      <c r="K440">
        <v>5</v>
      </c>
      <c r="L440">
        <v>4</v>
      </c>
      <c r="M440">
        <v>7</v>
      </c>
      <c r="N440">
        <v>7</v>
      </c>
      <c r="O440">
        <v>16</v>
      </c>
      <c r="P440" t="s">
        <v>1041</v>
      </c>
    </row>
    <row r="441" spans="1:16" x14ac:dyDescent="0.3">
      <c r="A441" t="s">
        <v>469</v>
      </c>
      <c r="B441" t="s">
        <v>34</v>
      </c>
      <c r="C441" t="s">
        <v>24</v>
      </c>
      <c r="D441" s="1">
        <v>45943</v>
      </c>
      <c r="E441" s="1"/>
      <c r="F441" s="1"/>
      <c r="G441" s="1"/>
      <c r="H441" t="s">
        <v>25</v>
      </c>
      <c r="I441" t="s">
        <v>103</v>
      </c>
      <c r="J441" s="1"/>
    </row>
    <row r="442" spans="1:16" x14ac:dyDescent="0.3">
      <c r="A442" t="s">
        <v>470</v>
      </c>
      <c r="B442" t="s">
        <v>16</v>
      </c>
      <c r="C442" t="s">
        <v>32</v>
      </c>
      <c r="D442" s="1">
        <v>45937</v>
      </c>
      <c r="E442" s="1">
        <v>45938</v>
      </c>
      <c r="F442" s="1">
        <v>45943</v>
      </c>
      <c r="G442" s="1">
        <v>45945</v>
      </c>
      <c r="H442" t="s">
        <v>18</v>
      </c>
      <c r="I442" t="s">
        <v>19</v>
      </c>
      <c r="J442" s="1">
        <v>45968</v>
      </c>
      <c r="K442">
        <v>1</v>
      </c>
      <c r="L442">
        <v>5</v>
      </c>
      <c r="M442">
        <v>2</v>
      </c>
      <c r="N442">
        <v>1</v>
      </c>
      <c r="O442">
        <v>8</v>
      </c>
      <c r="P442" t="s">
        <v>1049</v>
      </c>
    </row>
    <row r="443" spans="1:16" x14ac:dyDescent="0.3">
      <c r="A443" t="s">
        <v>471</v>
      </c>
      <c r="B443" t="s">
        <v>34</v>
      </c>
      <c r="C443" t="s">
        <v>17</v>
      </c>
      <c r="D443" s="1">
        <v>45960</v>
      </c>
      <c r="E443" s="1">
        <v>45963</v>
      </c>
      <c r="F443" s="1">
        <v>45967</v>
      </c>
      <c r="G443" s="1">
        <v>45970</v>
      </c>
      <c r="H443" t="s">
        <v>18</v>
      </c>
      <c r="I443" t="s">
        <v>19</v>
      </c>
      <c r="J443" s="1">
        <v>45995</v>
      </c>
      <c r="K443">
        <v>3</v>
      </c>
      <c r="L443">
        <v>4</v>
      </c>
      <c r="M443">
        <v>3</v>
      </c>
      <c r="N443">
        <v>8</v>
      </c>
      <c r="O443">
        <v>10</v>
      </c>
      <c r="P443" t="s">
        <v>1041</v>
      </c>
    </row>
    <row r="444" spans="1:16" x14ac:dyDescent="0.3">
      <c r="A444" t="s">
        <v>472</v>
      </c>
      <c r="B444" t="s">
        <v>23</v>
      </c>
      <c r="C444" t="s">
        <v>24</v>
      </c>
      <c r="D444" s="1">
        <v>45950</v>
      </c>
      <c r="E444" s="1"/>
      <c r="F444" s="1"/>
      <c r="G444" s="1"/>
      <c r="H444" t="s">
        <v>25</v>
      </c>
      <c r="I444" t="s">
        <v>35</v>
      </c>
      <c r="J444" s="1"/>
    </row>
    <row r="445" spans="1:16" x14ac:dyDescent="0.3">
      <c r="A445" t="s">
        <v>473</v>
      </c>
      <c r="B445" t="s">
        <v>16</v>
      </c>
      <c r="C445" t="s">
        <v>17</v>
      </c>
      <c r="D445" s="1">
        <v>45947</v>
      </c>
      <c r="E445" s="1">
        <v>45948</v>
      </c>
      <c r="F445" s="1">
        <v>45949</v>
      </c>
      <c r="G445" s="1">
        <v>45955</v>
      </c>
      <c r="H445" t="s">
        <v>18</v>
      </c>
      <c r="I445" t="s">
        <v>19</v>
      </c>
      <c r="J445" s="1">
        <v>45981</v>
      </c>
      <c r="K445">
        <v>1</v>
      </c>
      <c r="L445">
        <v>1</v>
      </c>
      <c r="M445">
        <v>6</v>
      </c>
      <c r="N445">
        <v>6</v>
      </c>
      <c r="O445">
        <v>8</v>
      </c>
      <c r="P445" t="s">
        <v>1049</v>
      </c>
    </row>
    <row r="446" spans="1:16" x14ac:dyDescent="0.3">
      <c r="A446" t="s">
        <v>474</v>
      </c>
      <c r="B446" t="s">
        <v>16</v>
      </c>
      <c r="C446" t="s">
        <v>32</v>
      </c>
      <c r="D446" s="1">
        <v>45954</v>
      </c>
      <c r="E446" s="1">
        <v>45956</v>
      </c>
      <c r="F446" s="1">
        <v>45959</v>
      </c>
      <c r="G446" s="1">
        <v>45965</v>
      </c>
      <c r="H446" t="s">
        <v>25</v>
      </c>
      <c r="I446" t="s">
        <v>26</v>
      </c>
      <c r="J446" s="1"/>
      <c r="K446">
        <v>2</v>
      </c>
      <c r="L446">
        <v>3</v>
      </c>
      <c r="M446">
        <v>6</v>
      </c>
      <c r="O446">
        <v>11</v>
      </c>
    </row>
    <row r="447" spans="1:16" x14ac:dyDescent="0.3">
      <c r="A447" t="s">
        <v>475</v>
      </c>
      <c r="B447" t="s">
        <v>21</v>
      </c>
      <c r="C447" t="s">
        <v>32</v>
      </c>
      <c r="D447" s="1">
        <v>45959</v>
      </c>
      <c r="E447" s="1">
        <v>45962</v>
      </c>
      <c r="F447" s="1">
        <v>45966</v>
      </c>
      <c r="G447" s="1">
        <v>45972</v>
      </c>
      <c r="H447" t="s">
        <v>18</v>
      </c>
      <c r="I447" t="s">
        <v>19</v>
      </c>
      <c r="J447" s="1">
        <v>45993</v>
      </c>
      <c r="K447">
        <v>3</v>
      </c>
      <c r="L447">
        <v>4</v>
      </c>
      <c r="M447">
        <v>6</v>
      </c>
      <c r="N447">
        <v>3</v>
      </c>
      <c r="O447">
        <v>13</v>
      </c>
      <c r="P447" t="s">
        <v>1049</v>
      </c>
    </row>
    <row r="448" spans="1:16" x14ac:dyDescent="0.3">
      <c r="A448" t="s">
        <v>476</v>
      </c>
      <c r="B448" t="s">
        <v>34</v>
      </c>
      <c r="C448" t="s">
        <v>24</v>
      </c>
      <c r="D448" s="1">
        <v>45935</v>
      </c>
      <c r="E448" s="1"/>
      <c r="F448" s="1"/>
      <c r="G448" s="1"/>
      <c r="H448" t="s">
        <v>25</v>
      </c>
      <c r="I448" t="s">
        <v>103</v>
      </c>
      <c r="J448" s="1"/>
    </row>
    <row r="449" spans="1:16" x14ac:dyDescent="0.3">
      <c r="A449" t="s">
        <v>477</v>
      </c>
      <c r="B449" t="s">
        <v>21</v>
      </c>
      <c r="C449" t="s">
        <v>24</v>
      </c>
      <c r="D449" s="1">
        <v>45958</v>
      </c>
      <c r="E449" s="1"/>
      <c r="F449" s="1"/>
      <c r="G449" s="1"/>
      <c r="H449" t="s">
        <v>25</v>
      </c>
      <c r="I449" t="s">
        <v>28</v>
      </c>
      <c r="J449" s="1"/>
    </row>
    <row r="450" spans="1:16" x14ac:dyDescent="0.3">
      <c r="A450" t="s">
        <v>478</v>
      </c>
      <c r="B450" t="s">
        <v>23</v>
      </c>
      <c r="C450" t="s">
        <v>17</v>
      </c>
      <c r="D450" s="1">
        <v>45933</v>
      </c>
      <c r="E450" s="1">
        <v>45937</v>
      </c>
      <c r="F450" s="1">
        <v>45942</v>
      </c>
      <c r="G450" s="1">
        <v>45949</v>
      </c>
      <c r="H450" t="s">
        <v>18</v>
      </c>
      <c r="I450" t="s">
        <v>19</v>
      </c>
      <c r="J450" s="1">
        <v>45960</v>
      </c>
      <c r="K450">
        <v>4</v>
      </c>
      <c r="L450">
        <v>5</v>
      </c>
      <c r="M450">
        <v>7</v>
      </c>
      <c r="N450">
        <v>3</v>
      </c>
      <c r="O450">
        <v>16</v>
      </c>
      <c r="P450" t="s">
        <v>1049</v>
      </c>
    </row>
    <row r="451" spans="1:16" x14ac:dyDescent="0.3">
      <c r="A451" t="s">
        <v>479</v>
      </c>
      <c r="B451" t="s">
        <v>16</v>
      </c>
      <c r="C451" t="s">
        <v>32</v>
      </c>
      <c r="D451" s="1">
        <v>45939</v>
      </c>
      <c r="E451" s="1">
        <v>45944</v>
      </c>
      <c r="F451" s="1">
        <v>45947</v>
      </c>
      <c r="G451" s="1">
        <v>45953</v>
      </c>
      <c r="H451" t="s">
        <v>18</v>
      </c>
      <c r="I451" t="s">
        <v>19</v>
      </c>
      <c r="J451" s="1">
        <v>45979</v>
      </c>
      <c r="K451">
        <v>5</v>
      </c>
      <c r="L451">
        <v>3</v>
      </c>
      <c r="M451">
        <v>6</v>
      </c>
      <c r="N451">
        <v>3</v>
      </c>
      <c r="O451">
        <v>14</v>
      </c>
      <c r="P451" t="s">
        <v>1049</v>
      </c>
    </row>
    <row r="452" spans="1:16" x14ac:dyDescent="0.3">
      <c r="A452" t="s">
        <v>480</v>
      </c>
      <c r="B452" t="s">
        <v>16</v>
      </c>
      <c r="C452" t="s">
        <v>17</v>
      </c>
      <c r="D452" s="1">
        <v>45955</v>
      </c>
      <c r="E452" s="1">
        <v>45957</v>
      </c>
      <c r="F452" s="1">
        <v>45961</v>
      </c>
      <c r="G452" s="1">
        <v>45965</v>
      </c>
      <c r="H452" t="s">
        <v>18</v>
      </c>
      <c r="I452" t="s">
        <v>19</v>
      </c>
      <c r="J452" s="1">
        <v>45980</v>
      </c>
      <c r="K452">
        <v>2</v>
      </c>
      <c r="L452">
        <v>4</v>
      </c>
      <c r="M452">
        <v>4</v>
      </c>
      <c r="N452">
        <v>0</v>
      </c>
      <c r="O452">
        <v>10</v>
      </c>
      <c r="P452" t="s">
        <v>1049</v>
      </c>
    </row>
    <row r="453" spans="1:16" x14ac:dyDescent="0.3">
      <c r="A453" t="s">
        <v>481</v>
      </c>
      <c r="B453" t="s">
        <v>16</v>
      </c>
      <c r="C453" t="s">
        <v>24</v>
      </c>
      <c r="D453" s="1">
        <v>45956</v>
      </c>
      <c r="E453" s="1"/>
      <c r="F453" s="1"/>
      <c r="G453" s="1"/>
      <c r="H453" t="s">
        <v>25</v>
      </c>
      <c r="I453" t="s">
        <v>26</v>
      </c>
      <c r="J453" s="1"/>
    </row>
    <row r="454" spans="1:16" x14ac:dyDescent="0.3">
      <c r="A454" t="s">
        <v>482</v>
      </c>
      <c r="B454" t="s">
        <v>23</v>
      </c>
      <c r="C454" t="s">
        <v>17</v>
      </c>
      <c r="D454" s="1">
        <v>45958</v>
      </c>
      <c r="E454" s="1">
        <v>45962</v>
      </c>
      <c r="F454" s="1">
        <v>45966</v>
      </c>
      <c r="G454" s="1">
        <v>45973</v>
      </c>
      <c r="H454" t="s">
        <v>18</v>
      </c>
      <c r="I454" t="s">
        <v>19</v>
      </c>
      <c r="J454" s="1">
        <v>45985</v>
      </c>
      <c r="K454">
        <v>4</v>
      </c>
      <c r="L454">
        <v>4</v>
      </c>
      <c r="M454">
        <v>7</v>
      </c>
      <c r="N454">
        <v>4</v>
      </c>
      <c r="O454">
        <v>15</v>
      </c>
      <c r="P454" t="s">
        <v>1049</v>
      </c>
    </row>
    <row r="455" spans="1:16" x14ac:dyDescent="0.3">
      <c r="A455" t="s">
        <v>483</v>
      </c>
      <c r="B455" t="s">
        <v>23</v>
      </c>
      <c r="C455" t="s">
        <v>24</v>
      </c>
      <c r="D455" s="1">
        <v>45944</v>
      </c>
      <c r="E455" s="1"/>
      <c r="F455" s="1"/>
      <c r="G455" s="1"/>
      <c r="H455" t="s">
        <v>25</v>
      </c>
      <c r="I455" t="s">
        <v>26</v>
      </c>
      <c r="J455" s="1"/>
    </row>
    <row r="456" spans="1:16" x14ac:dyDescent="0.3">
      <c r="A456" t="s">
        <v>484</v>
      </c>
      <c r="B456" t="s">
        <v>21</v>
      </c>
      <c r="C456" t="s">
        <v>24</v>
      </c>
      <c r="D456" s="1">
        <v>45941</v>
      </c>
      <c r="E456" s="1"/>
      <c r="F456" s="1"/>
      <c r="G456" s="1"/>
      <c r="H456" t="s">
        <v>25</v>
      </c>
      <c r="I456" t="s">
        <v>35</v>
      </c>
      <c r="J456" s="1"/>
    </row>
    <row r="457" spans="1:16" x14ac:dyDescent="0.3">
      <c r="A457" t="s">
        <v>485</v>
      </c>
      <c r="B457" t="s">
        <v>21</v>
      </c>
      <c r="C457" t="s">
        <v>17</v>
      </c>
      <c r="D457" s="1">
        <v>45960</v>
      </c>
      <c r="E457" s="1">
        <v>45961</v>
      </c>
      <c r="F457" s="1">
        <v>45963</v>
      </c>
      <c r="G457" s="1">
        <v>45965</v>
      </c>
      <c r="H457" t="s">
        <v>18</v>
      </c>
      <c r="I457" t="s">
        <v>19</v>
      </c>
      <c r="J457" s="1">
        <v>45984</v>
      </c>
      <c r="K457">
        <v>1</v>
      </c>
      <c r="L457">
        <v>2</v>
      </c>
      <c r="M457">
        <v>2</v>
      </c>
      <c r="N457">
        <v>9</v>
      </c>
      <c r="O457">
        <v>5</v>
      </c>
      <c r="P457" t="s">
        <v>1050</v>
      </c>
    </row>
    <row r="458" spans="1:16" x14ac:dyDescent="0.3">
      <c r="A458" t="s">
        <v>486</v>
      </c>
      <c r="B458" t="s">
        <v>21</v>
      </c>
      <c r="C458" t="s">
        <v>17</v>
      </c>
      <c r="D458" s="1">
        <v>45956</v>
      </c>
      <c r="E458" s="1">
        <v>45958</v>
      </c>
      <c r="F458" s="1">
        <v>45961</v>
      </c>
      <c r="G458" s="1">
        <v>45968</v>
      </c>
      <c r="H458" t="s">
        <v>25</v>
      </c>
      <c r="I458" t="s">
        <v>65</v>
      </c>
      <c r="J458" s="1"/>
      <c r="K458">
        <v>2</v>
      </c>
      <c r="L458">
        <v>3</v>
      </c>
      <c r="M458">
        <v>7</v>
      </c>
      <c r="O458">
        <v>12</v>
      </c>
    </row>
    <row r="459" spans="1:16" x14ac:dyDescent="0.3">
      <c r="A459" t="s">
        <v>487</v>
      </c>
      <c r="B459" t="s">
        <v>34</v>
      </c>
      <c r="C459" t="s">
        <v>17</v>
      </c>
      <c r="D459" s="1">
        <v>45947</v>
      </c>
      <c r="E459" s="1">
        <v>45951</v>
      </c>
      <c r="F459" s="1">
        <v>45955</v>
      </c>
      <c r="G459" s="1">
        <v>45959</v>
      </c>
      <c r="H459" t="s">
        <v>18</v>
      </c>
      <c r="I459" t="s">
        <v>19</v>
      </c>
      <c r="J459" s="1">
        <v>45985</v>
      </c>
      <c r="K459">
        <v>4</v>
      </c>
      <c r="L459">
        <v>4</v>
      </c>
      <c r="M459">
        <v>4</v>
      </c>
      <c r="N459">
        <v>5</v>
      </c>
      <c r="O459">
        <v>12</v>
      </c>
      <c r="P459" t="s">
        <v>1049</v>
      </c>
    </row>
    <row r="460" spans="1:16" x14ac:dyDescent="0.3">
      <c r="A460" t="s">
        <v>488</v>
      </c>
      <c r="B460" t="s">
        <v>16</v>
      </c>
      <c r="C460" t="s">
        <v>32</v>
      </c>
      <c r="D460" s="1">
        <v>45939</v>
      </c>
      <c r="E460" s="1">
        <v>45942</v>
      </c>
      <c r="F460" s="1">
        <v>45944</v>
      </c>
      <c r="G460" s="1">
        <v>45947</v>
      </c>
      <c r="H460" t="s">
        <v>18</v>
      </c>
      <c r="I460" t="s">
        <v>19</v>
      </c>
      <c r="J460" s="1">
        <v>45969</v>
      </c>
      <c r="K460">
        <v>3</v>
      </c>
      <c r="L460">
        <v>2</v>
      </c>
      <c r="M460">
        <v>3</v>
      </c>
      <c r="N460">
        <v>5</v>
      </c>
      <c r="O460">
        <v>8</v>
      </c>
      <c r="P460" t="s">
        <v>1049</v>
      </c>
    </row>
    <row r="461" spans="1:16" x14ac:dyDescent="0.3">
      <c r="A461" t="s">
        <v>489</v>
      </c>
      <c r="B461" t="s">
        <v>16</v>
      </c>
      <c r="C461" t="s">
        <v>17</v>
      </c>
      <c r="D461" s="1">
        <v>45957</v>
      </c>
      <c r="E461" s="1">
        <v>45958</v>
      </c>
      <c r="F461" s="1">
        <v>45963</v>
      </c>
      <c r="G461" s="1">
        <v>45969</v>
      </c>
      <c r="H461" t="s">
        <v>18</v>
      </c>
      <c r="I461" t="s">
        <v>19</v>
      </c>
      <c r="J461" s="1">
        <v>45983</v>
      </c>
      <c r="K461">
        <v>1</v>
      </c>
      <c r="L461">
        <v>5</v>
      </c>
      <c r="M461">
        <v>6</v>
      </c>
      <c r="N461">
        <v>1</v>
      </c>
      <c r="O461">
        <v>12</v>
      </c>
      <c r="P461" t="s">
        <v>1049</v>
      </c>
    </row>
    <row r="462" spans="1:16" x14ac:dyDescent="0.3">
      <c r="A462" t="s">
        <v>490</v>
      </c>
      <c r="B462" t="s">
        <v>21</v>
      </c>
      <c r="C462" t="s">
        <v>17</v>
      </c>
      <c r="D462" s="1">
        <v>45931</v>
      </c>
      <c r="E462" s="1">
        <v>45935</v>
      </c>
      <c r="F462" s="1">
        <v>45939</v>
      </c>
      <c r="G462" s="1">
        <v>45945</v>
      </c>
      <c r="H462" t="s">
        <v>25</v>
      </c>
      <c r="I462" t="s">
        <v>65</v>
      </c>
      <c r="J462" s="1"/>
      <c r="K462">
        <v>4</v>
      </c>
      <c r="L462">
        <v>4</v>
      </c>
      <c r="M462">
        <v>6</v>
      </c>
      <c r="O462">
        <v>14</v>
      </c>
    </row>
    <row r="463" spans="1:16" x14ac:dyDescent="0.3">
      <c r="A463" t="s">
        <v>491</v>
      </c>
      <c r="B463" t="s">
        <v>16</v>
      </c>
      <c r="C463" t="s">
        <v>24</v>
      </c>
      <c r="D463" s="1">
        <v>45940</v>
      </c>
      <c r="E463" s="1"/>
      <c r="F463" s="1"/>
      <c r="G463" s="1"/>
      <c r="H463" t="s">
        <v>25</v>
      </c>
      <c r="I463" t="s">
        <v>35</v>
      </c>
      <c r="J463" s="1"/>
    </row>
    <row r="464" spans="1:16" x14ac:dyDescent="0.3">
      <c r="A464" t="s">
        <v>492</v>
      </c>
      <c r="B464" t="s">
        <v>21</v>
      </c>
      <c r="C464" t="s">
        <v>24</v>
      </c>
      <c r="D464" s="1">
        <v>45954</v>
      </c>
      <c r="E464" s="1"/>
      <c r="F464" s="1"/>
      <c r="G464" s="1"/>
      <c r="H464" t="s">
        <v>25</v>
      </c>
      <c r="I464" t="s">
        <v>35</v>
      </c>
      <c r="J464" s="1"/>
    </row>
    <row r="465" spans="1:16" x14ac:dyDescent="0.3">
      <c r="A465" t="s">
        <v>493</v>
      </c>
      <c r="B465" t="s">
        <v>34</v>
      </c>
      <c r="C465" t="s">
        <v>17</v>
      </c>
      <c r="D465" s="1">
        <v>45940</v>
      </c>
      <c r="E465" s="1">
        <v>45941</v>
      </c>
      <c r="F465" s="1">
        <v>45943</v>
      </c>
      <c r="G465" s="1">
        <v>45949</v>
      </c>
      <c r="H465" t="s">
        <v>18</v>
      </c>
      <c r="I465" t="s">
        <v>19</v>
      </c>
      <c r="J465" s="1">
        <v>45975</v>
      </c>
      <c r="K465">
        <v>1</v>
      </c>
      <c r="L465">
        <v>2</v>
      </c>
      <c r="M465">
        <v>6</v>
      </c>
      <c r="N465">
        <v>1</v>
      </c>
      <c r="O465">
        <v>9</v>
      </c>
      <c r="P465" t="s">
        <v>1049</v>
      </c>
    </row>
    <row r="466" spans="1:16" x14ac:dyDescent="0.3">
      <c r="A466" t="s">
        <v>494</v>
      </c>
      <c r="B466" t="s">
        <v>34</v>
      </c>
      <c r="C466" t="s">
        <v>32</v>
      </c>
      <c r="D466" s="1">
        <v>45957</v>
      </c>
      <c r="E466" s="1">
        <v>45961</v>
      </c>
      <c r="F466" s="1">
        <v>45963</v>
      </c>
      <c r="G466" s="1">
        <v>45966</v>
      </c>
      <c r="H466" t="s">
        <v>18</v>
      </c>
      <c r="I466" t="s">
        <v>19</v>
      </c>
      <c r="J466" s="1">
        <v>45994</v>
      </c>
      <c r="K466">
        <v>4</v>
      </c>
      <c r="L466">
        <v>2</v>
      </c>
      <c r="M466">
        <v>3</v>
      </c>
      <c r="N466">
        <v>4</v>
      </c>
      <c r="O466">
        <v>9</v>
      </c>
      <c r="P466" t="s">
        <v>1049</v>
      </c>
    </row>
    <row r="467" spans="1:16" x14ac:dyDescent="0.3">
      <c r="A467" t="s">
        <v>495</v>
      </c>
      <c r="B467" t="s">
        <v>23</v>
      </c>
      <c r="C467" t="s">
        <v>32</v>
      </c>
      <c r="D467" s="1">
        <v>45949</v>
      </c>
      <c r="E467" s="1">
        <v>45954</v>
      </c>
      <c r="F467" s="1">
        <v>45957</v>
      </c>
      <c r="G467" s="1">
        <v>45964</v>
      </c>
      <c r="H467" t="s">
        <v>18</v>
      </c>
      <c r="I467" t="s">
        <v>19</v>
      </c>
      <c r="J467" s="1">
        <v>45974</v>
      </c>
      <c r="K467">
        <v>5</v>
      </c>
      <c r="L467">
        <v>3</v>
      </c>
      <c r="M467">
        <v>7</v>
      </c>
      <c r="N467">
        <v>4</v>
      </c>
      <c r="O467">
        <v>15</v>
      </c>
      <c r="P467" t="s">
        <v>1049</v>
      </c>
    </row>
    <row r="468" spans="1:16" x14ac:dyDescent="0.3">
      <c r="A468" t="s">
        <v>496</v>
      </c>
      <c r="B468" t="s">
        <v>34</v>
      </c>
      <c r="C468" t="s">
        <v>32</v>
      </c>
      <c r="D468" s="1">
        <v>45949</v>
      </c>
      <c r="E468" s="1">
        <v>45952</v>
      </c>
      <c r="F468" s="1">
        <v>45954</v>
      </c>
      <c r="G468" s="1">
        <v>45959</v>
      </c>
      <c r="H468" t="s">
        <v>18</v>
      </c>
      <c r="I468" t="s">
        <v>19</v>
      </c>
      <c r="J468" s="1">
        <v>45974</v>
      </c>
      <c r="K468">
        <v>3</v>
      </c>
      <c r="L468">
        <v>2</v>
      </c>
      <c r="M468">
        <v>5</v>
      </c>
      <c r="N468">
        <v>1</v>
      </c>
      <c r="O468">
        <v>10</v>
      </c>
      <c r="P468" t="s">
        <v>1049</v>
      </c>
    </row>
    <row r="469" spans="1:16" x14ac:dyDescent="0.3">
      <c r="A469" t="s">
        <v>497</v>
      </c>
      <c r="B469" t="s">
        <v>21</v>
      </c>
      <c r="C469" t="s">
        <v>17</v>
      </c>
      <c r="D469" s="1">
        <v>45952</v>
      </c>
      <c r="E469" s="1">
        <v>45954</v>
      </c>
      <c r="F469" s="1">
        <v>45958</v>
      </c>
      <c r="G469" s="1">
        <v>45962</v>
      </c>
      <c r="H469" t="s">
        <v>18</v>
      </c>
      <c r="I469" t="s">
        <v>19</v>
      </c>
      <c r="J469" s="1">
        <v>45978</v>
      </c>
      <c r="K469">
        <v>2</v>
      </c>
      <c r="L469">
        <v>4</v>
      </c>
      <c r="M469">
        <v>4</v>
      </c>
      <c r="N469">
        <v>1</v>
      </c>
      <c r="O469">
        <v>10</v>
      </c>
      <c r="P469" t="s">
        <v>1049</v>
      </c>
    </row>
    <row r="470" spans="1:16" x14ac:dyDescent="0.3">
      <c r="A470" t="s">
        <v>498</v>
      </c>
      <c r="B470" t="s">
        <v>34</v>
      </c>
      <c r="C470" t="s">
        <v>17</v>
      </c>
      <c r="D470" s="1">
        <v>45946</v>
      </c>
      <c r="E470" s="1">
        <v>45950</v>
      </c>
      <c r="F470" s="1">
        <v>45951</v>
      </c>
      <c r="G470" s="1">
        <v>45958</v>
      </c>
      <c r="H470" t="s">
        <v>18</v>
      </c>
      <c r="I470" t="s">
        <v>19</v>
      </c>
      <c r="J470" s="1">
        <v>45974</v>
      </c>
      <c r="K470">
        <v>4</v>
      </c>
      <c r="L470">
        <v>1</v>
      </c>
      <c r="M470">
        <v>7</v>
      </c>
      <c r="N470">
        <v>0</v>
      </c>
      <c r="O470">
        <v>12</v>
      </c>
      <c r="P470" t="s">
        <v>1049</v>
      </c>
    </row>
    <row r="471" spans="1:16" x14ac:dyDescent="0.3">
      <c r="A471" t="s">
        <v>499</v>
      </c>
      <c r="B471" t="s">
        <v>23</v>
      </c>
      <c r="C471" t="s">
        <v>24</v>
      </c>
      <c r="D471" s="1">
        <v>45958</v>
      </c>
      <c r="E471" s="1"/>
      <c r="F471" s="1"/>
      <c r="G471" s="1"/>
      <c r="H471" t="s">
        <v>25</v>
      </c>
      <c r="I471" t="s">
        <v>35</v>
      </c>
      <c r="J471" s="1"/>
    </row>
    <row r="472" spans="1:16" x14ac:dyDescent="0.3">
      <c r="A472" t="s">
        <v>500</v>
      </c>
      <c r="B472" t="s">
        <v>16</v>
      </c>
      <c r="C472" t="s">
        <v>17</v>
      </c>
      <c r="D472" s="1">
        <v>45935</v>
      </c>
      <c r="E472" s="1">
        <v>45936</v>
      </c>
      <c r="F472" s="1">
        <v>45941</v>
      </c>
      <c r="G472" s="1">
        <v>45943</v>
      </c>
      <c r="H472" t="s">
        <v>18</v>
      </c>
      <c r="I472" t="s">
        <v>19</v>
      </c>
      <c r="J472" s="1">
        <v>45954</v>
      </c>
      <c r="K472">
        <v>1</v>
      </c>
      <c r="L472">
        <v>5</v>
      </c>
      <c r="M472">
        <v>2</v>
      </c>
      <c r="N472">
        <v>7</v>
      </c>
      <c r="O472">
        <v>8</v>
      </c>
      <c r="P472" t="s">
        <v>1041</v>
      </c>
    </row>
    <row r="473" spans="1:16" x14ac:dyDescent="0.3">
      <c r="A473" t="s">
        <v>501</v>
      </c>
      <c r="B473" t="s">
        <v>21</v>
      </c>
      <c r="C473" t="s">
        <v>24</v>
      </c>
      <c r="D473" s="1">
        <v>45945</v>
      </c>
      <c r="E473" s="1"/>
      <c r="F473" s="1"/>
      <c r="G473" s="1"/>
      <c r="H473" t="s">
        <v>25</v>
      </c>
      <c r="I473" t="s">
        <v>65</v>
      </c>
      <c r="J473" s="1"/>
    </row>
    <row r="474" spans="1:16" x14ac:dyDescent="0.3">
      <c r="A474" t="s">
        <v>502</v>
      </c>
      <c r="B474" t="s">
        <v>16</v>
      </c>
      <c r="C474" t="s">
        <v>24</v>
      </c>
      <c r="D474" s="1">
        <v>45948</v>
      </c>
      <c r="E474" s="1"/>
      <c r="F474" s="1"/>
      <c r="G474" s="1"/>
      <c r="H474" t="s">
        <v>25</v>
      </c>
      <c r="I474" t="s">
        <v>35</v>
      </c>
      <c r="J474" s="1"/>
    </row>
    <row r="475" spans="1:16" x14ac:dyDescent="0.3">
      <c r="A475" t="s">
        <v>503</v>
      </c>
      <c r="B475" t="s">
        <v>23</v>
      </c>
      <c r="C475" t="s">
        <v>17</v>
      </c>
      <c r="D475" s="1">
        <v>45946</v>
      </c>
      <c r="E475" s="1">
        <v>45949</v>
      </c>
      <c r="F475" s="1">
        <v>45953</v>
      </c>
      <c r="G475" s="1">
        <v>45956</v>
      </c>
      <c r="H475" t="s">
        <v>18</v>
      </c>
      <c r="I475" t="s">
        <v>19</v>
      </c>
      <c r="J475" s="1">
        <v>45973</v>
      </c>
      <c r="K475">
        <v>3</v>
      </c>
      <c r="L475">
        <v>4</v>
      </c>
      <c r="M475">
        <v>3</v>
      </c>
      <c r="N475">
        <v>8</v>
      </c>
      <c r="O475">
        <v>10</v>
      </c>
      <c r="P475" t="s">
        <v>1041</v>
      </c>
    </row>
    <row r="476" spans="1:16" x14ac:dyDescent="0.3">
      <c r="A476" t="s">
        <v>504</v>
      </c>
      <c r="B476" t="s">
        <v>23</v>
      </c>
      <c r="C476" t="s">
        <v>24</v>
      </c>
      <c r="D476" s="1">
        <v>45942</v>
      </c>
      <c r="E476" s="1"/>
      <c r="F476" s="1"/>
      <c r="G476" s="1"/>
      <c r="H476" t="s">
        <v>25</v>
      </c>
      <c r="I476" t="s">
        <v>103</v>
      </c>
      <c r="J476" s="1"/>
    </row>
    <row r="477" spans="1:16" x14ac:dyDescent="0.3">
      <c r="A477" t="s">
        <v>505</v>
      </c>
      <c r="B477" t="s">
        <v>23</v>
      </c>
      <c r="C477" t="s">
        <v>17</v>
      </c>
      <c r="D477" s="1">
        <v>45941</v>
      </c>
      <c r="E477" s="1">
        <v>45943</v>
      </c>
      <c r="F477" s="1">
        <v>45947</v>
      </c>
      <c r="G477" s="1">
        <v>45952</v>
      </c>
      <c r="H477" t="s">
        <v>25</v>
      </c>
      <c r="I477" t="s">
        <v>26</v>
      </c>
      <c r="J477" s="1"/>
      <c r="K477">
        <v>2</v>
      </c>
      <c r="L477">
        <v>4</v>
      </c>
      <c r="M477">
        <v>5</v>
      </c>
      <c r="O477">
        <v>11</v>
      </c>
    </row>
    <row r="478" spans="1:16" x14ac:dyDescent="0.3">
      <c r="A478" t="s">
        <v>506</v>
      </c>
      <c r="B478" t="s">
        <v>16</v>
      </c>
      <c r="C478" t="s">
        <v>32</v>
      </c>
      <c r="D478" s="1">
        <v>45948</v>
      </c>
      <c r="E478" s="1">
        <v>45949</v>
      </c>
      <c r="F478" s="1">
        <v>45954</v>
      </c>
      <c r="G478" s="1">
        <v>45959</v>
      </c>
      <c r="H478" t="s">
        <v>18</v>
      </c>
      <c r="I478" t="s">
        <v>19</v>
      </c>
      <c r="J478" s="1">
        <v>45970</v>
      </c>
      <c r="K478">
        <v>1</v>
      </c>
      <c r="L478">
        <v>5</v>
      </c>
      <c r="M478">
        <v>5</v>
      </c>
      <c r="N478">
        <v>2</v>
      </c>
      <c r="O478">
        <v>11</v>
      </c>
      <c r="P478" t="s">
        <v>1049</v>
      </c>
    </row>
    <row r="479" spans="1:16" x14ac:dyDescent="0.3">
      <c r="A479" t="s">
        <v>507</v>
      </c>
      <c r="B479" t="s">
        <v>16</v>
      </c>
      <c r="C479" t="s">
        <v>17</v>
      </c>
      <c r="D479" s="1">
        <v>45955</v>
      </c>
      <c r="E479" s="1">
        <v>45958</v>
      </c>
      <c r="F479" s="1">
        <v>45963</v>
      </c>
      <c r="G479" s="1">
        <v>45965</v>
      </c>
      <c r="H479" t="s">
        <v>25</v>
      </c>
      <c r="I479" t="s">
        <v>26</v>
      </c>
      <c r="J479" s="1"/>
      <c r="K479">
        <v>3</v>
      </c>
      <c r="L479">
        <v>5</v>
      </c>
      <c r="M479">
        <v>2</v>
      </c>
      <c r="O479">
        <v>10</v>
      </c>
    </row>
    <row r="480" spans="1:16" x14ac:dyDescent="0.3">
      <c r="A480" t="s">
        <v>508</v>
      </c>
      <c r="B480" t="s">
        <v>16</v>
      </c>
      <c r="C480" t="s">
        <v>17</v>
      </c>
      <c r="D480" s="1">
        <v>45948</v>
      </c>
      <c r="E480" s="1">
        <v>45949</v>
      </c>
      <c r="F480" s="1">
        <v>45951</v>
      </c>
      <c r="G480" s="1">
        <v>45954</v>
      </c>
      <c r="H480" t="s">
        <v>18</v>
      </c>
      <c r="I480" t="s">
        <v>19</v>
      </c>
      <c r="J480" s="1">
        <v>45978</v>
      </c>
      <c r="K480">
        <v>1</v>
      </c>
      <c r="L480">
        <v>2</v>
      </c>
      <c r="M480">
        <v>3</v>
      </c>
      <c r="N480">
        <v>7</v>
      </c>
      <c r="O480">
        <v>6</v>
      </c>
      <c r="P480" t="s">
        <v>1041</v>
      </c>
    </row>
    <row r="481" spans="1:16" x14ac:dyDescent="0.3">
      <c r="A481" t="s">
        <v>509</v>
      </c>
      <c r="B481" t="s">
        <v>16</v>
      </c>
      <c r="C481" t="s">
        <v>17</v>
      </c>
      <c r="D481" s="1">
        <v>45943</v>
      </c>
      <c r="E481" s="1">
        <v>45946</v>
      </c>
      <c r="F481" s="1">
        <v>45950</v>
      </c>
      <c r="G481" s="1">
        <v>45955</v>
      </c>
      <c r="H481" t="s">
        <v>25</v>
      </c>
      <c r="I481" t="s">
        <v>28</v>
      </c>
      <c r="J481" s="1"/>
      <c r="K481">
        <v>3</v>
      </c>
      <c r="L481">
        <v>4</v>
      </c>
      <c r="M481">
        <v>5</v>
      </c>
      <c r="O481">
        <v>12</v>
      </c>
    </row>
    <row r="482" spans="1:16" x14ac:dyDescent="0.3">
      <c r="A482" t="s">
        <v>510</v>
      </c>
      <c r="B482" t="s">
        <v>23</v>
      </c>
      <c r="C482" t="s">
        <v>17</v>
      </c>
      <c r="D482" s="1">
        <v>45945</v>
      </c>
      <c r="E482" s="1">
        <v>45947</v>
      </c>
      <c r="F482" s="1">
        <v>45949</v>
      </c>
      <c r="G482" s="1">
        <v>45956</v>
      </c>
      <c r="H482" t="s">
        <v>18</v>
      </c>
      <c r="I482" t="s">
        <v>19</v>
      </c>
      <c r="J482" s="1">
        <v>45967</v>
      </c>
      <c r="K482">
        <v>2</v>
      </c>
      <c r="L482">
        <v>2</v>
      </c>
      <c r="M482">
        <v>7</v>
      </c>
      <c r="N482">
        <v>2</v>
      </c>
      <c r="O482">
        <v>11</v>
      </c>
      <c r="P482" t="s">
        <v>1049</v>
      </c>
    </row>
    <row r="483" spans="1:16" x14ac:dyDescent="0.3">
      <c r="A483" t="s">
        <v>511</v>
      </c>
      <c r="B483" t="s">
        <v>23</v>
      </c>
      <c r="C483" t="s">
        <v>17</v>
      </c>
      <c r="D483" s="1">
        <v>45960</v>
      </c>
      <c r="E483" s="1">
        <v>45962</v>
      </c>
      <c r="F483" s="1">
        <v>45965</v>
      </c>
      <c r="G483" s="1">
        <v>45971</v>
      </c>
      <c r="H483" t="s">
        <v>18</v>
      </c>
      <c r="I483" t="s">
        <v>19</v>
      </c>
      <c r="J483" s="1">
        <v>45992</v>
      </c>
      <c r="K483">
        <v>2</v>
      </c>
      <c r="L483">
        <v>3</v>
      </c>
      <c r="M483">
        <v>6</v>
      </c>
      <c r="N483">
        <v>8</v>
      </c>
      <c r="O483">
        <v>11</v>
      </c>
      <c r="P483" t="s">
        <v>1041</v>
      </c>
    </row>
    <row r="484" spans="1:16" x14ac:dyDescent="0.3">
      <c r="A484" t="s">
        <v>512</v>
      </c>
      <c r="B484" t="s">
        <v>21</v>
      </c>
      <c r="C484" t="s">
        <v>17</v>
      </c>
      <c r="D484" s="1">
        <v>45941</v>
      </c>
      <c r="E484" s="1">
        <v>45942</v>
      </c>
      <c r="F484" s="1">
        <v>45944</v>
      </c>
      <c r="G484" s="1">
        <v>45946</v>
      </c>
      <c r="H484" t="s">
        <v>18</v>
      </c>
      <c r="I484" t="s">
        <v>19</v>
      </c>
      <c r="J484" s="1">
        <v>45962</v>
      </c>
      <c r="K484">
        <v>1</v>
      </c>
      <c r="L484">
        <v>2</v>
      </c>
      <c r="M484">
        <v>2</v>
      </c>
      <c r="N484">
        <v>5</v>
      </c>
      <c r="O484">
        <v>5</v>
      </c>
      <c r="P484" t="s">
        <v>1049</v>
      </c>
    </row>
    <row r="485" spans="1:16" x14ac:dyDescent="0.3">
      <c r="A485" t="s">
        <v>513</v>
      </c>
      <c r="B485" t="s">
        <v>21</v>
      </c>
      <c r="C485" t="s">
        <v>17</v>
      </c>
      <c r="D485" s="1">
        <v>45958</v>
      </c>
      <c r="E485" s="1">
        <v>45961</v>
      </c>
      <c r="F485" s="1">
        <v>45964</v>
      </c>
      <c r="G485" s="1">
        <v>45970</v>
      </c>
      <c r="H485" t="s">
        <v>18</v>
      </c>
      <c r="I485" t="s">
        <v>19</v>
      </c>
      <c r="J485" s="1">
        <v>45988</v>
      </c>
      <c r="K485">
        <v>3</v>
      </c>
      <c r="L485">
        <v>3</v>
      </c>
      <c r="M485">
        <v>6</v>
      </c>
      <c r="N485">
        <v>5</v>
      </c>
      <c r="O485">
        <v>12</v>
      </c>
      <c r="P485" t="s">
        <v>1049</v>
      </c>
    </row>
    <row r="486" spans="1:16" x14ac:dyDescent="0.3">
      <c r="A486" t="s">
        <v>514</v>
      </c>
      <c r="B486" t="s">
        <v>16</v>
      </c>
      <c r="C486" t="s">
        <v>17</v>
      </c>
      <c r="D486" s="1">
        <v>45937</v>
      </c>
      <c r="E486" s="1">
        <v>45941</v>
      </c>
      <c r="F486" s="1">
        <v>45942</v>
      </c>
      <c r="G486" s="1">
        <v>45944</v>
      </c>
      <c r="H486" t="s">
        <v>18</v>
      </c>
      <c r="I486" t="s">
        <v>19</v>
      </c>
      <c r="J486" s="1">
        <v>45965</v>
      </c>
      <c r="K486">
        <v>4</v>
      </c>
      <c r="L486">
        <v>1</v>
      </c>
      <c r="M486">
        <v>2</v>
      </c>
      <c r="N486">
        <v>6</v>
      </c>
      <c r="O486">
        <v>7</v>
      </c>
      <c r="P486" t="s">
        <v>1049</v>
      </c>
    </row>
    <row r="487" spans="1:16" x14ac:dyDescent="0.3">
      <c r="A487" t="s">
        <v>515</v>
      </c>
      <c r="B487" t="s">
        <v>34</v>
      </c>
      <c r="C487" t="s">
        <v>17</v>
      </c>
      <c r="D487" s="1">
        <v>45953</v>
      </c>
      <c r="E487" s="1">
        <v>45955</v>
      </c>
      <c r="F487" s="1">
        <v>45959</v>
      </c>
      <c r="G487" s="1">
        <v>45963</v>
      </c>
      <c r="H487" t="s">
        <v>25</v>
      </c>
      <c r="I487" t="s">
        <v>28</v>
      </c>
      <c r="J487" s="1"/>
      <c r="K487">
        <v>2</v>
      </c>
      <c r="L487">
        <v>4</v>
      </c>
      <c r="M487">
        <v>4</v>
      </c>
      <c r="O487">
        <v>10</v>
      </c>
    </row>
    <row r="488" spans="1:16" x14ac:dyDescent="0.3">
      <c r="A488" t="s">
        <v>516</v>
      </c>
      <c r="B488" t="s">
        <v>34</v>
      </c>
      <c r="C488" t="s">
        <v>17</v>
      </c>
      <c r="D488" s="1">
        <v>45938</v>
      </c>
      <c r="E488" s="1">
        <v>45942</v>
      </c>
      <c r="F488" s="1">
        <v>45945</v>
      </c>
      <c r="G488" s="1">
        <v>45949</v>
      </c>
      <c r="H488" t="s">
        <v>18</v>
      </c>
      <c r="I488" t="s">
        <v>19</v>
      </c>
      <c r="J488" s="1">
        <v>45973</v>
      </c>
      <c r="K488">
        <v>4</v>
      </c>
      <c r="L488">
        <v>3</v>
      </c>
      <c r="M488">
        <v>4</v>
      </c>
      <c r="N488">
        <v>9</v>
      </c>
      <c r="O488">
        <v>11</v>
      </c>
      <c r="P488" t="s">
        <v>1050</v>
      </c>
    </row>
    <row r="489" spans="1:16" x14ac:dyDescent="0.3">
      <c r="A489" t="s">
        <v>517</v>
      </c>
      <c r="B489" t="s">
        <v>23</v>
      </c>
      <c r="C489" t="s">
        <v>32</v>
      </c>
      <c r="D489" s="1">
        <v>45949</v>
      </c>
      <c r="E489" s="1">
        <v>45953</v>
      </c>
      <c r="F489" s="1">
        <v>45954</v>
      </c>
      <c r="G489" s="1">
        <v>45957</v>
      </c>
      <c r="H489" t="s">
        <v>18</v>
      </c>
      <c r="I489" t="s">
        <v>19</v>
      </c>
      <c r="J489" s="1">
        <v>45983</v>
      </c>
      <c r="K489">
        <v>4</v>
      </c>
      <c r="L489">
        <v>1</v>
      </c>
      <c r="M489">
        <v>3</v>
      </c>
      <c r="N489">
        <v>4</v>
      </c>
      <c r="O489">
        <v>8</v>
      </c>
      <c r="P489" t="s">
        <v>1049</v>
      </c>
    </row>
    <row r="490" spans="1:16" x14ac:dyDescent="0.3">
      <c r="A490" t="s">
        <v>518</v>
      </c>
      <c r="B490" t="s">
        <v>23</v>
      </c>
      <c r="C490" t="s">
        <v>17</v>
      </c>
      <c r="D490" s="1">
        <v>45943</v>
      </c>
      <c r="E490" s="1">
        <v>45948</v>
      </c>
      <c r="F490" s="1">
        <v>45953</v>
      </c>
      <c r="G490" s="1">
        <v>45958</v>
      </c>
      <c r="H490" t="s">
        <v>18</v>
      </c>
      <c r="I490" t="s">
        <v>19</v>
      </c>
      <c r="J490" s="1">
        <v>45980</v>
      </c>
      <c r="K490">
        <v>5</v>
      </c>
      <c r="L490">
        <v>5</v>
      </c>
      <c r="M490">
        <v>5</v>
      </c>
      <c r="N490">
        <v>5</v>
      </c>
      <c r="O490">
        <v>15</v>
      </c>
      <c r="P490" t="s">
        <v>1049</v>
      </c>
    </row>
    <row r="491" spans="1:16" x14ac:dyDescent="0.3">
      <c r="A491" t="s">
        <v>519</v>
      </c>
      <c r="B491" t="s">
        <v>23</v>
      </c>
      <c r="C491" t="s">
        <v>32</v>
      </c>
      <c r="D491" s="1">
        <v>45938</v>
      </c>
      <c r="E491" s="1">
        <v>45939</v>
      </c>
      <c r="F491" s="1">
        <v>45941</v>
      </c>
      <c r="G491" s="1">
        <v>45947</v>
      </c>
      <c r="H491" t="s">
        <v>18</v>
      </c>
      <c r="I491" t="s">
        <v>19</v>
      </c>
      <c r="J491" s="1">
        <v>45977</v>
      </c>
      <c r="K491">
        <v>1</v>
      </c>
      <c r="L491">
        <v>2</v>
      </c>
      <c r="M491">
        <v>6</v>
      </c>
      <c r="N491">
        <v>2</v>
      </c>
      <c r="O491">
        <v>9</v>
      </c>
      <c r="P491" t="s">
        <v>1049</v>
      </c>
    </row>
    <row r="492" spans="1:16" x14ac:dyDescent="0.3">
      <c r="A492" t="s">
        <v>520</v>
      </c>
      <c r="B492" t="s">
        <v>21</v>
      </c>
      <c r="C492" t="s">
        <v>17</v>
      </c>
      <c r="D492" s="1">
        <v>45958</v>
      </c>
      <c r="E492" s="1">
        <v>45959</v>
      </c>
      <c r="F492" s="1">
        <v>45960</v>
      </c>
      <c r="G492" s="1">
        <v>45965</v>
      </c>
      <c r="H492" t="s">
        <v>18</v>
      </c>
      <c r="I492" t="s">
        <v>19</v>
      </c>
      <c r="J492" s="1">
        <v>45978</v>
      </c>
      <c r="K492">
        <v>1</v>
      </c>
      <c r="L492">
        <v>1</v>
      </c>
      <c r="M492">
        <v>5</v>
      </c>
      <c r="N492">
        <v>9</v>
      </c>
      <c r="O492">
        <v>7</v>
      </c>
      <c r="P492" t="s">
        <v>1050</v>
      </c>
    </row>
    <row r="493" spans="1:16" x14ac:dyDescent="0.3">
      <c r="A493" t="s">
        <v>521</v>
      </c>
      <c r="B493" t="s">
        <v>21</v>
      </c>
      <c r="C493" t="s">
        <v>17</v>
      </c>
      <c r="D493" s="1">
        <v>45955</v>
      </c>
      <c r="E493" s="1">
        <v>45956</v>
      </c>
      <c r="F493" s="1">
        <v>45959</v>
      </c>
      <c r="G493" s="1">
        <v>45963</v>
      </c>
      <c r="H493" t="s">
        <v>25</v>
      </c>
      <c r="I493" t="s">
        <v>26</v>
      </c>
      <c r="J493" s="1"/>
      <c r="K493">
        <v>1</v>
      </c>
      <c r="L493">
        <v>3</v>
      </c>
      <c r="M493">
        <v>4</v>
      </c>
      <c r="O493">
        <v>8</v>
      </c>
    </row>
    <row r="494" spans="1:16" x14ac:dyDescent="0.3">
      <c r="A494" t="s">
        <v>522</v>
      </c>
      <c r="B494" t="s">
        <v>23</v>
      </c>
      <c r="C494" t="s">
        <v>17</v>
      </c>
      <c r="D494" s="1">
        <v>45944</v>
      </c>
      <c r="E494" s="1">
        <v>45947</v>
      </c>
      <c r="F494" s="1">
        <v>45951</v>
      </c>
      <c r="G494" s="1">
        <v>45957</v>
      </c>
      <c r="H494" t="s">
        <v>18</v>
      </c>
      <c r="I494" t="s">
        <v>19</v>
      </c>
      <c r="J494" s="1">
        <v>45967</v>
      </c>
      <c r="K494">
        <v>3</v>
      </c>
      <c r="L494">
        <v>4</v>
      </c>
      <c r="M494">
        <v>6</v>
      </c>
      <c r="N494">
        <v>3</v>
      </c>
      <c r="O494">
        <v>13</v>
      </c>
      <c r="P494" t="s">
        <v>1049</v>
      </c>
    </row>
    <row r="495" spans="1:16" x14ac:dyDescent="0.3">
      <c r="A495" t="s">
        <v>523</v>
      </c>
      <c r="B495" t="s">
        <v>23</v>
      </c>
      <c r="C495" t="s">
        <v>17</v>
      </c>
      <c r="D495" s="1">
        <v>45932</v>
      </c>
      <c r="E495" s="1">
        <v>45934</v>
      </c>
      <c r="F495" s="1">
        <v>45939</v>
      </c>
      <c r="G495" s="1">
        <v>45946</v>
      </c>
      <c r="H495" t="s">
        <v>18</v>
      </c>
      <c r="I495" t="s">
        <v>19</v>
      </c>
      <c r="J495" s="1">
        <v>45963</v>
      </c>
      <c r="K495">
        <v>2</v>
      </c>
      <c r="L495">
        <v>5</v>
      </c>
      <c r="M495">
        <v>7</v>
      </c>
      <c r="N495">
        <v>1</v>
      </c>
      <c r="O495">
        <v>14</v>
      </c>
      <c r="P495" t="s">
        <v>1049</v>
      </c>
    </row>
    <row r="496" spans="1:16" x14ac:dyDescent="0.3">
      <c r="A496" t="s">
        <v>524</v>
      </c>
      <c r="B496" t="s">
        <v>23</v>
      </c>
      <c r="C496" t="s">
        <v>24</v>
      </c>
      <c r="D496" s="1">
        <v>45941</v>
      </c>
      <c r="E496" s="1"/>
      <c r="F496" s="1"/>
      <c r="G496" s="1"/>
      <c r="H496" t="s">
        <v>25</v>
      </c>
      <c r="I496" t="s">
        <v>103</v>
      </c>
      <c r="J496" s="1"/>
    </row>
    <row r="497" spans="1:16" x14ac:dyDescent="0.3">
      <c r="A497" t="s">
        <v>525</v>
      </c>
      <c r="B497" t="s">
        <v>34</v>
      </c>
      <c r="C497" t="s">
        <v>24</v>
      </c>
      <c r="D497" s="1">
        <v>45954</v>
      </c>
      <c r="E497" s="1"/>
      <c r="F497" s="1"/>
      <c r="G497" s="1"/>
      <c r="H497" t="s">
        <v>25</v>
      </c>
      <c r="I497" t="s">
        <v>65</v>
      </c>
      <c r="J497" s="1"/>
    </row>
    <row r="498" spans="1:16" x14ac:dyDescent="0.3">
      <c r="A498" t="s">
        <v>526</v>
      </c>
      <c r="B498" t="s">
        <v>21</v>
      </c>
      <c r="C498" t="s">
        <v>24</v>
      </c>
      <c r="D498" s="1">
        <v>45946</v>
      </c>
      <c r="E498" s="1"/>
      <c r="F498" s="1"/>
      <c r="G498" s="1"/>
      <c r="H498" t="s">
        <v>25</v>
      </c>
      <c r="I498" t="s">
        <v>65</v>
      </c>
      <c r="J498" s="1"/>
    </row>
    <row r="499" spans="1:16" x14ac:dyDescent="0.3">
      <c r="A499" t="s">
        <v>527</v>
      </c>
      <c r="B499" t="s">
        <v>34</v>
      </c>
      <c r="C499" t="s">
        <v>24</v>
      </c>
      <c r="D499" s="1">
        <v>45953</v>
      </c>
      <c r="E499" s="1"/>
      <c r="F499" s="1"/>
      <c r="G499" s="1"/>
      <c r="H499" t="s">
        <v>25</v>
      </c>
      <c r="I499" t="s">
        <v>103</v>
      </c>
      <c r="J499" s="1"/>
    </row>
    <row r="500" spans="1:16" x14ac:dyDescent="0.3">
      <c r="A500" t="s">
        <v>528</v>
      </c>
      <c r="B500" t="s">
        <v>34</v>
      </c>
      <c r="C500" t="s">
        <v>32</v>
      </c>
      <c r="D500" s="1">
        <v>45960</v>
      </c>
      <c r="E500" s="1">
        <v>45962</v>
      </c>
      <c r="F500" s="1">
        <v>45967</v>
      </c>
      <c r="G500" s="1">
        <v>45970</v>
      </c>
      <c r="H500" t="s">
        <v>18</v>
      </c>
      <c r="I500" t="s">
        <v>19</v>
      </c>
      <c r="J500" s="1">
        <v>45991</v>
      </c>
      <c r="K500">
        <v>2</v>
      </c>
      <c r="L500">
        <v>5</v>
      </c>
      <c r="M500">
        <v>3</v>
      </c>
      <c r="N500">
        <v>8</v>
      </c>
      <c r="O500">
        <v>10</v>
      </c>
      <c r="P500" t="s">
        <v>1041</v>
      </c>
    </row>
    <row r="501" spans="1:16" x14ac:dyDescent="0.3">
      <c r="A501" t="s">
        <v>529</v>
      </c>
      <c r="B501" t="s">
        <v>23</v>
      </c>
      <c r="C501" t="s">
        <v>32</v>
      </c>
      <c r="D501" s="1">
        <v>45956</v>
      </c>
      <c r="E501" s="1">
        <v>45961</v>
      </c>
      <c r="F501" s="1">
        <v>45962</v>
      </c>
      <c r="G501" s="1">
        <v>45967</v>
      </c>
      <c r="H501" t="s">
        <v>18</v>
      </c>
      <c r="I501" t="s">
        <v>19</v>
      </c>
      <c r="J501" s="1">
        <v>45992</v>
      </c>
      <c r="K501">
        <v>5</v>
      </c>
      <c r="L501">
        <v>1</v>
      </c>
      <c r="M501">
        <v>5</v>
      </c>
      <c r="N501">
        <v>7</v>
      </c>
      <c r="O501">
        <v>11</v>
      </c>
      <c r="P501" t="s">
        <v>1041</v>
      </c>
    </row>
    <row r="502" spans="1:16" x14ac:dyDescent="0.3">
      <c r="A502" t="s">
        <v>530</v>
      </c>
      <c r="B502" t="s">
        <v>23</v>
      </c>
      <c r="C502" t="s">
        <v>17</v>
      </c>
      <c r="D502" s="1">
        <v>45943</v>
      </c>
      <c r="E502" s="1">
        <v>45948</v>
      </c>
      <c r="F502" s="1">
        <v>45949</v>
      </c>
      <c r="G502" s="1">
        <v>45951</v>
      </c>
      <c r="H502" t="s">
        <v>18</v>
      </c>
      <c r="I502" t="s">
        <v>19</v>
      </c>
      <c r="J502" s="1">
        <v>45980</v>
      </c>
      <c r="K502">
        <v>5</v>
      </c>
      <c r="L502">
        <v>1</v>
      </c>
      <c r="M502">
        <v>2</v>
      </c>
      <c r="N502">
        <v>9</v>
      </c>
      <c r="O502">
        <v>8</v>
      </c>
      <c r="P502" t="s">
        <v>1050</v>
      </c>
    </row>
    <row r="503" spans="1:16" x14ac:dyDescent="0.3">
      <c r="A503" t="s">
        <v>531</v>
      </c>
      <c r="B503" t="s">
        <v>16</v>
      </c>
      <c r="C503" t="s">
        <v>32</v>
      </c>
      <c r="D503" s="1">
        <v>45943</v>
      </c>
      <c r="E503" s="1">
        <v>45948</v>
      </c>
      <c r="F503" s="1">
        <v>45950</v>
      </c>
      <c r="G503" s="1">
        <v>45952</v>
      </c>
      <c r="H503" t="s">
        <v>18</v>
      </c>
      <c r="I503" t="s">
        <v>19</v>
      </c>
      <c r="J503" s="1">
        <v>45976</v>
      </c>
      <c r="K503">
        <v>5</v>
      </c>
      <c r="L503">
        <v>2</v>
      </c>
      <c r="M503">
        <v>2</v>
      </c>
      <c r="N503">
        <v>4</v>
      </c>
      <c r="O503">
        <v>9</v>
      </c>
      <c r="P503" t="s">
        <v>1049</v>
      </c>
    </row>
    <row r="504" spans="1:16" x14ac:dyDescent="0.3">
      <c r="A504" t="s">
        <v>532</v>
      </c>
      <c r="B504" t="s">
        <v>16</v>
      </c>
      <c r="C504" t="s">
        <v>17</v>
      </c>
      <c r="D504" s="1">
        <v>45952</v>
      </c>
      <c r="E504" s="1">
        <v>45956</v>
      </c>
      <c r="F504" s="1">
        <v>45961</v>
      </c>
      <c r="G504" s="1">
        <v>45967</v>
      </c>
      <c r="H504" t="s">
        <v>18</v>
      </c>
      <c r="I504" t="s">
        <v>19</v>
      </c>
      <c r="J504" s="1">
        <v>45982</v>
      </c>
      <c r="K504">
        <v>4</v>
      </c>
      <c r="L504">
        <v>5</v>
      </c>
      <c r="M504">
        <v>6</v>
      </c>
      <c r="N504">
        <v>5</v>
      </c>
      <c r="O504">
        <v>15</v>
      </c>
      <c r="P504" t="s">
        <v>1049</v>
      </c>
    </row>
    <row r="505" spans="1:16" x14ac:dyDescent="0.3">
      <c r="A505" t="s">
        <v>533</v>
      </c>
      <c r="B505" t="s">
        <v>34</v>
      </c>
      <c r="C505" t="s">
        <v>17</v>
      </c>
      <c r="D505" s="1">
        <v>45956</v>
      </c>
      <c r="E505" s="1">
        <v>45957</v>
      </c>
      <c r="F505" s="1">
        <v>45962</v>
      </c>
      <c r="G505" s="1">
        <v>45964</v>
      </c>
      <c r="H505" t="s">
        <v>18</v>
      </c>
      <c r="I505" t="s">
        <v>19</v>
      </c>
      <c r="J505" s="1">
        <v>45989</v>
      </c>
      <c r="K505">
        <v>1</v>
      </c>
      <c r="L505">
        <v>5</v>
      </c>
      <c r="M505">
        <v>2</v>
      </c>
      <c r="N505">
        <v>10</v>
      </c>
      <c r="O505">
        <v>8</v>
      </c>
      <c r="P505" t="s">
        <v>1050</v>
      </c>
    </row>
    <row r="506" spans="1:16" x14ac:dyDescent="0.3">
      <c r="A506" t="s">
        <v>534</v>
      </c>
      <c r="B506" t="s">
        <v>21</v>
      </c>
      <c r="C506" t="s">
        <v>17</v>
      </c>
      <c r="D506" s="1">
        <v>45957</v>
      </c>
      <c r="E506" s="1">
        <v>45960</v>
      </c>
      <c r="F506" s="1">
        <v>45962</v>
      </c>
      <c r="G506" s="1">
        <v>45964</v>
      </c>
      <c r="H506" t="s">
        <v>18</v>
      </c>
      <c r="I506" t="s">
        <v>19</v>
      </c>
      <c r="J506" s="1">
        <v>45992</v>
      </c>
      <c r="K506">
        <v>3</v>
      </c>
      <c r="L506">
        <v>2</v>
      </c>
      <c r="M506">
        <v>2</v>
      </c>
      <c r="N506">
        <v>1</v>
      </c>
      <c r="O506">
        <v>7</v>
      </c>
      <c r="P506" t="s">
        <v>1049</v>
      </c>
    </row>
    <row r="507" spans="1:16" x14ac:dyDescent="0.3">
      <c r="A507" t="s">
        <v>535</v>
      </c>
      <c r="B507" t="s">
        <v>23</v>
      </c>
      <c r="C507" t="s">
        <v>17</v>
      </c>
      <c r="D507" s="1">
        <v>45951</v>
      </c>
      <c r="E507" s="1">
        <v>45953</v>
      </c>
      <c r="F507" s="1">
        <v>45957</v>
      </c>
      <c r="G507" s="1">
        <v>45961</v>
      </c>
      <c r="H507" t="s">
        <v>18</v>
      </c>
      <c r="I507" t="s">
        <v>19</v>
      </c>
      <c r="J507" s="1">
        <v>45988</v>
      </c>
      <c r="K507">
        <v>2</v>
      </c>
      <c r="L507">
        <v>4</v>
      </c>
      <c r="M507">
        <v>4</v>
      </c>
      <c r="N507">
        <v>10</v>
      </c>
      <c r="O507">
        <v>10</v>
      </c>
      <c r="P507" t="s">
        <v>1050</v>
      </c>
    </row>
    <row r="508" spans="1:16" x14ac:dyDescent="0.3">
      <c r="A508" t="s">
        <v>536</v>
      </c>
      <c r="B508" t="s">
        <v>23</v>
      </c>
      <c r="C508" t="s">
        <v>17</v>
      </c>
      <c r="D508" s="1">
        <v>45935</v>
      </c>
      <c r="E508" s="1">
        <v>45938</v>
      </c>
      <c r="F508" s="1">
        <v>45940</v>
      </c>
      <c r="G508" s="1">
        <v>45943</v>
      </c>
      <c r="H508" t="s">
        <v>18</v>
      </c>
      <c r="I508" t="s">
        <v>19</v>
      </c>
      <c r="J508" s="1">
        <v>45964</v>
      </c>
      <c r="K508">
        <v>3</v>
      </c>
      <c r="L508">
        <v>2</v>
      </c>
      <c r="M508">
        <v>3</v>
      </c>
      <c r="N508">
        <v>5</v>
      </c>
      <c r="O508">
        <v>8</v>
      </c>
      <c r="P508" t="s">
        <v>1049</v>
      </c>
    </row>
    <row r="509" spans="1:16" x14ac:dyDescent="0.3">
      <c r="A509" t="s">
        <v>537</v>
      </c>
      <c r="B509" t="s">
        <v>34</v>
      </c>
      <c r="C509" t="s">
        <v>17</v>
      </c>
      <c r="D509" s="1">
        <v>45946</v>
      </c>
      <c r="E509" s="1">
        <v>45947</v>
      </c>
      <c r="F509" s="1">
        <v>45950</v>
      </c>
      <c r="G509" s="1">
        <v>45952</v>
      </c>
      <c r="H509" t="s">
        <v>18</v>
      </c>
      <c r="I509" t="s">
        <v>19</v>
      </c>
      <c r="J509" s="1">
        <v>45973</v>
      </c>
      <c r="K509">
        <v>1</v>
      </c>
      <c r="L509">
        <v>3</v>
      </c>
      <c r="M509">
        <v>2</v>
      </c>
      <c r="N509">
        <v>5</v>
      </c>
      <c r="O509">
        <v>6</v>
      </c>
      <c r="P509" t="s">
        <v>1049</v>
      </c>
    </row>
    <row r="510" spans="1:16" x14ac:dyDescent="0.3">
      <c r="A510" t="s">
        <v>538</v>
      </c>
      <c r="B510" t="s">
        <v>16</v>
      </c>
      <c r="C510" t="s">
        <v>24</v>
      </c>
      <c r="D510" s="1">
        <v>45961</v>
      </c>
      <c r="E510" s="1"/>
      <c r="F510" s="1"/>
      <c r="G510" s="1"/>
      <c r="H510" t="s">
        <v>25</v>
      </c>
      <c r="I510" t="s">
        <v>65</v>
      </c>
      <c r="J510" s="1"/>
    </row>
    <row r="511" spans="1:16" x14ac:dyDescent="0.3">
      <c r="A511" t="s">
        <v>539</v>
      </c>
      <c r="B511" t="s">
        <v>21</v>
      </c>
      <c r="C511" t="s">
        <v>17</v>
      </c>
      <c r="D511" s="1">
        <v>45932</v>
      </c>
      <c r="E511" s="1">
        <v>45933</v>
      </c>
      <c r="F511" s="1">
        <v>45936</v>
      </c>
      <c r="G511" s="1">
        <v>45938</v>
      </c>
      <c r="H511" t="s">
        <v>18</v>
      </c>
      <c r="I511" t="s">
        <v>19</v>
      </c>
      <c r="J511" s="1">
        <v>45953</v>
      </c>
      <c r="K511">
        <v>1</v>
      </c>
      <c r="L511">
        <v>3</v>
      </c>
      <c r="M511">
        <v>2</v>
      </c>
      <c r="N511">
        <v>7</v>
      </c>
      <c r="O511">
        <v>6</v>
      </c>
      <c r="P511" t="s">
        <v>1041</v>
      </c>
    </row>
    <row r="512" spans="1:16" x14ac:dyDescent="0.3">
      <c r="A512" t="s">
        <v>540</v>
      </c>
      <c r="B512" t="s">
        <v>16</v>
      </c>
      <c r="C512" t="s">
        <v>24</v>
      </c>
      <c r="D512" s="1">
        <v>45935</v>
      </c>
      <c r="E512" s="1"/>
      <c r="F512" s="1"/>
      <c r="G512" s="1"/>
      <c r="H512" t="s">
        <v>25</v>
      </c>
      <c r="I512" t="s">
        <v>35</v>
      </c>
      <c r="J512" s="1"/>
    </row>
    <row r="513" spans="1:16" x14ac:dyDescent="0.3">
      <c r="A513" t="s">
        <v>541</v>
      </c>
      <c r="B513" t="s">
        <v>16</v>
      </c>
      <c r="C513" t="s">
        <v>32</v>
      </c>
      <c r="D513" s="1">
        <v>45947</v>
      </c>
      <c r="E513" s="1">
        <v>45949</v>
      </c>
      <c r="F513" s="1">
        <v>45950</v>
      </c>
      <c r="G513" s="1">
        <v>45955</v>
      </c>
      <c r="H513" t="s">
        <v>18</v>
      </c>
      <c r="I513" t="s">
        <v>19</v>
      </c>
      <c r="J513" s="1">
        <v>45973</v>
      </c>
      <c r="K513">
        <v>2</v>
      </c>
      <c r="L513">
        <v>1</v>
      </c>
      <c r="M513">
        <v>5</v>
      </c>
      <c r="N513">
        <v>7</v>
      </c>
      <c r="O513">
        <v>8</v>
      </c>
      <c r="P513" t="s">
        <v>1041</v>
      </c>
    </row>
    <row r="514" spans="1:16" x14ac:dyDescent="0.3">
      <c r="A514" t="s">
        <v>542</v>
      </c>
      <c r="B514" t="s">
        <v>16</v>
      </c>
      <c r="C514" t="s">
        <v>24</v>
      </c>
      <c r="D514" s="1">
        <v>45961</v>
      </c>
      <c r="E514" s="1"/>
      <c r="F514" s="1"/>
      <c r="G514" s="1"/>
      <c r="H514" t="s">
        <v>25</v>
      </c>
      <c r="I514" t="s">
        <v>26</v>
      </c>
      <c r="J514" s="1"/>
    </row>
    <row r="515" spans="1:16" x14ac:dyDescent="0.3">
      <c r="A515" t="s">
        <v>543</v>
      </c>
      <c r="B515" t="s">
        <v>16</v>
      </c>
      <c r="C515" t="s">
        <v>17</v>
      </c>
      <c r="D515" s="1">
        <v>45949</v>
      </c>
      <c r="E515" s="1">
        <v>45953</v>
      </c>
      <c r="F515" s="1">
        <v>45955</v>
      </c>
      <c r="G515" s="1">
        <v>45961</v>
      </c>
      <c r="H515" t="s">
        <v>18</v>
      </c>
      <c r="I515" t="s">
        <v>19</v>
      </c>
      <c r="J515" s="1">
        <v>45973</v>
      </c>
      <c r="K515">
        <v>4</v>
      </c>
      <c r="L515">
        <v>2</v>
      </c>
      <c r="M515">
        <v>6</v>
      </c>
      <c r="N515">
        <v>3</v>
      </c>
      <c r="O515">
        <v>12</v>
      </c>
      <c r="P515" t="s">
        <v>1049</v>
      </c>
    </row>
    <row r="516" spans="1:16" x14ac:dyDescent="0.3">
      <c r="A516" t="s">
        <v>544</v>
      </c>
      <c r="B516" t="s">
        <v>23</v>
      </c>
      <c r="C516" t="s">
        <v>17</v>
      </c>
      <c r="D516" s="1">
        <v>45941</v>
      </c>
      <c r="E516" s="1">
        <v>45946</v>
      </c>
      <c r="F516" s="1">
        <v>45948</v>
      </c>
      <c r="G516" s="1">
        <v>45952</v>
      </c>
      <c r="H516" t="s">
        <v>18</v>
      </c>
      <c r="I516" t="s">
        <v>19</v>
      </c>
      <c r="J516" s="1">
        <v>45971</v>
      </c>
      <c r="K516">
        <v>5</v>
      </c>
      <c r="L516">
        <v>2</v>
      </c>
      <c r="M516">
        <v>4</v>
      </c>
      <c r="N516">
        <v>5</v>
      </c>
      <c r="O516">
        <v>11</v>
      </c>
      <c r="P516" t="s">
        <v>1049</v>
      </c>
    </row>
    <row r="517" spans="1:16" x14ac:dyDescent="0.3">
      <c r="A517" t="s">
        <v>545</v>
      </c>
      <c r="B517" t="s">
        <v>23</v>
      </c>
      <c r="C517" t="s">
        <v>32</v>
      </c>
      <c r="D517" s="1">
        <v>45958</v>
      </c>
      <c r="E517" s="1">
        <v>45962</v>
      </c>
      <c r="F517" s="1">
        <v>45963</v>
      </c>
      <c r="G517" s="1">
        <v>45970</v>
      </c>
      <c r="H517" t="s">
        <v>25</v>
      </c>
      <c r="I517" t="s">
        <v>26</v>
      </c>
      <c r="J517" s="1"/>
      <c r="K517">
        <v>4</v>
      </c>
      <c r="L517">
        <v>1</v>
      </c>
      <c r="M517">
        <v>7</v>
      </c>
      <c r="O517">
        <v>12</v>
      </c>
    </row>
    <row r="518" spans="1:16" x14ac:dyDescent="0.3">
      <c r="A518" t="s">
        <v>546</v>
      </c>
      <c r="B518" t="s">
        <v>16</v>
      </c>
      <c r="C518" t="s">
        <v>17</v>
      </c>
      <c r="D518" s="1">
        <v>45934</v>
      </c>
      <c r="E518" s="1">
        <v>45935</v>
      </c>
      <c r="F518" s="1">
        <v>45939</v>
      </c>
      <c r="G518" s="1">
        <v>45946</v>
      </c>
      <c r="H518" t="s">
        <v>18</v>
      </c>
      <c r="I518" t="s">
        <v>19</v>
      </c>
      <c r="J518" s="1">
        <v>45956</v>
      </c>
      <c r="K518">
        <v>1</v>
      </c>
      <c r="L518">
        <v>4</v>
      </c>
      <c r="M518">
        <v>7</v>
      </c>
      <c r="N518">
        <v>2</v>
      </c>
      <c r="O518">
        <v>12</v>
      </c>
      <c r="P518" t="s">
        <v>1049</v>
      </c>
    </row>
    <row r="519" spans="1:16" x14ac:dyDescent="0.3">
      <c r="A519" t="s">
        <v>547</v>
      </c>
      <c r="B519" t="s">
        <v>21</v>
      </c>
      <c r="C519" t="s">
        <v>32</v>
      </c>
      <c r="D519" s="1">
        <v>45958</v>
      </c>
      <c r="E519" s="1">
        <v>45959</v>
      </c>
      <c r="F519" s="1">
        <v>45961</v>
      </c>
      <c r="G519" s="1">
        <v>45967</v>
      </c>
      <c r="H519" t="s">
        <v>18</v>
      </c>
      <c r="I519" t="s">
        <v>19</v>
      </c>
      <c r="J519" s="1">
        <v>45989</v>
      </c>
      <c r="K519">
        <v>1</v>
      </c>
      <c r="L519">
        <v>2</v>
      </c>
      <c r="M519">
        <v>6</v>
      </c>
      <c r="N519">
        <v>1</v>
      </c>
      <c r="O519">
        <v>9</v>
      </c>
      <c r="P519" t="s">
        <v>1049</v>
      </c>
    </row>
    <row r="520" spans="1:16" x14ac:dyDescent="0.3">
      <c r="A520" t="s">
        <v>548</v>
      </c>
      <c r="B520" t="s">
        <v>34</v>
      </c>
      <c r="C520" t="s">
        <v>32</v>
      </c>
      <c r="D520" s="1">
        <v>45958</v>
      </c>
      <c r="E520" s="1">
        <v>45962</v>
      </c>
      <c r="F520" s="1">
        <v>45967</v>
      </c>
      <c r="G520" s="1">
        <v>45972</v>
      </c>
      <c r="H520" t="s">
        <v>18</v>
      </c>
      <c r="I520" t="s">
        <v>19</v>
      </c>
      <c r="J520" s="1">
        <v>45983</v>
      </c>
      <c r="K520">
        <v>4</v>
      </c>
      <c r="L520">
        <v>5</v>
      </c>
      <c r="M520">
        <v>5</v>
      </c>
      <c r="N520">
        <v>10</v>
      </c>
      <c r="O520">
        <v>14</v>
      </c>
      <c r="P520" t="s">
        <v>1050</v>
      </c>
    </row>
    <row r="521" spans="1:16" x14ac:dyDescent="0.3">
      <c r="A521" t="s">
        <v>549</v>
      </c>
      <c r="B521" t="s">
        <v>21</v>
      </c>
      <c r="C521" t="s">
        <v>17</v>
      </c>
      <c r="D521" s="1">
        <v>45945</v>
      </c>
      <c r="E521" s="1">
        <v>45950</v>
      </c>
      <c r="F521" s="1">
        <v>45952</v>
      </c>
      <c r="G521" s="1">
        <v>45957</v>
      </c>
      <c r="H521" t="s">
        <v>18</v>
      </c>
      <c r="I521" t="s">
        <v>19</v>
      </c>
      <c r="J521" s="1">
        <v>45972</v>
      </c>
      <c r="K521">
        <v>5</v>
      </c>
      <c r="L521">
        <v>2</v>
      </c>
      <c r="M521">
        <v>5</v>
      </c>
      <c r="N521">
        <v>6</v>
      </c>
      <c r="O521">
        <v>12</v>
      </c>
      <c r="P521" t="s">
        <v>1049</v>
      </c>
    </row>
    <row r="522" spans="1:16" x14ac:dyDescent="0.3">
      <c r="A522" t="s">
        <v>550</v>
      </c>
      <c r="B522" t="s">
        <v>21</v>
      </c>
      <c r="C522" t="s">
        <v>17</v>
      </c>
      <c r="D522" s="1">
        <v>45934</v>
      </c>
      <c r="E522" s="1">
        <v>45939</v>
      </c>
      <c r="F522" s="1">
        <v>45943</v>
      </c>
      <c r="G522" s="1">
        <v>45950</v>
      </c>
      <c r="H522" t="s">
        <v>18</v>
      </c>
      <c r="I522" t="s">
        <v>19</v>
      </c>
      <c r="J522" s="1">
        <v>45978</v>
      </c>
      <c r="K522">
        <v>5</v>
      </c>
      <c r="L522">
        <v>4</v>
      </c>
      <c r="M522">
        <v>7</v>
      </c>
      <c r="N522">
        <v>7</v>
      </c>
      <c r="O522">
        <v>16</v>
      </c>
      <c r="P522" t="s">
        <v>1041</v>
      </c>
    </row>
    <row r="523" spans="1:16" x14ac:dyDescent="0.3">
      <c r="A523" t="s">
        <v>551</v>
      </c>
      <c r="B523" t="s">
        <v>21</v>
      </c>
      <c r="C523" t="s">
        <v>17</v>
      </c>
      <c r="D523" s="1">
        <v>45947</v>
      </c>
      <c r="E523" s="1">
        <v>45948</v>
      </c>
      <c r="F523" s="1">
        <v>45950</v>
      </c>
      <c r="G523" s="1">
        <v>45955</v>
      </c>
      <c r="H523" t="s">
        <v>18</v>
      </c>
      <c r="I523" t="s">
        <v>19</v>
      </c>
      <c r="J523" s="1">
        <v>45971</v>
      </c>
      <c r="K523">
        <v>1</v>
      </c>
      <c r="L523">
        <v>2</v>
      </c>
      <c r="M523">
        <v>5</v>
      </c>
      <c r="N523">
        <v>4</v>
      </c>
      <c r="O523">
        <v>8</v>
      </c>
      <c r="P523" t="s">
        <v>1049</v>
      </c>
    </row>
    <row r="524" spans="1:16" x14ac:dyDescent="0.3">
      <c r="A524" t="s">
        <v>552</v>
      </c>
      <c r="B524" t="s">
        <v>16</v>
      </c>
      <c r="C524" t="s">
        <v>24</v>
      </c>
      <c r="D524" s="1">
        <v>45960</v>
      </c>
      <c r="E524" s="1"/>
      <c r="F524" s="1"/>
      <c r="G524" s="1"/>
      <c r="H524" t="s">
        <v>25</v>
      </c>
      <c r="I524" t="s">
        <v>103</v>
      </c>
      <c r="J524" s="1"/>
    </row>
    <row r="525" spans="1:16" x14ac:dyDescent="0.3">
      <c r="A525" t="s">
        <v>553</v>
      </c>
      <c r="B525" t="s">
        <v>23</v>
      </c>
      <c r="C525" t="s">
        <v>17</v>
      </c>
      <c r="D525" s="1">
        <v>45945</v>
      </c>
      <c r="E525" s="1">
        <v>45950</v>
      </c>
      <c r="F525" s="1">
        <v>45955</v>
      </c>
      <c r="G525" s="1">
        <v>45957</v>
      </c>
      <c r="H525" t="s">
        <v>18</v>
      </c>
      <c r="I525" t="s">
        <v>19</v>
      </c>
      <c r="J525" s="1">
        <v>45974</v>
      </c>
      <c r="K525">
        <v>5</v>
      </c>
      <c r="L525">
        <v>5</v>
      </c>
      <c r="M525">
        <v>2</v>
      </c>
      <c r="N525">
        <v>4</v>
      </c>
      <c r="O525">
        <v>12</v>
      </c>
      <c r="P525" t="s">
        <v>1049</v>
      </c>
    </row>
    <row r="526" spans="1:16" x14ac:dyDescent="0.3">
      <c r="A526" t="s">
        <v>554</v>
      </c>
      <c r="B526" t="s">
        <v>21</v>
      </c>
      <c r="C526" t="s">
        <v>17</v>
      </c>
      <c r="D526" s="1">
        <v>45931</v>
      </c>
      <c r="E526" s="1">
        <v>45936</v>
      </c>
      <c r="F526" s="1">
        <v>45939</v>
      </c>
      <c r="G526" s="1">
        <v>45946</v>
      </c>
      <c r="H526" t="s">
        <v>18</v>
      </c>
      <c r="I526" t="s">
        <v>19</v>
      </c>
      <c r="J526" s="1">
        <v>45976</v>
      </c>
      <c r="K526">
        <v>5</v>
      </c>
      <c r="L526">
        <v>3</v>
      </c>
      <c r="M526">
        <v>7</v>
      </c>
      <c r="N526">
        <v>8</v>
      </c>
      <c r="O526">
        <v>15</v>
      </c>
      <c r="P526" t="s">
        <v>1041</v>
      </c>
    </row>
    <row r="527" spans="1:16" x14ac:dyDescent="0.3">
      <c r="A527" t="s">
        <v>555</v>
      </c>
      <c r="B527" t="s">
        <v>16</v>
      </c>
      <c r="C527" t="s">
        <v>32</v>
      </c>
      <c r="D527" s="1">
        <v>45954</v>
      </c>
      <c r="E527" s="1">
        <v>45956</v>
      </c>
      <c r="F527" s="1">
        <v>45959</v>
      </c>
      <c r="G527" s="1">
        <v>45965</v>
      </c>
      <c r="H527" t="s">
        <v>18</v>
      </c>
      <c r="I527" t="s">
        <v>19</v>
      </c>
      <c r="J527" s="1">
        <v>45982</v>
      </c>
      <c r="K527">
        <v>2</v>
      </c>
      <c r="L527">
        <v>3</v>
      </c>
      <c r="M527">
        <v>6</v>
      </c>
      <c r="N527">
        <v>8</v>
      </c>
      <c r="O527">
        <v>11</v>
      </c>
      <c r="P527" t="s">
        <v>1041</v>
      </c>
    </row>
    <row r="528" spans="1:16" x14ac:dyDescent="0.3">
      <c r="A528" t="s">
        <v>556</v>
      </c>
      <c r="B528" t="s">
        <v>21</v>
      </c>
      <c r="C528" t="s">
        <v>17</v>
      </c>
      <c r="D528" s="1">
        <v>45935</v>
      </c>
      <c r="E528" s="1">
        <v>45937</v>
      </c>
      <c r="F528" s="1">
        <v>45941</v>
      </c>
      <c r="G528" s="1">
        <v>45947</v>
      </c>
      <c r="H528" t="s">
        <v>18</v>
      </c>
      <c r="I528" t="s">
        <v>19</v>
      </c>
      <c r="J528" s="1">
        <v>45963</v>
      </c>
      <c r="K528">
        <v>2</v>
      </c>
      <c r="L528">
        <v>4</v>
      </c>
      <c r="M528">
        <v>6</v>
      </c>
      <c r="N528">
        <v>6</v>
      </c>
      <c r="O528">
        <v>12</v>
      </c>
      <c r="P528" t="s">
        <v>1049</v>
      </c>
    </row>
    <row r="529" spans="1:16" x14ac:dyDescent="0.3">
      <c r="A529" t="s">
        <v>557</v>
      </c>
      <c r="B529" t="s">
        <v>21</v>
      </c>
      <c r="C529" t="s">
        <v>17</v>
      </c>
      <c r="D529" s="1">
        <v>45944</v>
      </c>
      <c r="E529" s="1">
        <v>45947</v>
      </c>
      <c r="F529" s="1">
        <v>45951</v>
      </c>
      <c r="G529" s="1">
        <v>45957</v>
      </c>
      <c r="H529" t="s">
        <v>18</v>
      </c>
      <c r="I529" t="s">
        <v>19</v>
      </c>
      <c r="J529" s="1">
        <v>45975</v>
      </c>
      <c r="K529">
        <v>3</v>
      </c>
      <c r="L529">
        <v>4</v>
      </c>
      <c r="M529">
        <v>6</v>
      </c>
      <c r="N529">
        <v>4</v>
      </c>
      <c r="O529">
        <v>13</v>
      </c>
      <c r="P529" t="s">
        <v>1049</v>
      </c>
    </row>
    <row r="530" spans="1:16" x14ac:dyDescent="0.3">
      <c r="A530" t="s">
        <v>558</v>
      </c>
      <c r="B530" t="s">
        <v>16</v>
      </c>
      <c r="C530" t="s">
        <v>24</v>
      </c>
      <c r="D530" s="1">
        <v>45958</v>
      </c>
      <c r="E530" s="1"/>
      <c r="F530" s="1"/>
      <c r="G530" s="1"/>
      <c r="H530" t="s">
        <v>25</v>
      </c>
      <c r="I530" t="s">
        <v>65</v>
      </c>
      <c r="J530" s="1"/>
    </row>
    <row r="531" spans="1:16" x14ac:dyDescent="0.3">
      <c r="A531" t="s">
        <v>559</v>
      </c>
      <c r="B531" t="s">
        <v>23</v>
      </c>
      <c r="C531" t="s">
        <v>24</v>
      </c>
      <c r="D531" s="1">
        <v>45951</v>
      </c>
      <c r="E531" s="1"/>
      <c r="F531" s="1"/>
      <c r="G531" s="1"/>
      <c r="H531" t="s">
        <v>25</v>
      </c>
      <c r="I531" t="s">
        <v>28</v>
      </c>
      <c r="J531" s="1"/>
    </row>
    <row r="532" spans="1:16" x14ac:dyDescent="0.3">
      <c r="A532" t="s">
        <v>560</v>
      </c>
      <c r="B532" t="s">
        <v>23</v>
      </c>
      <c r="C532" t="s">
        <v>17</v>
      </c>
      <c r="D532" s="1">
        <v>45935</v>
      </c>
      <c r="E532" s="1">
        <v>45939</v>
      </c>
      <c r="F532" s="1">
        <v>45944</v>
      </c>
      <c r="G532" s="1">
        <v>45947</v>
      </c>
      <c r="H532" t="s">
        <v>18</v>
      </c>
      <c r="I532" t="s">
        <v>19</v>
      </c>
      <c r="J532" s="1">
        <v>45977</v>
      </c>
      <c r="K532">
        <v>4</v>
      </c>
      <c r="L532">
        <v>5</v>
      </c>
      <c r="M532">
        <v>3</v>
      </c>
      <c r="N532">
        <v>2</v>
      </c>
      <c r="O532">
        <v>12</v>
      </c>
      <c r="P532" t="s">
        <v>1049</v>
      </c>
    </row>
    <row r="533" spans="1:16" x14ac:dyDescent="0.3">
      <c r="A533" t="s">
        <v>561</v>
      </c>
      <c r="B533" t="s">
        <v>34</v>
      </c>
      <c r="C533" t="s">
        <v>32</v>
      </c>
      <c r="D533" s="1">
        <v>45933</v>
      </c>
      <c r="E533" s="1">
        <v>45934</v>
      </c>
      <c r="F533" s="1">
        <v>45937</v>
      </c>
      <c r="G533" s="1">
        <v>45941</v>
      </c>
      <c r="H533" t="s">
        <v>18</v>
      </c>
      <c r="I533" t="s">
        <v>19</v>
      </c>
      <c r="J533" s="1">
        <v>45964</v>
      </c>
      <c r="K533">
        <v>1</v>
      </c>
      <c r="L533">
        <v>3</v>
      </c>
      <c r="M533">
        <v>4</v>
      </c>
      <c r="N533">
        <v>2</v>
      </c>
      <c r="O533">
        <v>8</v>
      </c>
      <c r="P533" t="s">
        <v>1049</v>
      </c>
    </row>
    <row r="534" spans="1:16" x14ac:dyDescent="0.3">
      <c r="A534" t="s">
        <v>562</v>
      </c>
      <c r="B534" t="s">
        <v>16</v>
      </c>
      <c r="C534" t="s">
        <v>24</v>
      </c>
      <c r="D534" s="1">
        <v>45946</v>
      </c>
      <c r="E534" s="1"/>
      <c r="F534" s="1"/>
      <c r="G534" s="1"/>
      <c r="H534" t="s">
        <v>25</v>
      </c>
      <c r="I534" t="s">
        <v>28</v>
      </c>
      <c r="J534" s="1"/>
    </row>
    <row r="535" spans="1:16" x14ac:dyDescent="0.3">
      <c r="A535" t="s">
        <v>563</v>
      </c>
      <c r="B535" t="s">
        <v>34</v>
      </c>
      <c r="C535" t="s">
        <v>17</v>
      </c>
      <c r="D535" s="1">
        <v>45956</v>
      </c>
      <c r="E535" s="1">
        <v>45961</v>
      </c>
      <c r="F535" s="1">
        <v>45964</v>
      </c>
      <c r="G535" s="1">
        <v>45966</v>
      </c>
      <c r="H535" t="s">
        <v>18</v>
      </c>
      <c r="I535" t="s">
        <v>19</v>
      </c>
      <c r="J535" s="1">
        <v>45992</v>
      </c>
      <c r="K535">
        <v>5</v>
      </c>
      <c r="L535">
        <v>3</v>
      </c>
      <c r="M535">
        <v>2</v>
      </c>
      <c r="N535">
        <v>1</v>
      </c>
      <c r="O535">
        <v>10</v>
      </c>
      <c r="P535" t="s">
        <v>1049</v>
      </c>
    </row>
    <row r="536" spans="1:16" x14ac:dyDescent="0.3">
      <c r="A536" t="s">
        <v>564</v>
      </c>
      <c r="B536" t="s">
        <v>34</v>
      </c>
      <c r="C536" t="s">
        <v>32</v>
      </c>
      <c r="D536" s="1">
        <v>45939</v>
      </c>
      <c r="E536" s="1">
        <v>45942</v>
      </c>
      <c r="F536" s="1">
        <v>45945</v>
      </c>
      <c r="G536" s="1">
        <v>45949</v>
      </c>
      <c r="H536" t="s">
        <v>18</v>
      </c>
      <c r="I536" t="s">
        <v>19</v>
      </c>
      <c r="J536" s="1">
        <v>45959</v>
      </c>
      <c r="K536">
        <v>3</v>
      </c>
      <c r="L536">
        <v>3</v>
      </c>
      <c r="M536">
        <v>4</v>
      </c>
      <c r="N536">
        <v>0</v>
      </c>
      <c r="O536">
        <v>10</v>
      </c>
      <c r="P536" t="s">
        <v>1049</v>
      </c>
    </row>
    <row r="537" spans="1:16" x14ac:dyDescent="0.3">
      <c r="A537" t="s">
        <v>565</v>
      </c>
      <c r="B537" t="s">
        <v>34</v>
      </c>
      <c r="C537" t="s">
        <v>32</v>
      </c>
      <c r="D537" s="1">
        <v>45941</v>
      </c>
      <c r="E537" s="1">
        <v>45943</v>
      </c>
      <c r="F537" s="1">
        <v>45946</v>
      </c>
      <c r="G537" s="1">
        <v>45948</v>
      </c>
      <c r="H537" t="s">
        <v>25</v>
      </c>
      <c r="I537" t="s">
        <v>65</v>
      </c>
      <c r="J537" s="1"/>
      <c r="K537">
        <v>2</v>
      </c>
      <c r="L537">
        <v>3</v>
      </c>
      <c r="M537">
        <v>2</v>
      </c>
      <c r="O537">
        <v>7</v>
      </c>
    </row>
    <row r="538" spans="1:16" x14ac:dyDescent="0.3">
      <c r="A538" t="s">
        <v>566</v>
      </c>
      <c r="B538" t="s">
        <v>23</v>
      </c>
      <c r="C538" t="s">
        <v>17</v>
      </c>
      <c r="D538" s="1">
        <v>45950</v>
      </c>
      <c r="E538" s="1">
        <v>45955</v>
      </c>
      <c r="F538" s="1">
        <v>45960</v>
      </c>
      <c r="G538" s="1">
        <v>45966</v>
      </c>
      <c r="H538" t="s">
        <v>18</v>
      </c>
      <c r="I538" t="s">
        <v>19</v>
      </c>
      <c r="J538" s="1">
        <v>45976</v>
      </c>
      <c r="K538">
        <v>5</v>
      </c>
      <c r="L538">
        <v>5</v>
      </c>
      <c r="M538">
        <v>6</v>
      </c>
      <c r="N538">
        <v>0</v>
      </c>
      <c r="O538">
        <v>16</v>
      </c>
      <c r="P538" t="s">
        <v>1049</v>
      </c>
    </row>
    <row r="539" spans="1:16" x14ac:dyDescent="0.3">
      <c r="A539" t="s">
        <v>567</v>
      </c>
      <c r="B539" t="s">
        <v>16</v>
      </c>
      <c r="C539" t="s">
        <v>32</v>
      </c>
      <c r="D539" s="1">
        <v>45953</v>
      </c>
      <c r="E539" s="1">
        <v>45957</v>
      </c>
      <c r="F539" s="1">
        <v>45961</v>
      </c>
      <c r="G539" s="1">
        <v>45964</v>
      </c>
      <c r="H539" t="s">
        <v>18</v>
      </c>
      <c r="I539" t="s">
        <v>19</v>
      </c>
      <c r="J539" s="1">
        <v>45989</v>
      </c>
      <c r="K539">
        <v>4</v>
      </c>
      <c r="L539">
        <v>4</v>
      </c>
      <c r="M539">
        <v>3</v>
      </c>
      <c r="N539">
        <v>3</v>
      </c>
      <c r="O539">
        <v>11</v>
      </c>
      <c r="P539" t="s">
        <v>1049</v>
      </c>
    </row>
    <row r="540" spans="1:16" x14ac:dyDescent="0.3">
      <c r="A540" t="s">
        <v>568</v>
      </c>
      <c r="B540" t="s">
        <v>34</v>
      </c>
      <c r="C540" t="s">
        <v>24</v>
      </c>
      <c r="D540" s="1">
        <v>45943</v>
      </c>
      <c r="E540" s="1"/>
      <c r="F540" s="1"/>
      <c r="G540" s="1"/>
      <c r="H540" t="s">
        <v>25</v>
      </c>
      <c r="I540" t="s">
        <v>28</v>
      </c>
      <c r="J540" s="1"/>
    </row>
    <row r="541" spans="1:16" x14ac:dyDescent="0.3">
      <c r="A541" t="s">
        <v>569</v>
      </c>
      <c r="B541" t="s">
        <v>16</v>
      </c>
      <c r="C541" t="s">
        <v>17</v>
      </c>
      <c r="D541" s="1">
        <v>45951</v>
      </c>
      <c r="E541" s="1">
        <v>45953</v>
      </c>
      <c r="F541" s="1">
        <v>45957</v>
      </c>
      <c r="G541" s="1">
        <v>45960</v>
      </c>
      <c r="H541" t="s">
        <v>25</v>
      </c>
      <c r="I541" t="s">
        <v>103</v>
      </c>
      <c r="J541" s="1"/>
      <c r="K541">
        <v>2</v>
      </c>
      <c r="L541">
        <v>4</v>
      </c>
      <c r="M541">
        <v>3</v>
      </c>
      <c r="O541">
        <v>9</v>
      </c>
    </row>
    <row r="542" spans="1:16" x14ac:dyDescent="0.3">
      <c r="A542" t="s">
        <v>570</v>
      </c>
      <c r="B542" t="s">
        <v>16</v>
      </c>
      <c r="C542" t="s">
        <v>32</v>
      </c>
      <c r="D542" s="1">
        <v>45933</v>
      </c>
      <c r="E542" s="1">
        <v>45934</v>
      </c>
      <c r="F542" s="1">
        <v>45935</v>
      </c>
      <c r="G542" s="1">
        <v>45941</v>
      </c>
      <c r="H542" t="s">
        <v>18</v>
      </c>
      <c r="I542" t="s">
        <v>19</v>
      </c>
      <c r="J542" s="1">
        <v>45955</v>
      </c>
      <c r="K542">
        <v>1</v>
      </c>
      <c r="L542">
        <v>1</v>
      </c>
      <c r="M542">
        <v>6</v>
      </c>
      <c r="N542">
        <v>9</v>
      </c>
      <c r="O542">
        <v>8</v>
      </c>
      <c r="P542" t="s">
        <v>1050</v>
      </c>
    </row>
    <row r="543" spans="1:16" x14ac:dyDescent="0.3">
      <c r="A543" t="s">
        <v>571</v>
      </c>
      <c r="B543" t="s">
        <v>23</v>
      </c>
      <c r="C543" t="s">
        <v>24</v>
      </c>
      <c r="D543" s="1">
        <v>45958</v>
      </c>
      <c r="E543" s="1"/>
      <c r="F543" s="1"/>
      <c r="G543" s="1"/>
      <c r="H543" t="s">
        <v>25</v>
      </c>
      <c r="I543" t="s">
        <v>103</v>
      </c>
      <c r="J543" s="1"/>
    </row>
    <row r="544" spans="1:16" x14ac:dyDescent="0.3">
      <c r="A544" t="s">
        <v>572</v>
      </c>
      <c r="B544" t="s">
        <v>34</v>
      </c>
      <c r="C544" t="s">
        <v>17</v>
      </c>
      <c r="D544" s="1">
        <v>45941</v>
      </c>
      <c r="E544" s="1">
        <v>45946</v>
      </c>
      <c r="F544" s="1">
        <v>45950</v>
      </c>
      <c r="G544" s="1">
        <v>45954</v>
      </c>
      <c r="H544" t="s">
        <v>18</v>
      </c>
      <c r="I544" t="s">
        <v>19</v>
      </c>
      <c r="J544" s="1">
        <v>45984</v>
      </c>
      <c r="K544">
        <v>5</v>
      </c>
      <c r="L544">
        <v>4</v>
      </c>
      <c r="M544">
        <v>4</v>
      </c>
      <c r="N544">
        <v>9</v>
      </c>
      <c r="O544">
        <v>13</v>
      </c>
      <c r="P544" t="s">
        <v>1050</v>
      </c>
    </row>
    <row r="545" spans="1:16" x14ac:dyDescent="0.3">
      <c r="A545" t="s">
        <v>573</v>
      </c>
      <c r="B545" t="s">
        <v>34</v>
      </c>
      <c r="C545" t="s">
        <v>17</v>
      </c>
      <c r="D545" s="1">
        <v>45958</v>
      </c>
      <c r="E545" s="1">
        <v>45961</v>
      </c>
      <c r="F545" s="1">
        <v>45964</v>
      </c>
      <c r="G545" s="1">
        <v>45969</v>
      </c>
      <c r="H545" t="s">
        <v>18</v>
      </c>
      <c r="I545" t="s">
        <v>19</v>
      </c>
      <c r="J545" s="1">
        <v>45984</v>
      </c>
      <c r="K545">
        <v>3</v>
      </c>
      <c r="L545">
        <v>3</v>
      </c>
      <c r="M545">
        <v>5</v>
      </c>
      <c r="N545">
        <v>4</v>
      </c>
      <c r="O545">
        <v>11</v>
      </c>
      <c r="P545" t="s">
        <v>1049</v>
      </c>
    </row>
    <row r="546" spans="1:16" x14ac:dyDescent="0.3">
      <c r="A546" t="s">
        <v>574</v>
      </c>
      <c r="B546" t="s">
        <v>16</v>
      </c>
      <c r="C546" t="s">
        <v>32</v>
      </c>
      <c r="D546" s="1">
        <v>45952</v>
      </c>
      <c r="E546" s="1">
        <v>45953</v>
      </c>
      <c r="F546" s="1">
        <v>45955</v>
      </c>
      <c r="G546" s="1">
        <v>45961</v>
      </c>
      <c r="H546" t="s">
        <v>18</v>
      </c>
      <c r="I546" t="s">
        <v>19</v>
      </c>
      <c r="J546" s="1">
        <v>45990</v>
      </c>
      <c r="K546">
        <v>1</v>
      </c>
      <c r="L546">
        <v>2</v>
      </c>
      <c r="M546">
        <v>6</v>
      </c>
      <c r="N546">
        <v>1</v>
      </c>
      <c r="O546">
        <v>9</v>
      </c>
      <c r="P546" t="s">
        <v>1049</v>
      </c>
    </row>
    <row r="547" spans="1:16" x14ac:dyDescent="0.3">
      <c r="A547" t="s">
        <v>575</v>
      </c>
      <c r="B547" t="s">
        <v>21</v>
      </c>
      <c r="C547" t="s">
        <v>32</v>
      </c>
      <c r="D547" s="1">
        <v>45958</v>
      </c>
      <c r="E547" s="1">
        <v>45963</v>
      </c>
      <c r="F547" s="1">
        <v>45966</v>
      </c>
      <c r="G547" s="1">
        <v>45973</v>
      </c>
      <c r="H547" t="s">
        <v>18</v>
      </c>
      <c r="I547" t="s">
        <v>19</v>
      </c>
      <c r="J547" s="1">
        <v>45983</v>
      </c>
      <c r="K547">
        <v>5</v>
      </c>
      <c r="L547">
        <v>3</v>
      </c>
      <c r="M547">
        <v>7</v>
      </c>
      <c r="N547">
        <v>6</v>
      </c>
      <c r="O547">
        <v>15</v>
      </c>
      <c r="P547" t="s">
        <v>1049</v>
      </c>
    </row>
    <row r="548" spans="1:16" x14ac:dyDescent="0.3">
      <c r="A548" t="s">
        <v>576</v>
      </c>
      <c r="B548" t="s">
        <v>23</v>
      </c>
      <c r="C548" t="s">
        <v>17</v>
      </c>
      <c r="D548" s="1">
        <v>45948</v>
      </c>
      <c r="E548" s="1">
        <v>45953</v>
      </c>
      <c r="F548" s="1">
        <v>45956</v>
      </c>
      <c r="G548" s="1">
        <v>45963</v>
      </c>
      <c r="H548" t="s">
        <v>18</v>
      </c>
      <c r="I548" t="s">
        <v>19</v>
      </c>
      <c r="J548" s="1">
        <v>45980</v>
      </c>
      <c r="K548">
        <v>5</v>
      </c>
      <c r="L548">
        <v>3</v>
      </c>
      <c r="M548">
        <v>7</v>
      </c>
      <c r="N548">
        <v>3</v>
      </c>
      <c r="O548">
        <v>15</v>
      </c>
      <c r="P548" t="s">
        <v>1049</v>
      </c>
    </row>
    <row r="549" spans="1:16" x14ac:dyDescent="0.3">
      <c r="A549" t="s">
        <v>577</v>
      </c>
      <c r="B549" t="s">
        <v>23</v>
      </c>
      <c r="C549" t="s">
        <v>17</v>
      </c>
      <c r="D549" s="1">
        <v>45943</v>
      </c>
      <c r="E549" s="1">
        <v>45948</v>
      </c>
      <c r="F549" s="1">
        <v>45952</v>
      </c>
      <c r="G549" s="1">
        <v>45959</v>
      </c>
      <c r="H549" t="s">
        <v>18</v>
      </c>
      <c r="I549" t="s">
        <v>19</v>
      </c>
      <c r="J549" s="1">
        <v>45977</v>
      </c>
      <c r="K549">
        <v>5</v>
      </c>
      <c r="L549">
        <v>4</v>
      </c>
      <c r="M549">
        <v>7</v>
      </c>
      <c r="N549">
        <v>4</v>
      </c>
      <c r="O549">
        <v>16</v>
      </c>
      <c r="P549" t="s">
        <v>1049</v>
      </c>
    </row>
    <row r="550" spans="1:16" x14ac:dyDescent="0.3">
      <c r="A550" t="s">
        <v>578</v>
      </c>
      <c r="B550" t="s">
        <v>23</v>
      </c>
      <c r="C550" t="s">
        <v>17</v>
      </c>
      <c r="D550" s="1">
        <v>45961</v>
      </c>
      <c r="E550" s="1">
        <v>45966</v>
      </c>
      <c r="F550" s="1">
        <v>45967</v>
      </c>
      <c r="G550" s="1">
        <v>45974</v>
      </c>
      <c r="H550" t="s">
        <v>18</v>
      </c>
      <c r="I550" t="s">
        <v>19</v>
      </c>
      <c r="J550" s="1">
        <v>46003</v>
      </c>
      <c r="K550">
        <v>5</v>
      </c>
      <c r="L550">
        <v>1</v>
      </c>
      <c r="M550">
        <v>7</v>
      </c>
      <c r="N550">
        <v>6</v>
      </c>
      <c r="O550">
        <v>13</v>
      </c>
      <c r="P550" t="s">
        <v>1049</v>
      </c>
    </row>
    <row r="551" spans="1:16" x14ac:dyDescent="0.3">
      <c r="A551" t="s">
        <v>579</v>
      </c>
      <c r="B551" t="s">
        <v>23</v>
      </c>
      <c r="C551" t="s">
        <v>17</v>
      </c>
      <c r="D551" s="1">
        <v>45941</v>
      </c>
      <c r="E551" s="1">
        <v>45946</v>
      </c>
      <c r="F551" s="1">
        <v>45951</v>
      </c>
      <c r="G551" s="1">
        <v>45953</v>
      </c>
      <c r="H551" t="s">
        <v>18</v>
      </c>
      <c r="I551" t="s">
        <v>19</v>
      </c>
      <c r="J551" s="1">
        <v>45972</v>
      </c>
      <c r="K551">
        <v>5</v>
      </c>
      <c r="L551">
        <v>5</v>
      </c>
      <c r="M551">
        <v>2</v>
      </c>
      <c r="N551">
        <v>5</v>
      </c>
      <c r="O551">
        <v>12</v>
      </c>
      <c r="P551" t="s">
        <v>1049</v>
      </c>
    </row>
    <row r="552" spans="1:16" x14ac:dyDescent="0.3">
      <c r="A552" t="s">
        <v>580</v>
      </c>
      <c r="B552" t="s">
        <v>34</v>
      </c>
      <c r="C552" t="s">
        <v>17</v>
      </c>
      <c r="D552" s="1">
        <v>45951</v>
      </c>
      <c r="E552" s="1">
        <v>45952</v>
      </c>
      <c r="F552" s="1">
        <v>45954</v>
      </c>
      <c r="G552" s="1">
        <v>45958</v>
      </c>
      <c r="H552" t="s">
        <v>18</v>
      </c>
      <c r="I552" t="s">
        <v>19</v>
      </c>
      <c r="J552" s="1">
        <v>45988</v>
      </c>
      <c r="K552">
        <v>1</v>
      </c>
      <c r="L552">
        <v>2</v>
      </c>
      <c r="M552">
        <v>4</v>
      </c>
      <c r="N552">
        <v>3</v>
      </c>
      <c r="O552">
        <v>7</v>
      </c>
      <c r="P552" t="s">
        <v>1049</v>
      </c>
    </row>
    <row r="553" spans="1:16" x14ac:dyDescent="0.3">
      <c r="A553" t="s">
        <v>581</v>
      </c>
      <c r="B553" t="s">
        <v>34</v>
      </c>
      <c r="C553" t="s">
        <v>32</v>
      </c>
      <c r="D553" s="1">
        <v>45953</v>
      </c>
      <c r="E553" s="1">
        <v>45957</v>
      </c>
      <c r="F553" s="1">
        <v>45959</v>
      </c>
      <c r="G553" s="1">
        <v>45966</v>
      </c>
      <c r="H553" t="s">
        <v>18</v>
      </c>
      <c r="I553" t="s">
        <v>19</v>
      </c>
      <c r="J553" s="1">
        <v>45984</v>
      </c>
      <c r="K553">
        <v>4</v>
      </c>
      <c r="L553">
        <v>2</v>
      </c>
      <c r="M553">
        <v>7</v>
      </c>
      <c r="N553">
        <v>3</v>
      </c>
      <c r="O553">
        <v>13</v>
      </c>
      <c r="P553" t="s">
        <v>1049</v>
      </c>
    </row>
    <row r="554" spans="1:16" x14ac:dyDescent="0.3">
      <c r="A554" t="s">
        <v>582</v>
      </c>
      <c r="B554" t="s">
        <v>21</v>
      </c>
      <c r="C554" t="s">
        <v>17</v>
      </c>
      <c r="D554" s="1">
        <v>45959</v>
      </c>
      <c r="E554" s="1">
        <v>45963</v>
      </c>
      <c r="F554" s="1">
        <v>45964</v>
      </c>
      <c r="G554" s="1">
        <v>45969</v>
      </c>
      <c r="H554" t="s">
        <v>18</v>
      </c>
      <c r="I554" t="s">
        <v>19</v>
      </c>
      <c r="J554" s="1">
        <v>45992</v>
      </c>
      <c r="K554">
        <v>4</v>
      </c>
      <c r="L554">
        <v>1</v>
      </c>
      <c r="M554">
        <v>5</v>
      </c>
      <c r="N554">
        <v>9</v>
      </c>
      <c r="O554">
        <v>10</v>
      </c>
      <c r="P554" t="s">
        <v>1050</v>
      </c>
    </row>
    <row r="555" spans="1:16" x14ac:dyDescent="0.3">
      <c r="A555" t="s">
        <v>583</v>
      </c>
      <c r="B555" t="s">
        <v>23</v>
      </c>
      <c r="C555" t="s">
        <v>24</v>
      </c>
      <c r="D555" s="1">
        <v>45955</v>
      </c>
      <c r="E555" s="1"/>
      <c r="F555" s="1"/>
      <c r="G555" s="1"/>
      <c r="H555" t="s">
        <v>25</v>
      </c>
      <c r="I555" t="s">
        <v>65</v>
      </c>
      <c r="J555" s="1"/>
    </row>
    <row r="556" spans="1:16" x14ac:dyDescent="0.3">
      <c r="A556" t="s">
        <v>584</v>
      </c>
      <c r="B556" t="s">
        <v>23</v>
      </c>
      <c r="C556" t="s">
        <v>17</v>
      </c>
      <c r="D556" s="1">
        <v>45946</v>
      </c>
      <c r="E556" s="1">
        <v>45947</v>
      </c>
      <c r="F556" s="1">
        <v>45950</v>
      </c>
      <c r="G556" s="1">
        <v>45957</v>
      </c>
      <c r="H556" t="s">
        <v>18</v>
      </c>
      <c r="I556" t="s">
        <v>19</v>
      </c>
      <c r="J556" s="1">
        <v>45979</v>
      </c>
      <c r="K556">
        <v>1</v>
      </c>
      <c r="L556">
        <v>3</v>
      </c>
      <c r="M556">
        <v>7</v>
      </c>
      <c r="N556">
        <v>2</v>
      </c>
      <c r="O556">
        <v>11</v>
      </c>
      <c r="P556" t="s">
        <v>1049</v>
      </c>
    </row>
    <row r="557" spans="1:16" x14ac:dyDescent="0.3">
      <c r="A557" t="s">
        <v>585</v>
      </c>
      <c r="B557" t="s">
        <v>16</v>
      </c>
      <c r="C557" t="s">
        <v>17</v>
      </c>
      <c r="D557" s="1">
        <v>45958</v>
      </c>
      <c r="E557" s="1">
        <v>45962</v>
      </c>
      <c r="F557" s="1">
        <v>45967</v>
      </c>
      <c r="G557" s="1">
        <v>45970</v>
      </c>
      <c r="H557" t="s">
        <v>18</v>
      </c>
      <c r="I557" t="s">
        <v>19</v>
      </c>
      <c r="J557" s="1">
        <v>45991</v>
      </c>
      <c r="K557">
        <v>4</v>
      </c>
      <c r="L557">
        <v>5</v>
      </c>
      <c r="M557">
        <v>3</v>
      </c>
      <c r="N557">
        <v>8</v>
      </c>
      <c r="O557">
        <v>12</v>
      </c>
      <c r="P557" t="s">
        <v>1041</v>
      </c>
    </row>
    <row r="558" spans="1:16" x14ac:dyDescent="0.3">
      <c r="A558" t="s">
        <v>586</v>
      </c>
      <c r="B558" t="s">
        <v>34</v>
      </c>
      <c r="C558" t="s">
        <v>32</v>
      </c>
      <c r="D558" s="1">
        <v>45948</v>
      </c>
      <c r="E558" s="1">
        <v>45951</v>
      </c>
      <c r="F558" s="1">
        <v>45956</v>
      </c>
      <c r="G558" s="1">
        <v>45958</v>
      </c>
      <c r="H558" t="s">
        <v>18</v>
      </c>
      <c r="I558" t="s">
        <v>19</v>
      </c>
      <c r="J558" s="1">
        <v>45982</v>
      </c>
      <c r="K558">
        <v>3</v>
      </c>
      <c r="L558">
        <v>5</v>
      </c>
      <c r="M558">
        <v>2</v>
      </c>
      <c r="N558">
        <v>1</v>
      </c>
      <c r="O558">
        <v>10</v>
      </c>
      <c r="P558" t="s">
        <v>1049</v>
      </c>
    </row>
    <row r="559" spans="1:16" x14ac:dyDescent="0.3">
      <c r="A559" t="s">
        <v>587</v>
      </c>
      <c r="B559" t="s">
        <v>23</v>
      </c>
      <c r="C559" t="s">
        <v>17</v>
      </c>
      <c r="D559" s="1">
        <v>45932</v>
      </c>
      <c r="E559" s="1">
        <v>45935</v>
      </c>
      <c r="F559" s="1">
        <v>45940</v>
      </c>
      <c r="G559" s="1">
        <v>45943</v>
      </c>
      <c r="H559" t="s">
        <v>18</v>
      </c>
      <c r="I559" t="s">
        <v>19</v>
      </c>
      <c r="J559" s="1">
        <v>45961</v>
      </c>
      <c r="K559">
        <v>3</v>
      </c>
      <c r="L559">
        <v>5</v>
      </c>
      <c r="M559">
        <v>3</v>
      </c>
      <c r="N559">
        <v>2</v>
      </c>
      <c r="O559">
        <v>11</v>
      </c>
      <c r="P559" t="s">
        <v>1049</v>
      </c>
    </row>
    <row r="560" spans="1:16" x14ac:dyDescent="0.3">
      <c r="A560" t="s">
        <v>588</v>
      </c>
      <c r="B560" t="s">
        <v>21</v>
      </c>
      <c r="C560" t="s">
        <v>17</v>
      </c>
      <c r="D560" s="1">
        <v>45950</v>
      </c>
      <c r="E560" s="1">
        <v>45951</v>
      </c>
      <c r="F560" s="1">
        <v>45955</v>
      </c>
      <c r="G560" s="1">
        <v>45957</v>
      </c>
      <c r="H560" t="s">
        <v>18</v>
      </c>
      <c r="I560" t="s">
        <v>19</v>
      </c>
      <c r="J560" s="1">
        <v>45973</v>
      </c>
      <c r="K560">
        <v>1</v>
      </c>
      <c r="L560">
        <v>4</v>
      </c>
      <c r="M560">
        <v>2</v>
      </c>
      <c r="N560">
        <v>6</v>
      </c>
      <c r="O560">
        <v>7</v>
      </c>
      <c r="P560" t="s">
        <v>1049</v>
      </c>
    </row>
    <row r="561" spans="1:16" x14ac:dyDescent="0.3">
      <c r="A561" t="s">
        <v>589</v>
      </c>
      <c r="B561" t="s">
        <v>21</v>
      </c>
      <c r="C561" t="s">
        <v>24</v>
      </c>
      <c r="D561" s="1">
        <v>45933</v>
      </c>
      <c r="E561" s="1"/>
      <c r="F561" s="1"/>
      <c r="G561" s="1"/>
      <c r="H561" t="s">
        <v>25</v>
      </c>
      <c r="I561" t="s">
        <v>28</v>
      </c>
      <c r="J561" s="1"/>
    </row>
    <row r="562" spans="1:16" x14ac:dyDescent="0.3">
      <c r="A562" t="s">
        <v>590</v>
      </c>
      <c r="B562" t="s">
        <v>34</v>
      </c>
      <c r="C562" t="s">
        <v>17</v>
      </c>
      <c r="D562" s="1">
        <v>45938</v>
      </c>
      <c r="E562" s="1">
        <v>45941</v>
      </c>
      <c r="F562" s="1">
        <v>45944</v>
      </c>
      <c r="G562" s="1">
        <v>45949</v>
      </c>
      <c r="H562" t="s">
        <v>18</v>
      </c>
      <c r="I562" t="s">
        <v>19</v>
      </c>
      <c r="J562" s="1">
        <v>45973</v>
      </c>
      <c r="K562">
        <v>3</v>
      </c>
      <c r="L562">
        <v>3</v>
      </c>
      <c r="M562">
        <v>5</v>
      </c>
      <c r="N562">
        <v>6</v>
      </c>
      <c r="O562">
        <v>11</v>
      </c>
      <c r="P562" t="s">
        <v>1049</v>
      </c>
    </row>
    <row r="563" spans="1:16" x14ac:dyDescent="0.3">
      <c r="A563" t="s">
        <v>591</v>
      </c>
      <c r="B563" t="s">
        <v>21</v>
      </c>
      <c r="C563" t="s">
        <v>24</v>
      </c>
      <c r="D563" s="1">
        <v>45951</v>
      </c>
      <c r="E563" s="1"/>
      <c r="F563" s="1"/>
      <c r="G563" s="1"/>
      <c r="H563" t="s">
        <v>25</v>
      </c>
      <c r="I563" t="s">
        <v>103</v>
      </c>
      <c r="J563" s="1"/>
    </row>
    <row r="564" spans="1:16" x14ac:dyDescent="0.3">
      <c r="A564" t="s">
        <v>592</v>
      </c>
      <c r="B564" t="s">
        <v>21</v>
      </c>
      <c r="C564" t="s">
        <v>17</v>
      </c>
      <c r="D564" s="1">
        <v>45952</v>
      </c>
      <c r="E564" s="1">
        <v>45953</v>
      </c>
      <c r="F564" s="1">
        <v>45955</v>
      </c>
      <c r="G564" s="1">
        <v>45957</v>
      </c>
      <c r="H564" t="s">
        <v>18</v>
      </c>
      <c r="I564" t="s">
        <v>19</v>
      </c>
      <c r="J564" s="1">
        <v>45976</v>
      </c>
      <c r="K564">
        <v>1</v>
      </c>
      <c r="L564">
        <v>2</v>
      </c>
      <c r="M564">
        <v>2</v>
      </c>
      <c r="N564">
        <v>1</v>
      </c>
      <c r="O564">
        <v>5</v>
      </c>
      <c r="P564" t="s">
        <v>1049</v>
      </c>
    </row>
    <row r="565" spans="1:16" x14ac:dyDescent="0.3">
      <c r="A565" t="s">
        <v>593</v>
      </c>
      <c r="B565" t="s">
        <v>34</v>
      </c>
      <c r="C565" t="s">
        <v>32</v>
      </c>
      <c r="D565" s="1">
        <v>45960</v>
      </c>
      <c r="E565" s="1">
        <v>45963</v>
      </c>
      <c r="F565" s="1">
        <v>45965</v>
      </c>
      <c r="G565" s="1">
        <v>45970</v>
      </c>
      <c r="H565" t="s">
        <v>18</v>
      </c>
      <c r="I565" t="s">
        <v>19</v>
      </c>
      <c r="J565" s="1">
        <v>45996</v>
      </c>
      <c r="K565">
        <v>3</v>
      </c>
      <c r="L565">
        <v>2</v>
      </c>
      <c r="M565">
        <v>5</v>
      </c>
      <c r="N565">
        <v>3</v>
      </c>
      <c r="O565">
        <v>10</v>
      </c>
      <c r="P565" t="s">
        <v>1049</v>
      </c>
    </row>
    <row r="566" spans="1:16" x14ac:dyDescent="0.3">
      <c r="A566" t="s">
        <v>594</v>
      </c>
      <c r="B566" t="s">
        <v>23</v>
      </c>
      <c r="C566" t="s">
        <v>17</v>
      </c>
      <c r="D566" s="1">
        <v>45940</v>
      </c>
      <c r="E566" s="1">
        <v>45942</v>
      </c>
      <c r="F566" s="1">
        <v>45945</v>
      </c>
      <c r="G566" s="1">
        <v>45951</v>
      </c>
      <c r="H566" t="s">
        <v>18</v>
      </c>
      <c r="I566" t="s">
        <v>19</v>
      </c>
      <c r="J566" s="1">
        <v>45980</v>
      </c>
      <c r="K566">
        <v>2</v>
      </c>
      <c r="L566">
        <v>3</v>
      </c>
      <c r="M566">
        <v>6</v>
      </c>
      <c r="N566">
        <v>4</v>
      </c>
      <c r="O566">
        <v>11</v>
      </c>
      <c r="P566" t="s">
        <v>1049</v>
      </c>
    </row>
    <row r="567" spans="1:16" x14ac:dyDescent="0.3">
      <c r="A567" t="s">
        <v>595</v>
      </c>
      <c r="B567" t="s">
        <v>23</v>
      </c>
      <c r="C567" t="s">
        <v>32</v>
      </c>
      <c r="D567" s="1">
        <v>45938</v>
      </c>
      <c r="E567" s="1">
        <v>45939</v>
      </c>
      <c r="F567" s="1">
        <v>45941</v>
      </c>
      <c r="G567" s="1">
        <v>45947</v>
      </c>
      <c r="H567" t="s">
        <v>18</v>
      </c>
      <c r="I567" t="s">
        <v>19</v>
      </c>
      <c r="J567" s="1">
        <v>45969</v>
      </c>
      <c r="K567">
        <v>1</v>
      </c>
      <c r="L567">
        <v>2</v>
      </c>
      <c r="M567">
        <v>6</v>
      </c>
      <c r="N567">
        <v>5</v>
      </c>
      <c r="O567">
        <v>9</v>
      </c>
      <c r="P567" t="s">
        <v>1049</v>
      </c>
    </row>
    <row r="568" spans="1:16" x14ac:dyDescent="0.3">
      <c r="A568" t="s">
        <v>596</v>
      </c>
      <c r="B568" t="s">
        <v>21</v>
      </c>
      <c r="C568" t="s">
        <v>32</v>
      </c>
      <c r="D568" s="1">
        <v>45954</v>
      </c>
      <c r="E568" s="1">
        <v>45959</v>
      </c>
      <c r="F568" s="1">
        <v>45963</v>
      </c>
      <c r="G568" s="1">
        <v>45965</v>
      </c>
      <c r="H568" t="s">
        <v>18</v>
      </c>
      <c r="I568" t="s">
        <v>19</v>
      </c>
      <c r="J568" s="1">
        <v>45993</v>
      </c>
      <c r="K568">
        <v>5</v>
      </c>
      <c r="L568">
        <v>4</v>
      </c>
      <c r="M568">
        <v>2</v>
      </c>
      <c r="N568">
        <v>3</v>
      </c>
      <c r="O568">
        <v>11</v>
      </c>
      <c r="P568" t="s">
        <v>1049</v>
      </c>
    </row>
    <row r="569" spans="1:16" x14ac:dyDescent="0.3">
      <c r="A569" t="s">
        <v>597</v>
      </c>
      <c r="B569" t="s">
        <v>21</v>
      </c>
      <c r="C569" t="s">
        <v>24</v>
      </c>
      <c r="D569" s="1">
        <v>45933</v>
      </c>
      <c r="E569" s="1"/>
      <c r="F569" s="1"/>
      <c r="G569" s="1"/>
      <c r="H569" t="s">
        <v>25</v>
      </c>
      <c r="I569" t="s">
        <v>103</v>
      </c>
      <c r="J569" s="1"/>
    </row>
    <row r="570" spans="1:16" x14ac:dyDescent="0.3">
      <c r="A570" t="s">
        <v>598</v>
      </c>
      <c r="B570" t="s">
        <v>23</v>
      </c>
      <c r="C570" t="s">
        <v>17</v>
      </c>
      <c r="D570" s="1">
        <v>45944</v>
      </c>
      <c r="E570" s="1">
        <v>45947</v>
      </c>
      <c r="F570" s="1">
        <v>45952</v>
      </c>
      <c r="G570" s="1">
        <v>45956</v>
      </c>
      <c r="H570" t="s">
        <v>18</v>
      </c>
      <c r="I570" t="s">
        <v>19</v>
      </c>
      <c r="J570" s="1">
        <v>45969</v>
      </c>
      <c r="K570">
        <v>3</v>
      </c>
      <c r="L570">
        <v>5</v>
      </c>
      <c r="M570">
        <v>4</v>
      </c>
      <c r="N570">
        <v>9</v>
      </c>
      <c r="O570">
        <v>12</v>
      </c>
      <c r="P570" t="s">
        <v>1050</v>
      </c>
    </row>
    <row r="571" spans="1:16" x14ac:dyDescent="0.3">
      <c r="A571" t="s">
        <v>599</v>
      </c>
      <c r="B571" t="s">
        <v>34</v>
      </c>
      <c r="C571" t="s">
        <v>17</v>
      </c>
      <c r="D571" s="1">
        <v>45934</v>
      </c>
      <c r="E571" s="1">
        <v>45936</v>
      </c>
      <c r="F571" s="1">
        <v>45938</v>
      </c>
      <c r="G571" s="1">
        <v>45945</v>
      </c>
      <c r="H571" t="s">
        <v>18</v>
      </c>
      <c r="I571" t="s">
        <v>19</v>
      </c>
      <c r="J571" s="1">
        <v>45955</v>
      </c>
      <c r="K571">
        <v>2</v>
      </c>
      <c r="L571">
        <v>2</v>
      </c>
      <c r="M571">
        <v>7</v>
      </c>
      <c r="N571">
        <v>4</v>
      </c>
      <c r="O571">
        <v>11</v>
      </c>
      <c r="P571" t="s">
        <v>1049</v>
      </c>
    </row>
    <row r="572" spans="1:16" x14ac:dyDescent="0.3">
      <c r="A572" t="s">
        <v>600</v>
      </c>
      <c r="B572" t="s">
        <v>21</v>
      </c>
      <c r="C572" t="s">
        <v>32</v>
      </c>
      <c r="D572" s="1">
        <v>45955</v>
      </c>
      <c r="E572" s="1">
        <v>45956</v>
      </c>
      <c r="F572" s="1">
        <v>45960</v>
      </c>
      <c r="G572" s="1">
        <v>45967</v>
      </c>
      <c r="H572" t="s">
        <v>18</v>
      </c>
      <c r="I572" t="s">
        <v>19</v>
      </c>
      <c r="J572" s="1">
        <v>45993</v>
      </c>
      <c r="K572">
        <v>1</v>
      </c>
      <c r="L572">
        <v>4</v>
      </c>
      <c r="M572">
        <v>7</v>
      </c>
      <c r="N572">
        <v>9</v>
      </c>
      <c r="O572">
        <v>12</v>
      </c>
      <c r="P572" t="s">
        <v>1050</v>
      </c>
    </row>
    <row r="573" spans="1:16" x14ac:dyDescent="0.3">
      <c r="A573" t="s">
        <v>601</v>
      </c>
      <c r="B573" t="s">
        <v>16</v>
      </c>
      <c r="C573" t="s">
        <v>17</v>
      </c>
      <c r="D573" s="1">
        <v>45951</v>
      </c>
      <c r="E573" s="1">
        <v>45954</v>
      </c>
      <c r="F573" s="1">
        <v>45959</v>
      </c>
      <c r="G573" s="1">
        <v>45966</v>
      </c>
      <c r="H573" t="s">
        <v>18</v>
      </c>
      <c r="I573" t="s">
        <v>19</v>
      </c>
      <c r="J573" s="1">
        <v>45987</v>
      </c>
      <c r="K573">
        <v>3</v>
      </c>
      <c r="L573">
        <v>5</v>
      </c>
      <c r="M573">
        <v>7</v>
      </c>
      <c r="N573">
        <v>2</v>
      </c>
      <c r="O573">
        <v>15</v>
      </c>
      <c r="P573" t="s">
        <v>1049</v>
      </c>
    </row>
    <row r="574" spans="1:16" x14ac:dyDescent="0.3">
      <c r="A574" t="s">
        <v>602</v>
      </c>
      <c r="B574" t="s">
        <v>34</v>
      </c>
      <c r="C574" t="s">
        <v>32</v>
      </c>
      <c r="D574" s="1">
        <v>45953</v>
      </c>
      <c r="E574" s="1">
        <v>45958</v>
      </c>
      <c r="F574" s="1">
        <v>45961</v>
      </c>
      <c r="G574" s="1">
        <v>45968</v>
      </c>
      <c r="H574" t="s">
        <v>18</v>
      </c>
      <c r="I574" t="s">
        <v>19</v>
      </c>
      <c r="J574" s="1">
        <v>45995</v>
      </c>
      <c r="K574">
        <v>5</v>
      </c>
      <c r="L574">
        <v>3</v>
      </c>
      <c r="M574">
        <v>7</v>
      </c>
      <c r="N574">
        <v>1</v>
      </c>
      <c r="O574">
        <v>15</v>
      </c>
      <c r="P574" t="s">
        <v>1049</v>
      </c>
    </row>
    <row r="575" spans="1:16" x14ac:dyDescent="0.3">
      <c r="A575" t="s">
        <v>603</v>
      </c>
      <c r="B575" t="s">
        <v>21</v>
      </c>
      <c r="C575" t="s">
        <v>32</v>
      </c>
      <c r="D575" s="1">
        <v>45958</v>
      </c>
      <c r="E575" s="1">
        <v>45961</v>
      </c>
      <c r="F575" s="1">
        <v>45964</v>
      </c>
      <c r="G575" s="1">
        <v>45967</v>
      </c>
      <c r="H575" t="s">
        <v>18</v>
      </c>
      <c r="I575" t="s">
        <v>19</v>
      </c>
      <c r="J575" s="1">
        <v>45997</v>
      </c>
      <c r="K575">
        <v>3</v>
      </c>
      <c r="L575">
        <v>3</v>
      </c>
      <c r="M575">
        <v>3</v>
      </c>
      <c r="N575">
        <v>7</v>
      </c>
      <c r="O575">
        <v>9</v>
      </c>
      <c r="P575" t="s">
        <v>1041</v>
      </c>
    </row>
    <row r="576" spans="1:16" x14ac:dyDescent="0.3">
      <c r="A576" t="s">
        <v>604</v>
      </c>
      <c r="B576" t="s">
        <v>21</v>
      </c>
      <c r="C576" t="s">
        <v>17</v>
      </c>
      <c r="D576" s="1">
        <v>45934</v>
      </c>
      <c r="E576" s="1">
        <v>45936</v>
      </c>
      <c r="F576" s="1">
        <v>45940</v>
      </c>
      <c r="G576" s="1">
        <v>45942</v>
      </c>
      <c r="H576" t="s">
        <v>18</v>
      </c>
      <c r="I576" t="s">
        <v>19</v>
      </c>
      <c r="J576" s="1">
        <v>45971</v>
      </c>
      <c r="K576">
        <v>2</v>
      </c>
      <c r="L576">
        <v>4</v>
      </c>
      <c r="M576">
        <v>2</v>
      </c>
      <c r="N576">
        <v>0</v>
      </c>
      <c r="O576">
        <v>8</v>
      </c>
      <c r="P576" t="s">
        <v>1049</v>
      </c>
    </row>
    <row r="577" spans="1:16" x14ac:dyDescent="0.3">
      <c r="A577" t="s">
        <v>605</v>
      </c>
      <c r="B577" t="s">
        <v>16</v>
      </c>
      <c r="C577" t="s">
        <v>32</v>
      </c>
      <c r="D577" s="1">
        <v>45945</v>
      </c>
      <c r="E577" s="1">
        <v>45949</v>
      </c>
      <c r="F577" s="1">
        <v>45953</v>
      </c>
      <c r="G577" s="1">
        <v>45955</v>
      </c>
      <c r="H577" t="s">
        <v>18</v>
      </c>
      <c r="I577" t="s">
        <v>19</v>
      </c>
      <c r="J577" s="1">
        <v>45984</v>
      </c>
      <c r="K577">
        <v>4</v>
      </c>
      <c r="L577">
        <v>4</v>
      </c>
      <c r="M577">
        <v>2</v>
      </c>
      <c r="N577">
        <v>10</v>
      </c>
      <c r="O577">
        <v>10</v>
      </c>
      <c r="P577" t="s">
        <v>1050</v>
      </c>
    </row>
    <row r="578" spans="1:16" x14ac:dyDescent="0.3">
      <c r="A578" t="s">
        <v>606</v>
      </c>
      <c r="B578" t="s">
        <v>16</v>
      </c>
      <c r="C578" t="s">
        <v>17</v>
      </c>
      <c r="D578" s="1">
        <v>45936</v>
      </c>
      <c r="E578" s="1">
        <v>45940</v>
      </c>
      <c r="F578" s="1">
        <v>45944</v>
      </c>
      <c r="G578" s="1">
        <v>45951</v>
      </c>
      <c r="H578" t="s">
        <v>18</v>
      </c>
      <c r="I578" t="s">
        <v>19</v>
      </c>
      <c r="J578" s="1">
        <v>45970</v>
      </c>
      <c r="K578">
        <v>4</v>
      </c>
      <c r="L578">
        <v>4</v>
      </c>
      <c r="M578">
        <v>7</v>
      </c>
      <c r="N578">
        <v>7</v>
      </c>
      <c r="O578">
        <v>15</v>
      </c>
      <c r="P578" t="s">
        <v>1041</v>
      </c>
    </row>
    <row r="579" spans="1:16" x14ac:dyDescent="0.3">
      <c r="A579" t="s">
        <v>607</v>
      </c>
      <c r="B579" t="s">
        <v>23</v>
      </c>
      <c r="C579" t="s">
        <v>32</v>
      </c>
      <c r="D579" s="1">
        <v>45953</v>
      </c>
      <c r="E579" s="1">
        <v>45955</v>
      </c>
      <c r="F579" s="1">
        <v>45957</v>
      </c>
      <c r="G579" s="1">
        <v>45960</v>
      </c>
      <c r="H579" t="s">
        <v>18</v>
      </c>
      <c r="I579" t="s">
        <v>19</v>
      </c>
      <c r="J579" s="1">
        <v>45979</v>
      </c>
      <c r="K579">
        <v>2</v>
      </c>
      <c r="L579">
        <v>2</v>
      </c>
      <c r="M579">
        <v>3</v>
      </c>
      <c r="N579">
        <v>3</v>
      </c>
      <c r="O579">
        <v>7</v>
      </c>
      <c r="P579" t="s">
        <v>1049</v>
      </c>
    </row>
    <row r="580" spans="1:16" x14ac:dyDescent="0.3">
      <c r="A580" t="s">
        <v>608</v>
      </c>
      <c r="B580" t="s">
        <v>34</v>
      </c>
      <c r="C580" t="s">
        <v>32</v>
      </c>
      <c r="D580" s="1">
        <v>45940</v>
      </c>
      <c r="E580" s="1">
        <v>45942</v>
      </c>
      <c r="F580" s="1">
        <v>45945</v>
      </c>
      <c r="G580" s="1">
        <v>45952</v>
      </c>
      <c r="H580" t="s">
        <v>18</v>
      </c>
      <c r="I580" t="s">
        <v>19</v>
      </c>
      <c r="J580" s="1">
        <v>45965</v>
      </c>
      <c r="K580">
        <v>2</v>
      </c>
      <c r="L580">
        <v>3</v>
      </c>
      <c r="M580">
        <v>7</v>
      </c>
      <c r="N580">
        <v>6</v>
      </c>
      <c r="O580">
        <v>12</v>
      </c>
      <c r="P580" t="s">
        <v>1049</v>
      </c>
    </row>
    <row r="581" spans="1:16" x14ac:dyDescent="0.3">
      <c r="A581" t="s">
        <v>609</v>
      </c>
      <c r="B581" t="s">
        <v>34</v>
      </c>
      <c r="C581" t="s">
        <v>32</v>
      </c>
      <c r="D581" s="1">
        <v>45959</v>
      </c>
      <c r="E581" s="1">
        <v>45960</v>
      </c>
      <c r="F581" s="1">
        <v>45962</v>
      </c>
      <c r="G581" s="1">
        <v>45964</v>
      </c>
      <c r="H581" t="s">
        <v>18</v>
      </c>
      <c r="I581" t="s">
        <v>19</v>
      </c>
      <c r="J581" s="1">
        <v>45989</v>
      </c>
      <c r="K581">
        <v>1</v>
      </c>
      <c r="L581">
        <v>2</v>
      </c>
      <c r="M581">
        <v>2</v>
      </c>
      <c r="N581">
        <v>9</v>
      </c>
      <c r="O581">
        <v>5</v>
      </c>
      <c r="P581" t="s">
        <v>1050</v>
      </c>
    </row>
    <row r="582" spans="1:16" x14ac:dyDescent="0.3">
      <c r="A582" t="s">
        <v>610</v>
      </c>
      <c r="B582" t="s">
        <v>23</v>
      </c>
      <c r="C582" t="s">
        <v>17</v>
      </c>
      <c r="D582" s="1">
        <v>45931</v>
      </c>
      <c r="E582" s="1">
        <v>45935</v>
      </c>
      <c r="F582" s="1">
        <v>45937</v>
      </c>
      <c r="G582" s="1">
        <v>45940</v>
      </c>
      <c r="H582" t="s">
        <v>18</v>
      </c>
      <c r="I582" t="s">
        <v>19</v>
      </c>
      <c r="J582" s="1">
        <v>45952</v>
      </c>
      <c r="K582">
        <v>4</v>
      </c>
      <c r="L582">
        <v>2</v>
      </c>
      <c r="M582">
        <v>3</v>
      </c>
      <c r="N582">
        <v>6</v>
      </c>
      <c r="O582">
        <v>9</v>
      </c>
      <c r="P582" t="s">
        <v>1049</v>
      </c>
    </row>
    <row r="583" spans="1:16" x14ac:dyDescent="0.3">
      <c r="A583" t="s">
        <v>611</v>
      </c>
      <c r="B583" t="s">
        <v>34</v>
      </c>
      <c r="C583" t="s">
        <v>17</v>
      </c>
      <c r="D583" s="1">
        <v>45932</v>
      </c>
      <c r="E583" s="1">
        <v>45933</v>
      </c>
      <c r="F583" s="1">
        <v>45938</v>
      </c>
      <c r="G583" s="1">
        <v>45943</v>
      </c>
      <c r="H583" t="s">
        <v>18</v>
      </c>
      <c r="I583" t="s">
        <v>19</v>
      </c>
      <c r="J583" s="1">
        <v>45963</v>
      </c>
      <c r="K583">
        <v>1</v>
      </c>
      <c r="L583">
        <v>5</v>
      </c>
      <c r="M583">
        <v>5</v>
      </c>
      <c r="N583">
        <v>3</v>
      </c>
      <c r="O583">
        <v>11</v>
      </c>
      <c r="P583" t="s">
        <v>1049</v>
      </c>
    </row>
    <row r="584" spans="1:16" x14ac:dyDescent="0.3">
      <c r="A584" t="s">
        <v>612</v>
      </c>
      <c r="B584" t="s">
        <v>34</v>
      </c>
      <c r="C584" t="s">
        <v>17</v>
      </c>
      <c r="D584" s="1">
        <v>45941</v>
      </c>
      <c r="E584" s="1">
        <v>45944</v>
      </c>
      <c r="F584" s="1">
        <v>45948</v>
      </c>
      <c r="G584" s="1">
        <v>45952</v>
      </c>
      <c r="H584" t="s">
        <v>18</v>
      </c>
      <c r="I584" t="s">
        <v>19</v>
      </c>
      <c r="J584" s="1">
        <v>45970</v>
      </c>
      <c r="K584">
        <v>3</v>
      </c>
      <c r="L584">
        <v>4</v>
      </c>
      <c r="M584">
        <v>4</v>
      </c>
      <c r="N584">
        <v>1</v>
      </c>
      <c r="O584">
        <v>11</v>
      </c>
      <c r="P584" t="s">
        <v>1049</v>
      </c>
    </row>
    <row r="585" spans="1:16" x14ac:dyDescent="0.3">
      <c r="A585" t="s">
        <v>613</v>
      </c>
      <c r="B585" t="s">
        <v>34</v>
      </c>
      <c r="C585" t="s">
        <v>17</v>
      </c>
      <c r="D585" s="1">
        <v>45956</v>
      </c>
      <c r="E585" s="1">
        <v>45958</v>
      </c>
      <c r="F585" s="1">
        <v>45960</v>
      </c>
      <c r="G585" s="1">
        <v>45966</v>
      </c>
      <c r="H585" t="s">
        <v>18</v>
      </c>
      <c r="I585" t="s">
        <v>19</v>
      </c>
      <c r="J585" s="1">
        <v>45996</v>
      </c>
      <c r="K585">
        <v>2</v>
      </c>
      <c r="L585">
        <v>2</v>
      </c>
      <c r="M585">
        <v>6</v>
      </c>
      <c r="N585">
        <v>5</v>
      </c>
      <c r="O585">
        <v>10</v>
      </c>
      <c r="P585" t="s">
        <v>1049</v>
      </c>
    </row>
    <row r="586" spans="1:16" x14ac:dyDescent="0.3">
      <c r="A586" t="s">
        <v>614</v>
      </c>
      <c r="B586" t="s">
        <v>34</v>
      </c>
      <c r="C586" t="s">
        <v>17</v>
      </c>
      <c r="D586" s="1">
        <v>45932</v>
      </c>
      <c r="E586" s="1">
        <v>45933</v>
      </c>
      <c r="F586" s="1">
        <v>45938</v>
      </c>
      <c r="G586" s="1">
        <v>45944</v>
      </c>
      <c r="H586" t="s">
        <v>25</v>
      </c>
      <c r="I586" t="s">
        <v>35</v>
      </c>
      <c r="J586" s="1"/>
      <c r="K586">
        <v>1</v>
      </c>
      <c r="L586">
        <v>5</v>
      </c>
      <c r="M586">
        <v>6</v>
      </c>
      <c r="O586">
        <v>12</v>
      </c>
    </row>
    <row r="587" spans="1:16" x14ac:dyDescent="0.3">
      <c r="A587" t="s">
        <v>615</v>
      </c>
      <c r="B587" t="s">
        <v>34</v>
      </c>
      <c r="C587" t="s">
        <v>32</v>
      </c>
      <c r="D587" s="1">
        <v>45940</v>
      </c>
      <c r="E587" s="1">
        <v>45942</v>
      </c>
      <c r="F587" s="1">
        <v>45943</v>
      </c>
      <c r="G587" s="1">
        <v>45950</v>
      </c>
      <c r="H587" t="s">
        <v>18</v>
      </c>
      <c r="I587" t="s">
        <v>19</v>
      </c>
      <c r="J587" s="1">
        <v>45970</v>
      </c>
      <c r="K587">
        <v>2</v>
      </c>
      <c r="L587">
        <v>1</v>
      </c>
      <c r="M587">
        <v>7</v>
      </c>
      <c r="N587">
        <v>5</v>
      </c>
      <c r="O587">
        <v>10</v>
      </c>
      <c r="P587" t="s">
        <v>1049</v>
      </c>
    </row>
    <row r="588" spans="1:16" x14ac:dyDescent="0.3">
      <c r="A588" t="s">
        <v>616</v>
      </c>
      <c r="B588" t="s">
        <v>16</v>
      </c>
      <c r="C588" t="s">
        <v>17</v>
      </c>
      <c r="D588" s="1">
        <v>45942</v>
      </c>
      <c r="E588" s="1">
        <v>45943</v>
      </c>
      <c r="F588" s="1">
        <v>45948</v>
      </c>
      <c r="G588" s="1">
        <v>45952</v>
      </c>
      <c r="H588" t="s">
        <v>18</v>
      </c>
      <c r="I588" t="s">
        <v>19</v>
      </c>
      <c r="J588" s="1">
        <v>45970</v>
      </c>
      <c r="K588">
        <v>1</v>
      </c>
      <c r="L588">
        <v>5</v>
      </c>
      <c r="M588">
        <v>4</v>
      </c>
      <c r="N588">
        <v>8</v>
      </c>
      <c r="O588">
        <v>10</v>
      </c>
      <c r="P588" t="s">
        <v>1041</v>
      </c>
    </row>
    <row r="589" spans="1:16" x14ac:dyDescent="0.3">
      <c r="A589" t="s">
        <v>617</v>
      </c>
      <c r="B589" t="s">
        <v>34</v>
      </c>
      <c r="C589" t="s">
        <v>24</v>
      </c>
      <c r="D589" s="1">
        <v>45942</v>
      </c>
      <c r="E589" s="1"/>
      <c r="F589" s="1"/>
      <c r="G589" s="1"/>
      <c r="H589" t="s">
        <v>25</v>
      </c>
      <c r="I589" t="s">
        <v>35</v>
      </c>
      <c r="J589" s="1"/>
    </row>
    <row r="590" spans="1:16" x14ac:dyDescent="0.3">
      <c r="A590" t="s">
        <v>618</v>
      </c>
      <c r="B590" t="s">
        <v>16</v>
      </c>
      <c r="C590" t="s">
        <v>17</v>
      </c>
      <c r="D590" s="1">
        <v>45944</v>
      </c>
      <c r="E590" s="1">
        <v>45947</v>
      </c>
      <c r="F590" s="1">
        <v>45948</v>
      </c>
      <c r="G590" s="1">
        <v>45951</v>
      </c>
      <c r="H590" t="s">
        <v>25</v>
      </c>
      <c r="I590" t="s">
        <v>103</v>
      </c>
      <c r="J590" s="1"/>
      <c r="K590">
        <v>3</v>
      </c>
      <c r="L590">
        <v>1</v>
      </c>
      <c r="M590">
        <v>3</v>
      </c>
      <c r="O590">
        <v>7</v>
      </c>
    </row>
    <row r="591" spans="1:16" x14ac:dyDescent="0.3">
      <c r="A591" t="s">
        <v>619</v>
      </c>
      <c r="B591" t="s">
        <v>34</v>
      </c>
      <c r="C591" t="s">
        <v>17</v>
      </c>
      <c r="D591" s="1">
        <v>45935</v>
      </c>
      <c r="E591" s="1">
        <v>45938</v>
      </c>
      <c r="F591" s="1">
        <v>45939</v>
      </c>
      <c r="G591" s="1">
        <v>45943</v>
      </c>
      <c r="H591" t="s">
        <v>18</v>
      </c>
      <c r="I591" t="s">
        <v>19</v>
      </c>
      <c r="J591" s="1">
        <v>45961</v>
      </c>
      <c r="K591">
        <v>3</v>
      </c>
      <c r="L591">
        <v>1</v>
      </c>
      <c r="M591">
        <v>4</v>
      </c>
      <c r="N591">
        <v>9</v>
      </c>
      <c r="O591">
        <v>8</v>
      </c>
      <c r="P591" t="s">
        <v>1050</v>
      </c>
    </row>
    <row r="592" spans="1:16" x14ac:dyDescent="0.3">
      <c r="A592" t="s">
        <v>620</v>
      </c>
      <c r="B592" t="s">
        <v>23</v>
      </c>
      <c r="C592" t="s">
        <v>24</v>
      </c>
      <c r="D592" s="1">
        <v>45938</v>
      </c>
      <c r="E592" s="1"/>
      <c r="F592" s="1"/>
      <c r="G592" s="1"/>
      <c r="H592" t="s">
        <v>25</v>
      </c>
      <c r="I592" t="s">
        <v>65</v>
      </c>
      <c r="J592" s="1"/>
    </row>
    <row r="593" spans="1:16" x14ac:dyDescent="0.3">
      <c r="A593" t="s">
        <v>621</v>
      </c>
      <c r="B593" t="s">
        <v>21</v>
      </c>
      <c r="C593" t="s">
        <v>17</v>
      </c>
      <c r="D593" s="1">
        <v>45947</v>
      </c>
      <c r="E593" s="1">
        <v>45952</v>
      </c>
      <c r="F593" s="1">
        <v>45953</v>
      </c>
      <c r="G593" s="1">
        <v>45956</v>
      </c>
      <c r="H593" t="s">
        <v>18</v>
      </c>
      <c r="I593" t="s">
        <v>19</v>
      </c>
      <c r="J593" s="1">
        <v>45986</v>
      </c>
      <c r="K593">
        <v>5</v>
      </c>
      <c r="L593">
        <v>1</v>
      </c>
      <c r="M593">
        <v>3</v>
      </c>
      <c r="N593">
        <v>0</v>
      </c>
      <c r="O593">
        <v>9</v>
      </c>
      <c r="P593" t="s">
        <v>1049</v>
      </c>
    </row>
    <row r="594" spans="1:16" x14ac:dyDescent="0.3">
      <c r="A594" t="s">
        <v>622</v>
      </c>
      <c r="B594" t="s">
        <v>16</v>
      </c>
      <c r="C594" t="s">
        <v>32</v>
      </c>
      <c r="D594" s="1">
        <v>45944</v>
      </c>
      <c r="E594" s="1">
        <v>45948</v>
      </c>
      <c r="F594" s="1">
        <v>45949</v>
      </c>
      <c r="G594" s="1">
        <v>45956</v>
      </c>
      <c r="H594" t="s">
        <v>25</v>
      </c>
      <c r="I594" t="s">
        <v>26</v>
      </c>
      <c r="J594" s="1"/>
      <c r="K594">
        <v>4</v>
      </c>
      <c r="L594">
        <v>1</v>
      </c>
      <c r="M594">
        <v>7</v>
      </c>
      <c r="O594">
        <v>12</v>
      </c>
    </row>
    <row r="595" spans="1:16" x14ac:dyDescent="0.3">
      <c r="A595" t="s">
        <v>623</v>
      </c>
      <c r="B595" t="s">
        <v>34</v>
      </c>
      <c r="C595" t="s">
        <v>17</v>
      </c>
      <c r="D595" s="1">
        <v>45949</v>
      </c>
      <c r="E595" s="1">
        <v>45954</v>
      </c>
      <c r="F595" s="1">
        <v>45958</v>
      </c>
      <c r="G595" s="1">
        <v>45962</v>
      </c>
      <c r="H595" t="s">
        <v>18</v>
      </c>
      <c r="I595" t="s">
        <v>19</v>
      </c>
      <c r="J595" s="1">
        <v>45992</v>
      </c>
      <c r="K595">
        <v>5</v>
      </c>
      <c r="L595">
        <v>4</v>
      </c>
      <c r="M595">
        <v>4</v>
      </c>
      <c r="N595">
        <v>7</v>
      </c>
      <c r="O595">
        <v>13</v>
      </c>
      <c r="P595" t="s">
        <v>1041</v>
      </c>
    </row>
    <row r="596" spans="1:16" x14ac:dyDescent="0.3">
      <c r="A596" t="s">
        <v>624</v>
      </c>
      <c r="B596" t="s">
        <v>23</v>
      </c>
      <c r="C596" t="s">
        <v>17</v>
      </c>
      <c r="D596" s="1">
        <v>45952</v>
      </c>
      <c r="E596" s="1">
        <v>45956</v>
      </c>
      <c r="F596" s="1">
        <v>45958</v>
      </c>
      <c r="G596" s="1">
        <v>45965</v>
      </c>
      <c r="H596" t="s">
        <v>18</v>
      </c>
      <c r="I596" t="s">
        <v>19</v>
      </c>
      <c r="J596" s="1">
        <v>45984</v>
      </c>
      <c r="K596">
        <v>4</v>
      </c>
      <c r="L596">
        <v>2</v>
      </c>
      <c r="M596">
        <v>7</v>
      </c>
      <c r="N596">
        <v>2</v>
      </c>
      <c r="O596">
        <v>13</v>
      </c>
      <c r="P596" t="s">
        <v>1049</v>
      </c>
    </row>
    <row r="597" spans="1:16" x14ac:dyDescent="0.3">
      <c r="A597" t="s">
        <v>625</v>
      </c>
      <c r="B597" t="s">
        <v>21</v>
      </c>
      <c r="C597" t="s">
        <v>17</v>
      </c>
      <c r="D597" s="1">
        <v>45956</v>
      </c>
      <c r="E597" s="1">
        <v>45959</v>
      </c>
      <c r="F597" s="1">
        <v>45961</v>
      </c>
      <c r="G597" s="1">
        <v>45963</v>
      </c>
      <c r="H597" t="s">
        <v>18</v>
      </c>
      <c r="I597" t="s">
        <v>19</v>
      </c>
      <c r="J597" s="1">
        <v>45979</v>
      </c>
      <c r="K597">
        <v>3</v>
      </c>
      <c r="L597">
        <v>2</v>
      </c>
      <c r="M597">
        <v>2</v>
      </c>
      <c r="N597">
        <v>8</v>
      </c>
      <c r="O597">
        <v>7</v>
      </c>
      <c r="P597" t="s">
        <v>1041</v>
      </c>
    </row>
    <row r="598" spans="1:16" x14ac:dyDescent="0.3">
      <c r="A598" t="s">
        <v>626</v>
      </c>
      <c r="B598" t="s">
        <v>16</v>
      </c>
      <c r="C598" t="s">
        <v>17</v>
      </c>
      <c r="D598" s="1">
        <v>45936</v>
      </c>
      <c r="E598" s="1">
        <v>45937</v>
      </c>
      <c r="F598" s="1">
        <v>45938</v>
      </c>
      <c r="G598" s="1">
        <v>45940</v>
      </c>
      <c r="H598" t="s">
        <v>25</v>
      </c>
      <c r="I598" t="s">
        <v>26</v>
      </c>
      <c r="J598" s="1"/>
      <c r="K598">
        <v>1</v>
      </c>
      <c r="L598">
        <v>1</v>
      </c>
      <c r="M598">
        <v>2</v>
      </c>
      <c r="O598">
        <v>4</v>
      </c>
    </row>
    <row r="599" spans="1:16" x14ac:dyDescent="0.3">
      <c r="A599" t="s">
        <v>627</v>
      </c>
      <c r="B599" t="s">
        <v>21</v>
      </c>
      <c r="C599" t="s">
        <v>17</v>
      </c>
      <c r="D599" s="1">
        <v>45936</v>
      </c>
      <c r="E599" s="1">
        <v>45938</v>
      </c>
      <c r="F599" s="1">
        <v>45940</v>
      </c>
      <c r="G599" s="1">
        <v>45944</v>
      </c>
      <c r="H599" t="s">
        <v>18</v>
      </c>
      <c r="I599" t="s">
        <v>19</v>
      </c>
      <c r="J599" s="1">
        <v>45958</v>
      </c>
      <c r="K599">
        <v>2</v>
      </c>
      <c r="L599">
        <v>2</v>
      </c>
      <c r="M599">
        <v>4</v>
      </c>
      <c r="N599">
        <v>3</v>
      </c>
      <c r="O599">
        <v>8</v>
      </c>
      <c r="P599" t="s">
        <v>1049</v>
      </c>
    </row>
    <row r="600" spans="1:16" x14ac:dyDescent="0.3">
      <c r="A600" t="s">
        <v>628</v>
      </c>
      <c r="B600" t="s">
        <v>23</v>
      </c>
      <c r="C600" t="s">
        <v>17</v>
      </c>
      <c r="D600" s="1">
        <v>45936</v>
      </c>
      <c r="E600" s="1">
        <v>45939</v>
      </c>
      <c r="F600" s="1">
        <v>45940</v>
      </c>
      <c r="G600" s="1">
        <v>45945</v>
      </c>
      <c r="H600" t="s">
        <v>18</v>
      </c>
      <c r="I600" t="s">
        <v>19</v>
      </c>
      <c r="J600" s="1">
        <v>45971</v>
      </c>
      <c r="K600">
        <v>3</v>
      </c>
      <c r="L600">
        <v>1</v>
      </c>
      <c r="M600">
        <v>5</v>
      </c>
      <c r="N600">
        <v>1</v>
      </c>
      <c r="O600">
        <v>9</v>
      </c>
      <c r="P600" t="s">
        <v>1049</v>
      </c>
    </row>
    <row r="601" spans="1:16" x14ac:dyDescent="0.3">
      <c r="A601" t="s">
        <v>629</v>
      </c>
      <c r="B601" t="s">
        <v>16</v>
      </c>
      <c r="C601" t="s">
        <v>17</v>
      </c>
      <c r="D601" s="1">
        <v>45933</v>
      </c>
      <c r="E601" s="1">
        <v>45936</v>
      </c>
      <c r="F601" s="1">
        <v>45938</v>
      </c>
      <c r="G601" s="1">
        <v>45942</v>
      </c>
      <c r="H601" t="s">
        <v>18</v>
      </c>
      <c r="I601" t="s">
        <v>19</v>
      </c>
      <c r="J601" s="1">
        <v>45959</v>
      </c>
      <c r="K601">
        <v>3</v>
      </c>
      <c r="L601">
        <v>2</v>
      </c>
      <c r="M601">
        <v>4</v>
      </c>
      <c r="N601">
        <v>4</v>
      </c>
      <c r="O601">
        <v>9</v>
      </c>
      <c r="P601" t="s">
        <v>1049</v>
      </c>
    </row>
    <row r="602" spans="1:16" x14ac:dyDescent="0.3">
      <c r="A602" t="s">
        <v>630</v>
      </c>
      <c r="B602" t="s">
        <v>21</v>
      </c>
      <c r="C602" t="s">
        <v>24</v>
      </c>
      <c r="D602" s="1">
        <v>45950</v>
      </c>
      <c r="E602" s="1"/>
      <c r="F602" s="1"/>
      <c r="G602" s="1"/>
      <c r="H602" t="s">
        <v>25</v>
      </c>
      <c r="I602" t="s">
        <v>103</v>
      </c>
      <c r="J602" s="1"/>
    </row>
    <row r="603" spans="1:16" x14ac:dyDescent="0.3">
      <c r="A603" t="s">
        <v>631</v>
      </c>
      <c r="B603" t="s">
        <v>34</v>
      </c>
      <c r="C603" t="s">
        <v>17</v>
      </c>
      <c r="D603" s="1">
        <v>45958</v>
      </c>
      <c r="E603" s="1">
        <v>45959</v>
      </c>
      <c r="F603" s="1">
        <v>45964</v>
      </c>
      <c r="G603" s="1">
        <v>45970</v>
      </c>
      <c r="H603" t="s">
        <v>18</v>
      </c>
      <c r="I603" t="s">
        <v>19</v>
      </c>
      <c r="J603" s="1">
        <v>45981</v>
      </c>
      <c r="K603">
        <v>1</v>
      </c>
      <c r="L603">
        <v>5</v>
      </c>
      <c r="M603">
        <v>6</v>
      </c>
      <c r="N603">
        <v>3</v>
      </c>
      <c r="O603">
        <v>12</v>
      </c>
      <c r="P603" t="s">
        <v>1049</v>
      </c>
    </row>
    <row r="604" spans="1:16" x14ac:dyDescent="0.3">
      <c r="A604" t="s">
        <v>632</v>
      </c>
      <c r="B604" t="s">
        <v>16</v>
      </c>
      <c r="C604" t="s">
        <v>32</v>
      </c>
      <c r="D604" s="1">
        <v>45943</v>
      </c>
      <c r="E604" s="1">
        <v>45946</v>
      </c>
      <c r="F604" s="1">
        <v>45950</v>
      </c>
      <c r="G604" s="1">
        <v>45952</v>
      </c>
      <c r="H604" t="s">
        <v>18</v>
      </c>
      <c r="I604" t="s">
        <v>19</v>
      </c>
      <c r="J604" s="1">
        <v>45981</v>
      </c>
      <c r="K604">
        <v>3</v>
      </c>
      <c r="L604">
        <v>4</v>
      </c>
      <c r="M604">
        <v>2</v>
      </c>
      <c r="N604">
        <v>8</v>
      </c>
      <c r="O604">
        <v>9</v>
      </c>
      <c r="P604" t="s">
        <v>1041</v>
      </c>
    </row>
    <row r="605" spans="1:16" x14ac:dyDescent="0.3">
      <c r="A605" t="s">
        <v>633</v>
      </c>
      <c r="B605" t="s">
        <v>21</v>
      </c>
      <c r="C605" t="s">
        <v>17</v>
      </c>
      <c r="D605" s="1">
        <v>45950</v>
      </c>
      <c r="E605" s="1">
        <v>45953</v>
      </c>
      <c r="F605" s="1">
        <v>45956</v>
      </c>
      <c r="G605" s="1">
        <v>45960</v>
      </c>
      <c r="H605" t="s">
        <v>18</v>
      </c>
      <c r="I605" t="s">
        <v>19</v>
      </c>
      <c r="J605" s="1">
        <v>45982</v>
      </c>
      <c r="K605">
        <v>3</v>
      </c>
      <c r="L605">
        <v>3</v>
      </c>
      <c r="M605">
        <v>4</v>
      </c>
      <c r="N605">
        <v>6</v>
      </c>
      <c r="O605">
        <v>10</v>
      </c>
      <c r="P605" t="s">
        <v>1049</v>
      </c>
    </row>
    <row r="606" spans="1:16" x14ac:dyDescent="0.3">
      <c r="A606" t="s">
        <v>634</v>
      </c>
      <c r="B606" t="s">
        <v>23</v>
      </c>
      <c r="C606" t="s">
        <v>32</v>
      </c>
      <c r="D606" s="1">
        <v>45952</v>
      </c>
      <c r="E606" s="1">
        <v>45953</v>
      </c>
      <c r="F606" s="1">
        <v>45954</v>
      </c>
      <c r="G606" s="1">
        <v>45961</v>
      </c>
      <c r="H606" t="s">
        <v>18</v>
      </c>
      <c r="I606" t="s">
        <v>19</v>
      </c>
      <c r="J606" s="1">
        <v>45981</v>
      </c>
      <c r="K606">
        <v>1</v>
      </c>
      <c r="L606">
        <v>1</v>
      </c>
      <c r="M606">
        <v>7</v>
      </c>
      <c r="N606">
        <v>9</v>
      </c>
      <c r="O606">
        <v>9</v>
      </c>
      <c r="P606" t="s">
        <v>1050</v>
      </c>
    </row>
    <row r="607" spans="1:16" x14ac:dyDescent="0.3">
      <c r="A607" t="s">
        <v>635</v>
      </c>
      <c r="B607" t="s">
        <v>23</v>
      </c>
      <c r="C607" t="s">
        <v>17</v>
      </c>
      <c r="D607" s="1">
        <v>45938</v>
      </c>
      <c r="E607" s="1">
        <v>45941</v>
      </c>
      <c r="F607" s="1">
        <v>45946</v>
      </c>
      <c r="G607" s="1">
        <v>45952</v>
      </c>
      <c r="H607" t="s">
        <v>18</v>
      </c>
      <c r="I607" t="s">
        <v>19</v>
      </c>
      <c r="J607" s="1">
        <v>45966</v>
      </c>
      <c r="K607">
        <v>3</v>
      </c>
      <c r="L607">
        <v>5</v>
      </c>
      <c r="M607">
        <v>6</v>
      </c>
      <c r="N607">
        <v>3</v>
      </c>
      <c r="O607">
        <v>14</v>
      </c>
      <c r="P607" t="s">
        <v>1049</v>
      </c>
    </row>
    <row r="608" spans="1:16" x14ac:dyDescent="0.3">
      <c r="A608" t="s">
        <v>636</v>
      </c>
      <c r="B608" t="s">
        <v>16</v>
      </c>
      <c r="C608" t="s">
        <v>17</v>
      </c>
      <c r="D608" s="1">
        <v>45946</v>
      </c>
      <c r="E608" s="1">
        <v>45950</v>
      </c>
      <c r="F608" s="1">
        <v>45955</v>
      </c>
      <c r="G608" s="1">
        <v>45962</v>
      </c>
      <c r="H608" t="s">
        <v>18</v>
      </c>
      <c r="I608" t="s">
        <v>19</v>
      </c>
      <c r="J608" s="1">
        <v>45972</v>
      </c>
      <c r="K608">
        <v>4</v>
      </c>
      <c r="L608">
        <v>5</v>
      </c>
      <c r="M608">
        <v>7</v>
      </c>
      <c r="N608">
        <v>2</v>
      </c>
      <c r="O608">
        <v>16</v>
      </c>
      <c r="P608" t="s">
        <v>1049</v>
      </c>
    </row>
    <row r="609" spans="1:16" x14ac:dyDescent="0.3">
      <c r="A609" t="s">
        <v>637</v>
      </c>
      <c r="B609" t="s">
        <v>21</v>
      </c>
      <c r="C609" t="s">
        <v>32</v>
      </c>
      <c r="D609" s="1">
        <v>45960</v>
      </c>
      <c r="E609" s="1">
        <v>45964</v>
      </c>
      <c r="F609" s="1">
        <v>45968</v>
      </c>
      <c r="G609" s="1">
        <v>45970</v>
      </c>
      <c r="H609" t="s">
        <v>18</v>
      </c>
      <c r="I609" t="s">
        <v>19</v>
      </c>
      <c r="J609" s="1">
        <v>46000</v>
      </c>
      <c r="K609">
        <v>4</v>
      </c>
      <c r="L609">
        <v>4</v>
      </c>
      <c r="M609">
        <v>2</v>
      </c>
      <c r="N609">
        <v>4</v>
      </c>
      <c r="O609">
        <v>10</v>
      </c>
      <c r="P609" t="s">
        <v>1049</v>
      </c>
    </row>
    <row r="610" spans="1:16" x14ac:dyDescent="0.3">
      <c r="A610" t="s">
        <v>638</v>
      </c>
      <c r="B610" t="s">
        <v>16</v>
      </c>
      <c r="C610" t="s">
        <v>17</v>
      </c>
      <c r="D610" s="1">
        <v>45949</v>
      </c>
      <c r="E610" s="1">
        <v>45953</v>
      </c>
      <c r="F610" s="1">
        <v>45957</v>
      </c>
      <c r="G610" s="1">
        <v>45962</v>
      </c>
      <c r="H610" t="s">
        <v>18</v>
      </c>
      <c r="I610" t="s">
        <v>19</v>
      </c>
      <c r="J610" s="1">
        <v>45987</v>
      </c>
      <c r="K610">
        <v>4</v>
      </c>
      <c r="L610">
        <v>4</v>
      </c>
      <c r="M610">
        <v>5</v>
      </c>
      <c r="N610">
        <v>0</v>
      </c>
      <c r="O610">
        <v>13</v>
      </c>
      <c r="P610" t="s">
        <v>1049</v>
      </c>
    </row>
    <row r="611" spans="1:16" x14ac:dyDescent="0.3">
      <c r="A611" t="s">
        <v>639</v>
      </c>
      <c r="B611" t="s">
        <v>16</v>
      </c>
      <c r="C611" t="s">
        <v>32</v>
      </c>
      <c r="D611" s="1">
        <v>45935</v>
      </c>
      <c r="E611" s="1">
        <v>45939</v>
      </c>
      <c r="F611" s="1">
        <v>45940</v>
      </c>
      <c r="G611" s="1">
        <v>45945</v>
      </c>
      <c r="H611" t="s">
        <v>18</v>
      </c>
      <c r="I611" t="s">
        <v>19</v>
      </c>
      <c r="J611" s="1">
        <v>45964</v>
      </c>
      <c r="K611">
        <v>4</v>
      </c>
      <c r="L611">
        <v>1</v>
      </c>
      <c r="M611">
        <v>5</v>
      </c>
      <c r="N611">
        <v>1</v>
      </c>
      <c r="O611">
        <v>10</v>
      </c>
      <c r="P611" t="s">
        <v>1049</v>
      </c>
    </row>
    <row r="612" spans="1:16" x14ac:dyDescent="0.3">
      <c r="A612" t="s">
        <v>640</v>
      </c>
      <c r="B612" t="s">
        <v>21</v>
      </c>
      <c r="C612" t="s">
        <v>32</v>
      </c>
      <c r="D612" s="1">
        <v>45938</v>
      </c>
      <c r="E612" s="1">
        <v>45941</v>
      </c>
      <c r="F612" s="1">
        <v>45942</v>
      </c>
      <c r="G612" s="1">
        <v>45948</v>
      </c>
      <c r="H612" t="s">
        <v>18</v>
      </c>
      <c r="I612" t="s">
        <v>19</v>
      </c>
      <c r="J612" s="1">
        <v>45966</v>
      </c>
      <c r="K612">
        <v>3</v>
      </c>
      <c r="L612">
        <v>1</v>
      </c>
      <c r="M612">
        <v>6</v>
      </c>
      <c r="N612">
        <v>1</v>
      </c>
      <c r="O612">
        <v>10</v>
      </c>
      <c r="P612" t="s">
        <v>1049</v>
      </c>
    </row>
    <row r="613" spans="1:16" x14ac:dyDescent="0.3">
      <c r="A613" t="s">
        <v>641</v>
      </c>
      <c r="B613" t="s">
        <v>21</v>
      </c>
      <c r="C613" t="s">
        <v>17</v>
      </c>
      <c r="D613" s="1">
        <v>45945</v>
      </c>
      <c r="E613" s="1">
        <v>45947</v>
      </c>
      <c r="F613" s="1">
        <v>45952</v>
      </c>
      <c r="G613" s="1">
        <v>45956</v>
      </c>
      <c r="H613" t="s">
        <v>18</v>
      </c>
      <c r="I613" t="s">
        <v>19</v>
      </c>
      <c r="J613" s="1">
        <v>45979</v>
      </c>
      <c r="K613">
        <v>2</v>
      </c>
      <c r="L613">
        <v>5</v>
      </c>
      <c r="M613">
        <v>4</v>
      </c>
      <c r="N613">
        <v>2</v>
      </c>
      <c r="O613">
        <v>11</v>
      </c>
      <c r="P613" t="s">
        <v>1049</v>
      </c>
    </row>
    <row r="614" spans="1:16" x14ac:dyDescent="0.3">
      <c r="A614" t="s">
        <v>642</v>
      </c>
      <c r="B614" t="s">
        <v>34</v>
      </c>
      <c r="C614" t="s">
        <v>17</v>
      </c>
      <c r="D614" s="1">
        <v>45951</v>
      </c>
      <c r="E614" s="1">
        <v>45955</v>
      </c>
      <c r="F614" s="1">
        <v>45960</v>
      </c>
      <c r="G614" s="1">
        <v>45962</v>
      </c>
      <c r="H614" t="s">
        <v>18</v>
      </c>
      <c r="I614" t="s">
        <v>19</v>
      </c>
      <c r="J614" s="1">
        <v>45984</v>
      </c>
      <c r="K614">
        <v>4</v>
      </c>
      <c r="L614">
        <v>5</v>
      </c>
      <c r="M614">
        <v>2</v>
      </c>
      <c r="N614">
        <v>8</v>
      </c>
      <c r="O614">
        <v>11</v>
      </c>
      <c r="P614" t="s">
        <v>1041</v>
      </c>
    </row>
    <row r="615" spans="1:16" x14ac:dyDescent="0.3">
      <c r="A615" t="s">
        <v>643</v>
      </c>
      <c r="B615" t="s">
        <v>21</v>
      </c>
      <c r="C615" t="s">
        <v>24</v>
      </c>
      <c r="D615" s="1">
        <v>45939</v>
      </c>
      <c r="E615" s="1"/>
      <c r="F615" s="1"/>
      <c r="G615" s="1"/>
      <c r="H615" t="s">
        <v>25</v>
      </c>
      <c r="I615" t="s">
        <v>103</v>
      </c>
      <c r="J615" s="1"/>
    </row>
    <row r="616" spans="1:16" x14ac:dyDescent="0.3">
      <c r="A616" t="s">
        <v>644</v>
      </c>
      <c r="B616" t="s">
        <v>23</v>
      </c>
      <c r="C616" t="s">
        <v>17</v>
      </c>
      <c r="D616" s="1">
        <v>45945</v>
      </c>
      <c r="E616" s="1">
        <v>45949</v>
      </c>
      <c r="F616" s="1">
        <v>45953</v>
      </c>
      <c r="G616" s="1">
        <v>45958</v>
      </c>
      <c r="H616" t="s">
        <v>18</v>
      </c>
      <c r="I616" t="s">
        <v>19</v>
      </c>
      <c r="J616" s="1">
        <v>45980</v>
      </c>
      <c r="K616">
        <v>4</v>
      </c>
      <c r="L616">
        <v>4</v>
      </c>
      <c r="M616">
        <v>5</v>
      </c>
      <c r="N616">
        <v>6</v>
      </c>
      <c r="O616">
        <v>13</v>
      </c>
      <c r="P616" t="s">
        <v>1049</v>
      </c>
    </row>
    <row r="617" spans="1:16" x14ac:dyDescent="0.3">
      <c r="A617" t="s">
        <v>645</v>
      </c>
      <c r="B617" t="s">
        <v>16</v>
      </c>
      <c r="C617" t="s">
        <v>17</v>
      </c>
      <c r="D617" s="1">
        <v>45939</v>
      </c>
      <c r="E617" s="1">
        <v>45942</v>
      </c>
      <c r="F617" s="1">
        <v>45943</v>
      </c>
      <c r="G617" s="1">
        <v>45949</v>
      </c>
      <c r="H617" t="s">
        <v>18</v>
      </c>
      <c r="I617" t="s">
        <v>19</v>
      </c>
      <c r="J617" s="1">
        <v>45960</v>
      </c>
      <c r="K617">
        <v>3</v>
      </c>
      <c r="L617">
        <v>1</v>
      </c>
      <c r="M617">
        <v>6</v>
      </c>
      <c r="N617">
        <v>6</v>
      </c>
      <c r="O617">
        <v>10</v>
      </c>
      <c r="P617" t="s">
        <v>1049</v>
      </c>
    </row>
    <row r="618" spans="1:16" x14ac:dyDescent="0.3">
      <c r="A618" t="s">
        <v>646</v>
      </c>
      <c r="B618" t="s">
        <v>16</v>
      </c>
      <c r="C618" t="s">
        <v>17</v>
      </c>
      <c r="D618" s="1">
        <v>45952</v>
      </c>
      <c r="E618" s="1">
        <v>45957</v>
      </c>
      <c r="F618" s="1">
        <v>45958</v>
      </c>
      <c r="G618" s="1">
        <v>45961</v>
      </c>
      <c r="H618" t="s">
        <v>18</v>
      </c>
      <c r="I618" t="s">
        <v>19</v>
      </c>
      <c r="J618" s="1">
        <v>45989</v>
      </c>
      <c r="K618">
        <v>5</v>
      </c>
      <c r="L618">
        <v>1</v>
      </c>
      <c r="M618">
        <v>3</v>
      </c>
      <c r="N618">
        <v>3</v>
      </c>
      <c r="O618">
        <v>9</v>
      </c>
      <c r="P618" t="s">
        <v>1049</v>
      </c>
    </row>
    <row r="619" spans="1:16" x14ac:dyDescent="0.3">
      <c r="A619" t="s">
        <v>647</v>
      </c>
      <c r="B619" t="s">
        <v>23</v>
      </c>
      <c r="C619" t="s">
        <v>32</v>
      </c>
      <c r="D619" s="1">
        <v>45931</v>
      </c>
      <c r="E619" s="1">
        <v>45934</v>
      </c>
      <c r="F619" s="1">
        <v>45939</v>
      </c>
      <c r="G619" s="1">
        <v>45943</v>
      </c>
      <c r="H619" t="s">
        <v>18</v>
      </c>
      <c r="I619" t="s">
        <v>19</v>
      </c>
      <c r="J619" s="1">
        <v>45971</v>
      </c>
      <c r="K619">
        <v>3</v>
      </c>
      <c r="L619">
        <v>5</v>
      </c>
      <c r="M619">
        <v>4</v>
      </c>
      <c r="N619">
        <v>4</v>
      </c>
      <c r="O619">
        <v>12</v>
      </c>
      <c r="P619" t="s">
        <v>1049</v>
      </c>
    </row>
    <row r="620" spans="1:16" x14ac:dyDescent="0.3">
      <c r="A620" t="s">
        <v>648</v>
      </c>
      <c r="B620" t="s">
        <v>21</v>
      </c>
      <c r="C620" t="s">
        <v>24</v>
      </c>
      <c r="D620" s="1">
        <v>45959</v>
      </c>
      <c r="E620" s="1"/>
      <c r="F620" s="1"/>
      <c r="G620" s="1"/>
      <c r="H620" t="s">
        <v>25</v>
      </c>
      <c r="I620" t="s">
        <v>103</v>
      </c>
      <c r="J620" s="1"/>
    </row>
    <row r="621" spans="1:16" x14ac:dyDescent="0.3">
      <c r="A621" t="s">
        <v>649</v>
      </c>
      <c r="B621" t="s">
        <v>23</v>
      </c>
      <c r="C621" t="s">
        <v>17</v>
      </c>
      <c r="D621" s="1">
        <v>45956</v>
      </c>
      <c r="E621" s="1">
        <v>45957</v>
      </c>
      <c r="F621" s="1">
        <v>45960</v>
      </c>
      <c r="G621" s="1">
        <v>45963</v>
      </c>
      <c r="H621" t="s">
        <v>25</v>
      </c>
      <c r="I621" t="s">
        <v>65</v>
      </c>
      <c r="J621" s="1"/>
      <c r="K621">
        <v>1</v>
      </c>
      <c r="L621">
        <v>3</v>
      </c>
      <c r="M621">
        <v>3</v>
      </c>
      <c r="O621">
        <v>7</v>
      </c>
    </row>
    <row r="622" spans="1:16" x14ac:dyDescent="0.3">
      <c r="A622" t="s">
        <v>650</v>
      </c>
      <c r="B622" t="s">
        <v>23</v>
      </c>
      <c r="C622" t="s">
        <v>17</v>
      </c>
      <c r="D622" s="1">
        <v>45945</v>
      </c>
      <c r="E622" s="1">
        <v>45949</v>
      </c>
      <c r="F622" s="1">
        <v>45954</v>
      </c>
      <c r="G622" s="1">
        <v>45958</v>
      </c>
      <c r="H622" t="s">
        <v>25</v>
      </c>
      <c r="I622" t="s">
        <v>35</v>
      </c>
      <c r="J622" s="1"/>
      <c r="K622">
        <v>4</v>
      </c>
      <c r="L622">
        <v>5</v>
      </c>
      <c r="M622">
        <v>4</v>
      </c>
      <c r="O622">
        <v>13</v>
      </c>
    </row>
    <row r="623" spans="1:16" x14ac:dyDescent="0.3">
      <c r="A623" t="s">
        <v>651</v>
      </c>
      <c r="B623" t="s">
        <v>34</v>
      </c>
      <c r="C623" t="s">
        <v>32</v>
      </c>
      <c r="D623" s="1">
        <v>45959</v>
      </c>
      <c r="E623" s="1">
        <v>45960</v>
      </c>
      <c r="F623" s="1">
        <v>45963</v>
      </c>
      <c r="G623" s="1">
        <v>45965</v>
      </c>
      <c r="H623" t="s">
        <v>18</v>
      </c>
      <c r="I623" t="s">
        <v>19</v>
      </c>
      <c r="J623" s="1">
        <v>45981</v>
      </c>
      <c r="K623">
        <v>1</v>
      </c>
      <c r="L623">
        <v>3</v>
      </c>
      <c r="M623">
        <v>2</v>
      </c>
      <c r="N623">
        <v>6</v>
      </c>
      <c r="O623">
        <v>6</v>
      </c>
      <c r="P623" t="s">
        <v>1049</v>
      </c>
    </row>
    <row r="624" spans="1:16" x14ac:dyDescent="0.3">
      <c r="A624" t="s">
        <v>652</v>
      </c>
      <c r="B624" t="s">
        <v>23</v>
      </c>
      <c r="C624" t="s">
        <v>17</v>
      </c>
      <c r="D624" s="1">
        <v>45940</v>
      </c>
      <c r="E624" s="1">
        <v>45944</v>
      </c>
      <c r="F624" s="1">
        <v>45945</v>
      </c>
      <c r="G624" s="1">
        <v>45951</v>
      </c>
      <c r="H624" t="s">
        <v>18</v>
      </c>
      <c r="I624" t="s">
        <v>19</v>
      </c>
      <c r="J624" s="1">
        <v>45971</v>
      </c>
      <c r="K624">
        <v>4</v>
      </c>
      <c r="L624">
        <v>1</v>
      </c>
      <c r="M624">
        <v>6</v>
      </c>
      <c r="N624">
        <v>9</v>
      </c>
      <c r="O624">
        <v>11</v>
      </c>
      <c r="P624" t="s">
        <v>1050</v>
      </c>
    </row>
    <row r="625" spans="1:16" x14ac:dyDescent="0.3">
      <c r="A625" t="s">
        <v>653</v>
      </c>
      <c r="B625" t="s">
        <v>16</v>
      </c>
      <c r="C625" t="s">
        <v>17</v>
      </c>
      <c r="D625" s="1">
        <v>45952</v>
      </c>
      <c r="E625" s="1">
        <v>45957</v>
      </c>
      <c r="F625" s="1">
        <v>45962</v>
      </c>
      <c r="G625" s="1">
        <v>45969</v>
      </c>
      <c r="H625" t="s">
        <v>18</v>
      </c>
      <c r="I625" t="s">
        <v>19</v>
      </c>
      <c r="J625" s="1">
        <v>45986</v>
      </c>
      <c r="K625">
        <v>5</v>
      </c>
      <c r="L625">
        <v>5</v>
      </c>
      <c r="M625">
        <v>7</v>
      </c>
      <c r="N625">
        <v>8</v>
      </c>
      <c r="O625">
        <v>17</v>
      </c>
      <c r="P625" t="s">
        <v>1041</v>
      </c>
    </row>
    <row r="626" spans="1:16" x14ac:dyDescent="0.3">
      <c r="A626" t="s">
        <v>654</v>
      </c>
      <c r="B626" t="s">
        <v>23</v>
      </c>
      <c r="C626" t="s">
        <v>24</v>
      </c>
      <c r="D626" s="1">
        <v>45948</v>
      </c>
      <c r="E626" s="1"/>
      <c r="F626" s="1"/>
      <c r="G626" s="1"/>
      <c r="H626" t="s">
        <v>25</v>
      </c>
      <c r="I626" t="s">
        <v>103</v>
      </c>
      <c r="J626" s="1"/>
    </row>
    <row r="627" spans="1:16" x14ac:dyDescent="0.3">
      <c r="A627" t="s">
        <v>655</v>
      </c>
      <c r="B627" t="s">
        <v>16</v>
      </c>
      <c r="C627" t="s">
        <v>32</v>
      </c>
      <c r="D627" s="1">
        <v>45936</v>
      </c>
      <c r="E627" s="1">
        <v>45938</v>
      </c>
      <c r="F627" s="1">
        <v>45942</v>
      </c>
      <c r="G627" s="1">
        <v>45949</v>
      </c>
      <c r="H627" t="s">
        <v>18</v>
      </c>
      <c r="I627" t="s">
        <v>19</v>
      </c>
      <c r="J627" s="1">
        <v>45976</v>
      </c>
      <c r="K627">
        <v>2</v>
      </c>
      <c r="L627">
        <v>4</v>
      </c>
      <c r="M627">
        <v>7</v>
      </c>
      <c r="N627">
        <v>0</v>
      </c>
      <c r="O627">
        <v>13</v>
      </c>
      <c r="P627" t="s">
        <v>1049</v>
      </c>
    </row>
    <row r="628" spans="1:16" x14ac:dyDescent="0.3">
      <c r="A628" t="s">
        <v>656</v>
      </c>
      <c r="B628" t="s">
        <v>16</v>
      </c>
      <c r="C628" t="s">
        <v>17</v>
      </c>
      <c r="D628" s="1">
        <v>45933</v>
      </c>
      <c r="E628" s="1">
        <v>45938</v>
      </c>
      <c r="F628" s="1">
        <v>45940</v>
      </c>
      <c r="G628" s="1">
        <v>45942</v>
      </c>
      <c r="H628" t="s">
        <v>18</v>
      </c>
      <c r="I628" t="s">
        <v>19</v>
      </c>
      <c r="J628" s="1">
        <v>45972</v>
      </c>
      <c r="K628">
        <v>5</v>
      </c>
      <c r="L628">
        <v>2</v>
      </c>
      <c r="M628">
        <v>2</v>
      </c>
      <c r="N628">
        <v>1</v>
      </c>
      <c r="O628">
        <v>9</v>
      </c>
      <c r="P628" t="s">
        <v>1049</v>
      </c>
    </row>
    <row r="629" spans="1:16" x14ac:dyDescent="0.3">
      <c r="A629" t="s">
        <v>657</v>
      </c>
      <c r="B629" t="s">
        <v>16</v>
      </c>
      <c r="C629" t="s">
        <v>24</v>
      </c>
      <c r="D629" s="1">
        <v>45945</v>
      </c>
      <c r="E629" s="1"/>
      <c r="F629" s="1"/>
      <c r="G629" s="1"/>
      <c r="H629" t="s">
        <v>25</v>
      </c>
      <c r="I629" t="s">
        <v>103</v>
      </c>
      <c r="J629" s="1"/>
    </row>
    <row r="630" spans="1:16" x14ac:dyDescent="0.3">
      <c r="A630" t="s">
        <v>658</v>
      </c>
      <c r="B630" t="s">
        <v>21</v>
      </c>
      <c r="C630" t="s">
        <v>17</v>
      </c>
      <c r="D630" s="1">
        <v>45961</v>
      </c>
      <c r="E630" s="1">
        <v>45964</v>
      </c>
      <c r="F630" s="1">
        <v>45965</v>
      </c>
      <c r="G630" s="1">
        <v>45968</v>
      </c>
      <c r="H630" t="s">
        <v>25</v>
      </c>
      <c r="I630" t="s">
        <v>28</v>
      </c>
      <c r="J630" s="1"/>
      <c r="K630">
        <v>3</v>
      </c>
      <c r="L630">
        <v>1</v>
      </c>
      <c r="M630">
        <v>3</v>
      </c>
      <c r="O630">
        <v>7</v>
      </c>
    </row>
    <row r="631" spans="1:16" x14ac:dyDescent="0.3">
      <c r="A631" t="s">
        <v>659</v>
      </c>
      <c r="B631" t="s">
        <v>34</v>
      </c>
      <c r="C631" t="s">
        <v>17</v>
      </c>
      <c r="D631" s="1">
        <v>45942</v>
      </c>
      <c r="E631" s="1">
        <v>45945</v>
      </c>
      <c r="F631" s="1">
        <v>45946</v>
      </c>
      <c r="G631" s="1">
        <v>45953</v>
      </c>
      <c r="H631" t="s">
        <v>18</v>
      </c>
      <c r="I631" t="s">
        <v>19</v>
      </c>
      <c r="J631" s="1">
        <v>45978</v>
      </c>
      <c r="K631">
        <v>3</v>
      </c>
      <c r="L631">
        <v>1</v>
      </c>
      <c r="M631">
        <v>7</v>
      </c>
      <c r="N631">
        <v>3</v>
      </c>
      <c r="O631">
        <v>11</v>
      </c>
      <c r="P631" t="s">
        <v>1049</v>
      </c>
    </row>
    <row r="632" spans="1:16" x14ac:dyDescent="0.3">
      <c r="A632" t="s">
        <v>660</v>
      </c>
      <c r="B632" t="s">
        <v>16</v>
      </c>
      <c r="C632" t="s">
        <v>32</v>
      </c>
      <c r="D632" s="1">
        <v>45949</v>
      </c>
      <c r="E632" s="1">
        <v>45950</v>
      </c>
      <c r="F632" s="1">
        <v>45955</v>
      </c>
      <c r="G632" s="1">
        <v>45961</v>
      </c>
      <c r="H632" t="s">
        <v>18</v>
      </c>
      <c r="I632" t="s">
        <v>19</v>
      </c>
      <c r="J632" s="1">
        <v>45982</v>
      </c>
      <c r="K632">
        <v>1</v>
      </c>
      <c r="L632">
        <v>5</v>
      </c>
      <c r="M632">
        <v>6</v>
      </c>
      <c r="N632">
        <v>1</v>
      </c>
      <c r="O632">
        <v>12</v>
      </c>
      <c r="P632" t="s">
        <v>1049</v>
      </c>
    </row>
    <row r="633" spans="1:16" x14ac:dyDescent="0.3">
      <c r="A633" t="s">
        <v>661</v>
      </c>
      <c r="B633" t="s">
        <v>16</v>
      </c>
      <c r="C633" t="s">
        <v>24</v>
      </c>
      <c r="D633" s="1">
        <v>45940</v>
      </c>
      <c r="E633" s="1"/>
      <c r="F633" s="1"/>
      <c r="G633" s="1"/>
      <c r="H633" t="s">
        <v>25</v>
      </c>
      <c r="I633" t="s">
        <v>65</v>
      </c>
      <c r="J633" s="1"/>
    </row>
    <row r="634" spans="1:16" x14ac:dyDescent="0.3">
      <c r="A634" t="s">
        <v>662</v>
      </c>
      <c r="B634" t="s">
        <v>21</v>
      </c>
      <c r="C634" t="s">
        <v>32</v>
      </c>
      <c r="D634" s="1">
        <v>45951</v>
      </c>
      <c r="E634" s="1">
        <v>45952</v>
      </c>
      <c r="F634" s="1">
        <v>45954</v>
      </c>
      <c r="G634" s="1">
        <v>45956</v>
      </c>
      <c r="H634" t="s">
        <v>18</v>
      </c>
      <c r="I634" t="s">
        <v>19</v>
      </c>
      <c r="J634" s="1">
        <v>45982</v>
      </c>
      <c r="K634">
        <v>1</v>
      </c>
      <c r="L634">
        <v>2</v>
      </c>
      <c r="M634">
        <v>2</v>
      </c>
      <c r="N634">
        <v>9</v>
      </c>
      <c r="O634">
        <v>5</v>
      </c>
      <c r="P634" t="s">
        <v>1050</v>
      </c>
    </row>
    <row r="635" spans="1:16" x14ac:dyDescent="0.3">
      <c r="A635" t="s">
        <v>663</v>
      </c>
      <c r="B635" t="s">
        <v>16</v>
      </c>
      <c r="C635" t="s">
        <v>17</v>
      </c>
      <c r="D635" s="1">
        <v>45961</v>
      </c>
      <c r="E635" s="1">
        <v>45964</v>
      </c>
      <c r="F635" s="1">
        <v>45966</v>
      </c>
      <c r="G635" s="1">
        <v>45968</v>
      </c>
      <c r="H635" t="s">
        <v>18</v>
      </c>
      <c r="I635" t="s">
        <v>19</v>
      </c>
      <c r="J635" s="1">
        <v>45987</v>
      </c>
      <c r="K635">
        <v>3</v>
      </c>
      <c r="L635">
        <v>2</v>
      </c>
      <c r="M635">
        <v>2</v>
      </c>
      <c r="N635">
        <v>3</v>
      </c>
      <c r="O635">
        <v>7</v>
      </c>
      <c r="P635" t="s">
        <v>1049</v>
      </c>
    </row>
    <row r="636" spans="1:16" x14ac:dyDescent="0.3">
      <c r="A636" t="s">
        <v>664</v>
      </c>
      <c r="B636" t="s">
        <v>23</v>
      </c>
      <c r="C636" t="s">
        <v>17</v>
      </c>
      <c r="D636" s="1">
        <v>45944</v>
      </c>
      <c r="E636" s="1">
        <v>45947</v>
      </c>
      <c r="F636" s="1">
        <v>45949</v>
      </c>
      <c r="G636" s="1">
        <v>45951</v>
      </c>
      <c r="H636" t="s">
        <v>18</v>
      </c>
      <c r="I636" t="s">
        <v>19</v>
      </c>
      <c r="J636" s="1">
        <v>45966</v>
      </c>
      <c r="K636">
        <v>3</v>
      </c>
      <c r="L636">
        <v>2</v>
      </c>
      <c r="M636">
        <v>2</v>
      </c>
      <c r="N636">
        <v>5</v>
      </c>
      <c r="O636">
        <v>7</v>
      </c>
      <c r="P636" t="s">
        <v>1049</v>
      </c>
    </row>
    <row r="637" spans="1:16" x14ac:dyDescent="0.3">
      <c r="A637" t="s">
        <v>665</v>
      </c>
      <c r="B637" t="s">
        <v>23</v>
      </c>
      <c r="C637" t="s">
        <v>32</v>
      </c>
      <c r="D637" s="1">
        <v>45953</v>
      </c>
      <c r="E637" s="1">
        <v>45956</v>
      </c>
      <c r="F637" s="1">
        <v>45961</v>
      </c>
      <c r="G637" s="1">
        <v>45964</v>
      </c>
      <c r="H637" t="s">
        <v>25</v>
      </c>
      <c r="I637" t="s">
        <v>103</v>
      </c>
      <c r="J637" s="1"/>
      <c r="K637">
        <v>3</v>
      </c>
      <c r="L637">
        <v>5</v>
      </c>
      <c r="M637">
        <v>3</v>
      </c>
      <c r="O637">
        <v>11</v>
      </c>
    </row>
    <row r="638" spans="1:16" x14ac:dyDescent="0.3">
      <c r="A638" t="s">
        <v>666</v>
      </c>
      <c r="B638" t="s">
        <v>34</v>
      </c>
      <c r="C638" t="s">
        <v>17</v>
      </c>
      <c r="D638" s="1">
        <v>45939</v>
      </c>
      <c r="E638" s="1">
        <v>45943</v>
      </c>
      <c r="F638" s="1">
        <v>45948</v>
      </c>
      <c r="G638" s="1">
        <v>45950</v>
      </c>
      <c r="H638" t="s">
        <v>18</v>
      </c>
      <c r="I638" t="s">
        <v>19</v>
      </c>
      <c r="J638" s="1">
        <v>45977</v>
      </c>
      <c r="K638">
        <v>4</v>
      </c>
      <c r="L638">
        <v>5</v>
      </c>
      <c r="M638">
        <v>2</v>
      </c>
      <c r="N638">
        <v>3</v>
      </c>
      <c r="O638">
        <v>11</v>
      </c>
      <c r="P638" t="s">
        <v>1049</v>
      </c>
    </row>
    <row r="639" spans="1:16" x14ac:dyDescent="0.3">
      <c r="A639" t="s">
        <v>667</v>
      </c>
      <c r="B639" t="s">
        <v>16</v>
      </c>
      <c r="C639" t="s">
        <v>32</v>
      </c>
      <c r="D639" s="1">
        <v>45945</v>
      </c>
      <c r="E639" s="1">
        <v>45950</v>
      </c>
      <c r="F639" s="1">
        <v>45953</v>
      </c>
      <c r="G639" s="1">
        <v>45958</v>
      </c>
      <c r="H639" t="s">
        <v>18</v>
      </c>
      <c r="I639" t="s">
        <v>19</v>
      </c>
      <c r="J639" s="1">
        <v>45973</v>
      </c>
      <c r="K639">
        <v>5</v>
      </c>
      <c r="L639">
        <v>3</v>
      </c>
      <c r="M639">
        <v>5</v>
      </c>
      <c r="N639">
        <v>2</v>
      </c>
      <c r="O639">
        <v>13</v>
      </c>
      <c r="P639" t="s">
        <v>1049</v>
      </c>
    </row>
    <row r="640" spans="1:16" x14ac:dyDescent="0.3">
      <c r="A640" t="s">
        <v>668</v>
      </c>
      <c r="B640" t="s">
        <v>21</v>
      </c>
      <c r="C640" t="s">
        <v>32</v>
      </c>
      <c r="D640" s="1">
        <v>45958</v>
      </c>
      <c r="E640" s="1">
        <v>45962</v>
      </c>
      <c r="F640" s="1">
        <v>45965</v>
      </c>
      <c r="G640" s="1">
        <v>45969</v>
      </c>
      <c r="H640" t="s">
        <v>18</v>
      </c>
      <c r="I640" t="s">
        <v>19</v>
      </c>
      <c r="J640" s="1">
        <v>45988</v>
      </c>
      <c r="K640">
        <v>4</v>
      </c>
      <c r="L640">
        <v>3</v>
      </c>
      <c r="M640">
        <v>4</v>
      </c>
      <c r="N640">
        <v>1</v>
      </c>
      <c r="O640">
        <v>11</v>
      </c>
      <c r="P640" t="s">
        <v>1049</v>
      </c>
    </row>
    <row r="641" spans="1:16" x14ac:dyDescent="0.3">
      <c r="A641" t="s">
        <v>669</v>
      </c>
      <c r="B641" t="s">
        <v>23</v>
      </c>
      <c r="C641" t="s">
        <v>17</v>
      </c>
      <c r="D641" s="1">
        <v>45940</v>
      </c>
      <c r="E641" s="1">
        <v>45942</v>
      </c>
      <c r="F641" s="1">
        <v>45945</v>
      </c>
      <c r="G641" s="1">
        <v>45950</v>
      </c>
      <c r="H641" t="s">
        <v>18</v>
      </c>
      <c r="I641" t="s">
        <v>19</v>
      </c>
      <c r="J641" s="1">
        <v>45963</v>
      </c>
      <c r="K641">
        <v>2</v>
      </c>
      <c r="L641">
        <v>3</v>
      </c>
      <c r="M641">
        <v>5</v>
      </c>
      <c r="N641">
        <v>8</v>
      </c>
      <c r="O641">
        <v>10</v>
      </c>
      <c r="P641" t="s">
        <v>1041</v>
      </c>
    </row>
    <row r="642" spans="1:16" x14ac:dyDescent="0.3">
      <c r="A642" t="s">
        <v>670</v>
      </c>
      <c r="B642" t="s">
        <v>21</v>
      </c>
      <c r="C642" t="s">
        <v>24</v>
      </c>
      <c r="D642" s="1">
        <v>45937</v>
      </c>
      <c r="E642" s="1"/>
      <c r="F642" s="1"/>
      <c r="G642" s="1"/>
      <c r="H642" t="s">
        <v>25</v>
      </c>
      <c r="I642" t="s">
        <v>28</v>
      </c>
      <c r="J642" s="1"/>
    </row>
    <row r="643" spans="1:16" x14ac:dyDescent="0.3">
      <c r="A643" t="s">
        <v>671</v>
      </c>
      <c r="B643" t="s">
        <v>21</v>
      </c>
      <c r="C643" t="s">
        <v>17</v>
      </c>
      <c r="D643" s="1">
        <v>45943</v>
      </c>
      <c r="E643" s="1">
        <v>45947</v>
      </c>
      <c r="F643" s="1">
        <v>45951</v>
      </c>
      <c r="G643" s="1">
        <v>45954</v>
      </c>
      <c r="H643" t="s">
        <v>18</v>
      </c>
      <c r="I643" t="s">
        <v>19</v>
      </c>
      <c r="J643" s="1">
        <v>45979</v>
      </c>
      <c r="K643">
        <v>4</v>
      </c>
      <c r="L643">
        <v>4</v>
      </c>
      <c r="M643">
        <v>3</v>
      </c>
      <c r="N643">
        <v>9</v>
      </c>
      <c r="O643">
        <v>11</v>
      </c>
      <c r="P643" t="s">
        <v>1050</v>
      </c>
    </row>
    <row r="644" spans="1:16" x14ac:dyDescent="0.3">
      <c r="A644" t="s">
        <v>672</v>
      </c>
      <c r="B644" t="s">
        <v>23</v>
      </c>
      <c r="C644" t="s">
        <v>17</v>
      </c>
      <c r="D644" s="1">
        <v>45958</v>
      </c>
      <c r="E644" s="1">
        <v>45961</v>
      </c>
      <c r="F644" s="1">
        <v>45962</v>
      </c>
      <c r="G644" s="1">
        <v>45965</v>
      </c>
      <c r="H644" t="s">
        <v>18</v>
      </c>
      <c r="I644" t="s">
        <v>19</v>
      </c>
      <c r="J644" s="1">
        <v>45979</v>
      </c>
      <c r="K644">
        <v>3</v>
      </c>
      <c r="L644">
        <v>1</v>
      </c>
      <c r="M644">
        <v>3</v>
      </c>
      <c r="N644">
        <v>4</v>
      </c>
      <c r="O644">
        <v>7</v>
      </c>
      <c r="P644" t="s">
        <v>1049</v>
      </c>
    </row>
    <row r="645" spans="1:16" x14ac:dyDescent="0.3">
      <c r="A645" t="s">
        <v>673</v>
      </c>
      <c r="B645" t="s">
        <v>21</v>
      </c>
      <c r="C645" t="s">
        <v>32</v>
      </c>
      <c r="D645" s="1">
        <v>45946</v>
      </c>
      <c r="E645" s="1">
        <v>45950</v>
      </c>
      <c r="F645" s="1">
        <v>45953</v>
      </c>
      <c r="G645" s="1">
        <v>45955</v>
      </c>
      <c r="H645" t="s">
        <v>18</v>
      </c>
      <c r="I645" t="s">
        <v>19</v>
      </c>
      <c r="J645" s="1">
        <v>45973</v>
      </c>
      <c r="K645">
        <v>4</v>
      </c>
      <c r="L645">
        <v>3</v>
      </c>
      <c r="M645">
        <v>2</v>
      </c>
      <c r="N645">
        <v>4</v>
      </c>
      <c r="O645">
        <v>9</v>
      </c>
      <c r="P645" t="s">
        <v>1049</v>
      </c>
    </row>
    <row r="646" spans="1:16" x14ac:dyDescent="0.3">
      <c r="A646" t="s">
        <v>674</v>
      </c>
      <c r="B646" t="s">
        <v>23</v>
      </c>
      <c r="C646" t="s">
        <v>32</v>
      </c>
      <c r="D646" s="1">
        <v>45934</v>
      </c>
      <c r="E646" s="1">
        <v>45935</v>
      </c>
      <c r="F646" s="1">
        <v>45939</v>
      </c>
      <c r="G646" s="1">
        <v>45945</v>
      </c>
      <c r="H646" t="s">
        <v>18</v>
      </c>
      <c r="I646" t="s">
        <v>19</v>
      </c>
      <c r="J646" s="1">
        <v>45972</v>
      </c>
      <c r="K646">
        <v>1</v>
      </c>
      <c r="L646">
        <v>4</v>
      </c>
      <c r="M646">
        <v>6</v>
      </c>
      <c r="N646">
        <v>1</v>
      </c>
      <c r="O646">
        <v>11</v>
      </c>
      <c r="P646" t="s">
        <v>1049</v>
      </c>
    </row>
    <row r="647" spans="1:16" x14ac:dyDescent="0.3">
      <c r="A647" t="s">
        <v>675</v>
      </c>
      <c r="B647" t="s">
        <v>21</v>
      </c>
      <c r="C647" t="s">
        <v>32</v>
      </c>
      <c r="D647" s="1">
        <v>45938</v>
      </c>
      <c r="E647" s="1">
        <v>45941</v>
      </c>
      <c r="F647" s="1">
        <v>45945</v>
      </c>
      <c r="G647" s="1">
        <v>45952</v>
      </c>
      <c r="H647" t="s">
        <v>18</v>
      </c>
      <c r="I647" t="s">
        <v>19</v>
      </c>
      <c r="J647" s="1">
        <v>45967</v>
      </c>
      <c r="K647">
        <v>3</v>
      </c>
      <c r="L647">
        <v>4</v>
      </c>
      <c r="M647">
        <v>7</v>
      </c>
      <c r="N647">
        <v>0</v>
      </c>
      <c r="O647">
        <v>14</v>
      </c>
      <c r="P647" t="s">
        <v>1049</v>
      </c>
    </row>
    <row r="648" spans="1:16" x14ac:dyDescent="0.3">
      <c r="A648" t="s">
        <v>676</v>
      </c>
      <c r="B648" t="s">
        <v>23</v>
      </c>
      <c r="C648" t="s">
        <v>32</v>
      </c>
      <c r="D648" s="1">
        <v>45943</v>
      </c>
      <c r="E648" s="1">
        <v>45948</v>
      </c>
      <c r="F648" s="1">
        <v>45953</v>
      </c>
      <c r="G648" s="1">
        <v>45960</v>
      </c>
      <c r="H648" t="s">
        <v>18</v>
      </c>
      <c r="I648" t="s">
        <v>19</v>
      </c>
      <c r="J648" s="1">
        <v>45980</v>
      </c>
      <c r="K648">
        <v>5</v>
      </c>
      <c r="L648">
        <v>5</v>
      </c>
      <c r="M648">
        <v>7</v>
      </c>
      <c r="N648">
        <v>6</v>
      </c>
      <c r="O648">
        <v>17</v>
      </c>
      <c r="P648" t="s">
        <v>1049</v>
      </c>
    </row>
    <row r="649" spans="1:16" x14ac:dyDescent="0.3">
      <c r="A649" t="s">
        <v>677</v>
      </c>
      <c r="B649" t="s">
        <v>16</v>
      </c>
      <c r="C649" t="s">
        <v>17</v>
      </c>
      <c r="D649" s="1">
        <v>45949</v>
      </c>
      <c r="E649" s="1">
        <v>45953</v>
      </c>
      <c r="F649" s="1">
        <v>45955</v>
      </c>
      <c r="G649" s="1">
        <v>45962</v>
      </c>
      <c r="H649" t="s">
        <v>18</v>
      </c>
      <c r="I649" t="s">
        <v>19</v>
      </c>
      <c r="J649" s="1">
        <v>45992</v>
      </c>
      <c r="K649">
        <v>4</v>
      </c>
      <c r="L649">
        <v>2</v>
      </c>
      <c r="M649">
        <v>7</v>
      </c>
      <c r="N649">
        <v>5</v>
      </c>
      <c r="O649">
        <v>13</v>
      </c>
      <c r="P649" t="s">
        <v>1049</v>
      </c>
    </row>
    <row r="650" spans="1:16" x14ac:dyDescent="0.3">
      <c r="A650" t="s">
        <v>678</v>
      </c>
      <c r="B650" t="s">
        <v>34</v>
      </c>
      <c r="C650" t="s">
        <v>17</v>
      </c>
      <c r="D650" s="1">
        <v>45942</v>
      </c>
      <c r="E650" s="1">
        <v>45945</v>
      </c>
      <c r="F650" s="1">
        <v>45947</v>
      </c>
      <c r="G650" s="1">
        <v>45952</v>
      </c>
      <c r="H650" t="s">
        <v>18</v>
      </c>
      <c r="I650" t="s">
        <v>19</v>
      </c>
      <c r="J650" s="1">
        <v>45964</v>
      </c>
      <c r="K650">
        <v>3</v>
      </c>
      <c r="L650">
        <v>2</v>
      </c>
      <c r="M650">
        <v>5</v>
      </c>
      <c r="N650">
        <v>0</v>
      </c>
      <c r="O650">
        <v>10</v>
      </c>
      <c r="P650" t="s">
        <v>1049</v>
      </c>
    </row>
    <row r="651" spans="1:16" x14ac:dyDescent="0.3">
      <c r="A651" t="s">
        <v>679</v>
      </c>
      <c r="B651" t="s">
        <v>23</v>
      </c>
      <c r="C651" t="s">
        <v>17</v>
      </c>
      <c r="D651" s="1">
        <v>45949</v>
      </c>
      <c r="E651" s="1">
        <v>45950</v>
      </c>
      <c r="F651" s="1">
        <v>45953</v>
      </c>
      <c r="G651" s="1">
        <v>45956</v>
      </c>
      <c r="H651" t="s">
        <v>25</v>
      </c>
      <c r="I651" t="s">
        <v>26</v>
      </c>
      <c r="J651" s="1"/>
      <c r="K651">
        <v>1</v>
      </c>
      <c r="L651">
        <v>3</v>
      </c>
      <c r="M651">
        <v>3</v>
      </c>
      <c r="O651">
        <v>7</v>
      </c>
    </row>
    <row r="652" spans="1:16" x14ac:dyDescent="0.3">
      <c r="A652" t="s">
        <v>680</v>
      </c>
      <c r="B652" t="s">
        <v>23</v>
      </c>
      <c r="C652" t="s">
        <v>32</v>
      </c>
      <c r="D652" s="1">
        <v>45940</v>
      </c>
      <c r="E652" s="1">
        <v>45941</v>
      </c>
      <c r="F652" s="1">
        <v>45942</v>
      </c>
      <c r="G652" s="1">
        <v>45946</v>
      </c>
      <c r="H652" t="s">
        <v>25</v>
      </c>
      <c r="I652" t="s">
        <v>103</v>
      </c>
      <c r="J652" s="1"/>
      <c r="K652">
        <v>1</v>
      </c>
      <c r="L652">
        <v>1</v>
      </c>
      <c r="M652">
        <v>4</v>
      </c>
      <c r="O652">
        <v>6</v>
      </c>
    </row>
    <row r="653" spans="1:16" x14ac:dyDescent="0.3">
      <c r="A653" t="s">
        <v>681</v>
      </c>
      <c r="B653" t="s">
        <v>34</v>
      </c>
      <c r="C653" t="s">
        <v>17</v>
      </c>
      <c r="D653" s="1">
        <v>45953</v>
      </c>
      <c r="E653" s="1">
        <v>45957</v>
      </c>
      <c r="F653" s="1">
        <v>45958</v>
      </c>
      <c r="G653" s="1">
        <v>45961</v>
      </c>
      <c r="H653" t="s">
        <v>25</v>
      </c>
      <c r="I653" t="s">
        <v>103</v>
      </c>
      <c r="J653" s="1"/>
      <c r="K653">
        <v>4</v>
      </c>
      <c r="L653">
        <v>1</v>
      </c>
      <c r="M653">
        <v>3</v>
      </c>
      <c r="O653">
        <v>8</v>
      </c>
    </row>
    <row r="654" spans="1:16" x14ac:dyDescent="0.3">
      <c r="A654" t="s">
        <v>682</v>
      </c>
      <c r="B654" t="s">
        <v>23</v>
      </c>
      <c r="C654" t="s">
        <v>24</v>
      </c>
      <c r="D654" s="1">
        <v>45940</v>
      </c>
      <c r="E654" s="1"/>
      <c r="F654" s="1"/>
      <c r="G654" s="1"/>
      <c r="H654" t="s">
        <v>25</v>
      </c>
      <c r="I654" t="s">
        <v>28</v>
      </c>
      <c r="J654" s="1"/>
    </row>
    <row r="655" spans="1:16" x14ac:dyDescent="0.3">
      <c r="A655" t="s">
        <v>683</v>
      </c>
      <c r="B655" t="s">
        <v>23</v>
      </c>
      <c r="C655" t="s">
        <v>32</v>
      </c>
      <c r="D655" s="1">
        <v>45931</v>
      </c>
      <c r="E655" s="1">
        <v>45934</v>
      </c>
      <c r="F655" s="1">
        <v>45935</v>
      </c>
      <c r="G655" s="1">
        <v>45940</v>
      </c>
      <c r="H655" t="s">
        <v>18</v>
      </c>
      <c r="I655" t="s">
        <v>19</v>
      </c>
      <c r="J655" s="1">
        <v>45957</v>
      </c>
      <c r="K655">
        <v>3</v>
      </c>
      <c r="L655">
        <v>1</v>
      </c>
      <c r="M655">
        <v>5</v>
      </c>
      <c r="N655">
        <v>3</v>
      </c>
      <c r="O655">
        <v>9</v>
      </c>
      <c r="P655" t="s">
        <v>1049</v>
      </c>
    </row>
    <row r="656" spans="1:16" x14ac:dyDescent="0.3">
      <c r="A656" t="s">
        <v>684</v>
      </c>
      <c r="B656" t="s">
        <v>21</v>
      </c>
      <c r="C656" t="s">
        <v>24</v>
      </c>
      <c r="D656" s="1">
        <v>45957</v>
      </c>
      <c r="E656" s="1"/>
      <c r="F656" s="1"/>
      <c r="G656" s="1"/>
      <c r="H656" t="s">
        <v>25</v>
      </c>
      <c r="I656" t="s">
        <v>65</v>
      </c>
      <c r="J656" s="1"/>
    </row>
    <row r="657" spans="1:16" x14ac:dyDescent="0.3">
      <c r="A657" t="s">
        <v>685</v>
      </c>
      <c r="B657" t="s">
        <v>34</v>
      </c>
      <c r="C657" t="s">
        <v>24</v>
      </c>
      <c r="D657" s="1">
        <v>45952</v>
      </c>
      <c r="E657" s="1"/>
      <c r="F657" s="1"/>
      <c r="G657" s="1"/>
      <c r="H657" t="s">
        <v>25</v>
      </c>
      <c r="I657" t="s">
        <v>103</v>
      </c>
      <c r="J657" s="1"/>
    </row>
    <row r="658" spans="1:16" x14ac:dyDescent="0.3">
      <c r="A658" t="s">
        <v>686</v>
      </c>
      <c r="B658" t="s">
        <v>16</v>
      </c>
      <c r="C658" t="s">
        <v>32</v>
      </c>
      <c r="D658" s="1">
        <v>45943</v>
      </c>
      <c r="E658" s="1">
        <v>45948</v>
      </c>
      <c r="F658" s="1">
        <v>45952</v>
      </c>
      <c r="G658" s="1">
        <v>45959</v>
      </c>
      <c r="H658" t="s">
        <v>18</v>
      </c>
      <c r="I658" t="s">
        <v>19</v>
      </c>
      <c r="J658" s="1">
        <v>45980</v>
      </c>
      <c r="K658">
        <v>5</v>
      </c>
      <c r="L658">
        <v>4</v>
      </c>
      <c r="M658">
        <v>7</v>
      </c>
      <c r="N658">
        <v>2</v>
      </c>
      <c r="O658">
        <v>16</v>
      </c>
      <c r="P658" t="s">
        <v>1049</v>
      </c>
    </row>
    <row r="659" spans="1:16" x14ac:dyDescent="0.3">
      <c r="A659" t="s">
        <v>687</v>
      </c>
      <c r="B659" t="s">
        <v>23</v>
      </c>
      <c r="C659" t="s">
        <v>17</v>
      </c>
      <c r="D659" s="1">
        <v>45939</v>
      </c>
      <c r="E659" s="1">
        <v>45941</v>
      </c>
      <c r="F659" s="1">
        <v>45945</v>
      </c>
      <c r="G659" s="1">
        <v>45949</v>
      </c>
      <c r="H659" t="s">
        <v>25</v>
      </c>
      <c r="I659" t="s">
        <v>26</v>
      </c>
      <c r="J659" s="1"/>
      <c r="K659">
        <v>2</v>
      </c>
      <c r="L659">
        <v>4</v>
      </c>
      <c r="M659">
        <v>4</v>
      </c>
      <c r="O659">
        <v>10</v>
      </c>
    </row>
    <row r="660" spans="1:16" x14ac:dyDescent="0.3">
      <c r="A660" t="s">
        <v>688</v>
      </c>
      <c r="B660" t="s">
        <v>34</v>
      </c>
      <c r="C660" t="s">
        <v>17</v>
      </c>
      <c r="D660" s="1">
        <v>45931</v>
      </c>
      <c r="E660" s="1">
        <v>45932</v>
      </c>
      <c r="F660" s="1">
        <v>45936</v>
      </c>
      <c r="G660" s="1">
        <v>45940</v>
      </c>
      <c r="H660" t="s">
        <v>25</v>
      </c>
      <c r="I660" t="s">
        <v>103</v>
      </c>
      <c r="J660" s="1"/>
      <c r="K660">
        <v>1</v>
      </c>
      <c r="L660">
        <v>4</v>
      </c>
      <c r="M660">
        <v>4</v>
      </c>
      <c r="O660">
        <v>9</v>
      </c>
    </row>
    <row r="661" spans="1:16" x14ac:dyDescent="0.3">
      <c r="A661" t="s">
        <v>689</v>
      </c>
      <c r="B661" t="s">
        <v>21</v>
      </c>
      <c r="C661" t="s">
        <v>17</v>
      </c>
      <c r="D661" s="1">
        <v>45949</v>
      </c>
      <c r="E661" s="1">
        <v>45951</v>
      </c>
      <c r="F661" s="1">
        <v>45956</v>
      </c>
      <c r="G661" s="1">
        <v>45958</v>
      </c>
      <c r="H661" t="s">
        <v>18</v>
      </c>
      <c r="I661" t="s">
        <v>19</v>
      </c>
      <c r="J661" s="1">
        <v>45975</v>
      </c>
      <c r="K661">
        <v>2</v>
      </c>
      <c r="L661">
        <v>5</v>
      </c>
      <c r="M661">
        <v>2</v>
      </c>
      <c r="N661">
        <v>2</v>
      </c>
      <c r="O661">
        <v>9</v>
      </c>
      <c r="P661" t="s">
        <v>1049</v>
      </c>
    </row>
    <row r="662" spans="1:16" x14ac:dyDescent="0.3">
      <c r="A662" t="s">
        <v>690</v>
      </c>
      <c r="B662" t="s">
        <v>16</v>
      </c>
      <c r="C662" t="s">
        <v>17</v>
      </c>
      <c r="D662" s="1">
        <v>45958</v>
      </c>
      <c r="E662" s="1">
        <v>45963</v>
      </c>
      <c r="F662" s="1">
        <v>45967</v>
      </c>
      <c r="G662" s="1">
        <v>45973</v>
      </c>
      <c r="H662" t="s">
        <v>18</v>
      </c>
      <c r="I662" t="s">
        <v>19</v>
      </c>
      <c r="J662" s="1">
        <v>45992</v>
      </c>
      <c r="K662">
        <v>5</v>
      </c>
      <c r="L662">
        <v>4</v>
      </c>
      <c r="M662">
        <v>6</v>
      </c>
      <c r="N662">
        <v>1</v>
      </c>
      <c r="O662">
        <v>15</v>
      </c>
      <c r="P662" t="s">
        <v>1049</v>
      </c>
    </row>
    <row r="663" spans="1:16" x14ac:dyDescent="0.3">
      <c r="A663" t="s">
        <v>691</v>
      </c>
      <c r="B663" t="s">
        <v>34</v>
      </c>
      <c r="C663" t="s">
        <v>17</v>
      </c>
      <c r="D663" s="1">
        <v>45952</v>
      </c>
      <c r="E663" s="1">
        <v>45956</v>
      </c>
      <c r="F663" s="1">
        <v>45957</v>
      </c>
      <c r="G663" s="1">
        <v>45961</v>
      </c>
      <c r="H663" t="s">
        <v>18</v>
      </c>
      <c r="I663" t="s">
        <v>19</v>
      </c>
      <c r="J663" s="1">
        <v>45984</v>
      </c>
      <c r="K663">
        <v>4</v>
      </c>
      <c r="L663">
        <v>1</v>
      </c>
      <c r="M663">
        <v>4</v>
      </c>
      <c r="N663">
        <v>9</v>
      </c>
      <c r="O663">
        <v>9</v>
      </c>
      <c r="P663" t="s">
        <v>1050</v>
      </c>
    </row>
    <row r="664" spans="1:16" x14ac:dyDescent="0.3">
      <c r="A664" t="s">
        <v>692</v>
      </c>
      <c r="B664" t="s">
        <v>16</v>
      </c>
      <c r="C664" t="s">
        <v>17</v>
      </c>
      <c r="D664" s="1">
        <v>45955</v>
      </c>
      <c r="E664" s="1">
        <v>45956</v>
      </c>
      <c r="F664" s="1">
        <v>45957</v>
      </c>
      <c r="G664" s="1">
        <v>45959</v>
      </c>
      <c r="H664" t="s">
        <v>18</v>
      </c>
      <c r="I664" t="s">
        <v>19</v>
      </c>
      <c r="J664" s="1">
        <v>45979</v>
      </c>
      <c r="K664">
        <v>1</v>
      </c>
      <c r="L664">
        <v>1</v>
      </c>
      <c r="M664">
        <v>2</v>
      </c>
      <c r="N664">
        <v>5</v>
      </c>
      <c r="O664">
        <v>4</v>
      </c>
      <c r="P664" t="s">
        <v>1049</v>
      </c>
    </row>
    <row r="665" spans="1:16" x14ac:dyDescent="0.3">
      <c r="A665" t="s">
        <v>693</v>
      </c>
      <c r="B665" t="s">
        <v>16</v>
      </c>
      <c r="C665" t="s">
        <v>17</v>
      </c>
      <c r="D665" s="1">
        <v>45954</v>
      </c>
      <c r="E665" s="1">
        <v>45956</v>
      </c>
      <c r="F665" s="1">
        <v>45958</v>
      </c>
      <c r="G665" s="1">
        <v>45964</v>
      </c>
      <c r="H665" t="s">
        <v>18</v>
      </c>
      <c r="I665" t="s">
        <v>19</v>
      </c>
      <c r="J665" s="1">
        <v>45985</v>
      </c>
      <c r="K665">
        <v>2</v>
      </c>
      <c r="L665">
        <v>2</v>
      </c>
      <c r="M665">
        <v>6</v>
      </c>
      <c r="N665">
        <v>4</v>
      </c>
      <c r="O665">
        <v>10</v>
      </c>
      <c r="P665" t="s">
        <v>1049</v>
      </c>
    </row>
    <row r="666" spans="1:16" x14ac:dyDescent="0.3">
      <c r="A666" t="s">
        <v>694</v>
      </c>
      <c r="B666" t="s">
        <v>16</v>
      </c>
      <c r="C666" t="s">
        <v>17</v>
      </c>
      <c r="D666" s="1">
        <v>45932</v>
      </c>
      <c r="E666" s="1">
        <v>45933</v>
      </c>
      <c r="F666" s="1">
        <v>45934</v>
      </c>
      <c r="G666" s="1">
        <v>45941</v>
      </c>
      <c r="H666" t="s">
        <v>18</v>
      </c>
      <c r="I666" t="s">
        <v>19</v>
      </c>
      <c r="J666" s="1">
        <v>45959</v>
      </c>
      <c r="K666">
        <v>1</v>
      </c>
      <c r="L666">
        <v>1</v>
      </c>
      <c r="M666">
        <v>7</v>
      </c>
      <c r="N666">
        <v>9</v>
      </c>
      <c r="O666">
        <v>9</v>
      </c>
      <c r="P666" t="s">
        <v>1050</v>
      </c>
    </row>
    <row r="667" spans="1:16" x14ac:dyDescent="0.3">
      <c r="A667" t="s">
        <v>695</v>
      </c>
      <c r="B667" t="s">
        <v>23</v>
      </c>
      <c r="C667" t="s">
        <v>17</v>
      </c>
      <c r="D667" s="1">
        <v>45960</v>
      </c>
      <c r="E667" s="1">
        <v>45962</v>
      </c>
      <c r="F667" s="1">
        <v>45966</v>
      </c>
      <c r="G667" s="1">
        <v>45968</v>
      </c>
      <c r="H667" t="s">
        <v>18</v>
      </c>
      <c r="I667" t="s">
        <v>19</v>
      </c>
      <c r="J667" s="1">
        <v>45996</v>
      </c>
      <c r="K667">
        <v>2</v>
      </c>
      <c r="L667">
        <v>4</v>
      </c>
      <c r="M667">
        <v>2</v>
      </c>
      <c r="N667">
        <v>2</v>
      </c>
      <c r="O667">
        <v>8</v>
      </c>
      <c r="P667" t="s">
        <v>1049</v>
      </c>
    </row>
    <row r="668" spans="1:16" x14ac:dyDescent="0.3">
      <c r="A668" t="s">
        <v>696</v>
      </c>
      <c r="B668" t="s">
        <v>23</v>
      </c>
      <c r="C668" t="s">
        <v>17</v>
      </c>
      <c r="D668" s="1">
        <v>45950</v>
      </c>
      <c r="E668" s="1">
        <v>45953</v>
      </c>
      <c r="F668" s="1">
        <v>45957</v>
      </c>
      <c r="G668" s="1">
        <v>45960</v>
      </c>
      <c r="H668" t="s">
        <v>18</v>
      </c>
      <c r="I668" t="s">
        <v>19</v>
      </c>
      <c r="J668" s="1">
        <v>45979</v>
      </c>
      <c r="K668">
        <v>3</v>
      </c>
      <c r="L668">
        <v>4</v>
      </c>
      <c r="M668">
        <v>3</v>
      </c>
      <c r="N668">
        <v>7</v>
      </c>
      <c r="O668">
        <v>10</v>
      </c>
      <c r="P668" t="s">
        <v>1041</v>
      </c>
    </row>
    <row r="669" spans="1:16" x14ac:dyDescent="0.3">
      <c r="A669" t="s">
        <v>697</v>
      </c>
      <c r="B669" t="s">
        <v>21</v>
      </c>
      <c r="C669" t="s">
        <v>17</v>
      </c>
      <c r="D669" s="1">
        <v>45954</v>
      </c>
      <c r="E669" s="1">
        <v>45957</v>
      </c>
      <c r="F669" s="1">
        <v>45960</v>
      </c>
      <c r="G669" s="1">
        <v>45963</v>
      </c>
      <c r="H669" t="s">
        <v>18</v>
      </c>
      <c r="I669" t="s">
        <v>19</v>
      </c>
      <c r="J669" s="1">
        <v>45987</v>
      </c>
      <c r="K669">
        <v>3</v>
      </c>
      <c r="L669">
        <v>3</v>
      </c>
      <c r="M669">
        <v>3</v>
      </c>
      <c r="N669">
        <v>0</v>
      </c>
      <c r="O669">
        <v>9</v>
      </c>
      <c r="P669" t="s">
        <v>1049</v>
      </c>
    </row>
    <row r="670" spans="1:16" x14ac:dyDescent="0.3">
      <c r="A670" t="s">
        <v>698</v>
      </c>
      <c r="B670" t="s">
        <v>21</v>
      </c>
      <c r="C670" t="s">
        <v>32</v>
      </c>
      <c r="D670" s="1">
        <v>45946</v>
      </c>
      <c r="E670" s="1">
        <v>45950</v>
      </c>
      <c r="F670" s="1">
        <v>45955</v>
      </c>
      <c r="G670" s="1">
        <v>45961</v>
      </c>
      <c r="H670" t="s">
        <v>18</v>
      </c>
      <c r="I670" t="s">
        <v>19</v>
      </c>
      <c r="J670" s="1">
        <v>45974</v>
      </c>
      <c r="K670">
        <v>4</v>
      </c>
      <c r="L670">
        <v>5</v>
      </c>
      <c r="M670">
        <v>6</v>
      </c>
      <c r="N670">
        <v>2</v>
      </c>
      <c r="O670">
        <v>15</v>
      </c>
      <c r="P670" t="s">
        <v>1049</v>
      </c>
    </row>
    <row r="671" spans="1:16" x14ac:dyDescent="0.3">
      <c r="A671" t="s">
        <v>699</v>
      </c>
      <c r="B671" t="s">
        <v>34</v>
      </c>
      <c r="C671" t="s">
        <v>32</v>
      </c>
      <c r="D671" s="1">
        <v>45957</v>
      </c>
      <c r="E671" s="1">
        <v>45962</v>
      </c>
      <c r="F671" s="1">
        <v>45963</v>
      </c>
      <c r="G671" s="1">
        <v>45965</v>
      </c>
      <c r="H671" t="s">
        <v>25</v>
      </c>
      <c r="I671" t="s">
        <v>26</v>
      </c>
      <c r="J671" s="1"/>
      <c r="K671">
        <v>5</v>
      </c>
      <c r="L671">
        <v>1</v>
      </c>
      <c r="M671">
        <v>2</v>
      </c>
      <c r="O671">
        <v>8</v>
      </c>
    </row>
    <row r="672" spans="1:16" x14ac:dyDescent="0.3">
      <c r="A672" t="s">
        <v>700</v>
      </c>
      <c r="B672" t="s">
        <v>21</v>
      </c>
      <c r="C672" t="s">
        <v>24</v>
      </c>
      <c r="D672" s="1">
        <v>45959</v>
      </c>
      <c r="E672" s="1"/>
      <c r="F672" s="1"/>
      <c r="G672" s="1"/>
      <c r="H672" t="s">
        <v>25</v>
      </c>
      <c r="I672" t="s">
        <v>35</v>
      </c>
      <c r="J672" s="1"/>
    </row>
    <row r="673" spans="1:16" x14ac:dyDescent="0.3">
      <c r="A673" t="s">
        <v>701</v>
      </c>
      <c r="B673" t="s">
        <v>16</v>
      </c>
      <c r="C673" t="s">
        <v>17</v>
      </c>
      <c r="D673" s="1">
        <v>45959</v>
      </c>
      <c r="E673" s="1">
        <v>45960</v>
      </c>
      <c r="F673" s="1">
        <v>45965</v>
      </c>
      <c r="G673" s="1">
        <v>45970</v>
      </c>
      <c r="H673" t="s">
        <v>18</v>
      </c>
      <c r="I673" t="s">
        <v>19</v>
      </c>
      <c r="J673" s="1">
        <v>45995</v>
      </c>
      <c r="K673">
        <v>1</v>
      </c>
      <c r="L673">
        <v>5</v>
      </c>
      <c r="M673">
        <v>5</v>
      </c>
      <c r="N673">
        <v>0</v>
      </c>
      <c r="O673">
        <v>11</v>
      </c>
      <c r="P673" t="s">
        <v>1049</v>
      </c>
    </row>
    <row r="674" spans="1:16" x14ac:dyDescent="0.3">
      <c r="A674" t="s">
        <v>702</v>
      </c>
      <c r="B674" t="s">
        <v>16</v>
      </c>
      <c r="C674" t="s">
        <v>32</v>
      </c>
      <c r="D674" s="1">
        <v>45940</v>
      </c>
      <c r="E674" s="1">
        <v>45945</v>
      </c>
      <c r="F674" s="1">
        <v>45946</v>
      </c>
      <c r="G674" s="1">
        <v>45948</v>
      </c>
      <c r="H674" t="s">
        <v>18</v>
      </c>
      <c r="I674" t="s">
        <v>19</v>
      </c>
      <c r="J674" s="1">
        <v>45959</v>
      </c>
      <c r="K674">
        <v>5</v>
      </c>
      <c r="L674">
        <v>1</v>
      </c>
      <c r="M674">
        <v>2</v>
      </c>
      <c r="N674">
        <v>6</v>
      </c>
      <c r="O674">
        <v>8</v>
      </c>
      <c r="P674" t="s">
        <v>1049</v>
      </c>
    </row>
    <row r="675" spans="1:16" x14ac:dyDescent="0.3">
      <c r="A675" t="s">
        <v>703</v>
      </c>
      <c r="B675" t="s">
        <v>23</v>
      </c>
      <c r="C675" t="s">
        <v>32</v>
      </c>
      <c r="D675" s="1">
        <v>45955</v>
      </c>
      <c r="E675" s="1">
        <v>45957</v>
      </c>
      <c r="F675" s="1">
        <v>45959</v>
      </c>
      <c r="G675" s="1">
        <v>45964</v>
      </c>
      <c r="H675" t="s">
        <v>18</v>
      </c>
      <c r="I675" t="s">
        <v>19</v>
      </c>
      <c r="J675" s="1">
        <v>45994</v>
      </c>
      <c r="K675">
        <v>2</v>
      </c>
      <c r="L675">
        <v>2</v>
      </c>
      <c r="M675">
        <v>5</v>
      </c>
      <c r="N675">
        <v>10</v>
      </c>
      <c r="O675">
        <v>9</v>
      </c>
      <c r="P675" t="s">
        <v>1050</v>
      </c>
    </row>
    <row r="676" spans="1:16" x14ac:dyDescent="0.3">
      <c r="A676" t="s">
        <v>704</v>
      </c>
      <c r="B676" t="s">
        <v>16</v>
      </c>
      <c r="C676" t="s">
        <v>32</v>
      </c>
      <c r="D676" s="1">
        <v>45956</v>
      </c>
      <c r="E676" s="1">
        <v>45960</v>
      </c>
      <c r="F676" s="1">
        <v>45962</v>
      </c>
      <c r="G676" s="1">
        <v>45966</v>
      </c>
      <c r="H676" t="s">
        <v>18</v>
      </c>
      <c r="I676" t="s">
        <v>19</v>
      </c>
      <c r="J676" s="1">
        <v>45994</v>
      </c>
      <c r="K676">
        <v>4</v>
      </c>
      <c r="L676">
        <v>2</v>
      </c>
      <c r="M676">
        <v>4</v>
      </c>
      <c r="N676">
        <v>8</v>
      </c>
      <c r="O676">
        <v>10</v>
      </c>
      <c r="P676" t="s">
        <v>1041</v>
      </c>
    </row>
    <row r="677" spans="1:16" x14ac:dyDescent="0.3">
      <c r="A677" t="s">
        <v>705</v>
      </c>
      <c r="B677" t="s">
        <v>34</v>
      </c>
      <c r="C677" t="s">
        <v>24</v>
      </c>
      <c r="D677" s="1">
        <v>45938</v>
      </c>
      <c r="E677" s="1"/>
      <c r="F677" s="1"/>
      <c r="G677" s="1"/>
      <c r="H677" t="s">
        <v>25</v>
      </c>
      <c r="I677" t="s">
        <v>35</v>
      </c>
      <c r="J677" s="1"/>
    </row>
    <row r="678" spans="1:16" x14ac:dyDescent="0.3">
      <c r="A678" t="s">
        <v>706</v>
      </c>
      <c r="B678" t="s">
        <v>16</v>
      </c>
      <c r="C678" t="s">
        <v>17</v>
      </c>
      <c r="D678" s="1">
        <v>45950</v>
      </c>
      <c r="E678" s="1">
        <v>45953</v>
      </c>
      <c r="F678" s="1">
        <v>45958</v>
      </c>
      <c r="G678" s="1">
        <v>45962</v>
      </c>
      <c r="H678" t="s">
        <v>18</v>
      </c>
      <c r="I678" t="s">
        <v>19</v>
      </c>
      <c r="J678" s="1">
        <v>45990</v>
      </c>
      <c r="K678">
        <v>3</v>
      </c>
      <c r="L678">
        <v>5</v>
      </c>
      <c r="M678">
        <v>4</v>
      </c>
      <c r="N678">
        <v>10</v>
      </c>
      <c r="O678">
        <v>12</v>
      </c>
      <c r="P678" t="s">
        <v>1050</v>
      </c>
    </row>
    <row r="679" spans="1:16" x14ac:dyDescent="0.3">
      <c r="A679" t="s">
        <v>707</v>
      </c>
      <c r="B679" t="s">
        <v>16</v>
      </c>
      <c r="C679" t="s">
        <v>24</v>
      </c>
      <c r="D679" s="1">
        <v>45956</v>
      </c>
      <c r="E679" s="1"/>
      <c r="F679" s="1"/>
      <c r="G679" s="1"/>
      <c r="H679" t="s">
        <v>25</v>
      </c>
      <c r="I679" t="s">
        <v>26</v>
      </c>
      <c r="J679" s="1"/>
    </row>
    <row r="680" spans="1:16" x14ac:dyDescent="0.3">
      <c r="A680" t="s">
        <v>708</v>
      </c>
      <c r="B680" t="s">
        <v>34</v>
      </c>
      <c r="C680" t="s">
        <v>17</v>
      </c>
      <c r="D680" s="1">
        <v>45942</v>
      </c>
      <c r="E680" s="1">
        <v>45945</v>
      </c>
      <c r="F680" s="1">
        <v>45949</v>
      </c>
      <c r="G680" s="1">
        <v>45953</v>
      </c>
      <c r="H680" t="s">
        <v>25</v>
      </c>
      <c r="I680" t="s">
        <v>65</v>
      </c>
      <c r="J680" s="1"/>
      <c r="K680">
        <v>3</v>
      </c>
      <c r="L680">
        <v>4</v>
      </c>
      <c r="M680">
        <v>4</v>
      </c>
      <c r="O680">
        <v>11</v>
      </c>
    </row>
    <row r="681" spans="1:16" x14ac:dyDescent="0.3">
      <c r="A681" t="s">
        <v>709</v>
      </c>
      <c r="B681" t="s">
        <v>21</v>
      </c>
      <c r="C681" t="s">
        <v>17</v>
      </c>
      <c r="D681" s="1">
        <v>45938</v>
      </c>
      <c r="E681" s="1">
        <v>45942</v>
      </c>
      <c r="F681" s="1">
        <v>45945</v>
      </c>
      <c r="G681" s="1">
        <v>45947</v>
      </c>
      <c r="H681" t="s">
        <v>18</v>
      </c>
      <c r="I681" t="s">
        <v>19</v>
      </c>
      <c r="J681" s="1">
        <v>45976</v>
      </c>
      <c r="K681">
        <v>4</v>
      </c>
      <c r="L681">
        <v>3</v>
      </c>
      <c r="M681">
        <v>2</v>
      </c>
      <c r="N681">
        <v>10</v>
      </c>
      <c r="O681">
        <v>9</v>
      </c>
      <c r="P681" t="s">
        <v>1050</v>
      </c>
    </row>
    <row r="682" spans="1:16" x14ac:dyDescent="0.3">
      <c r="A682" t="s">
        <v>710</v>
      </c>
      <c r="B682" t="s">
        <v>21</v>
      </c>
      <c r="C682" t="s">
        <v>17</v>
      </c>
      <c r="D682" s="1">
        <v>45951</v>
      </c>
      <c r="E682" s="1">
        <v>45952</v>
      </c>
      <c r="F682" s="1">
        <v>45953</v>
      </c>
      <c r="G682" s="1">
        <v>45959</v>
      </c>
      <c r="H682" t="s">
        <v>18</v>
      </c>
      <c r="I682" t="s">
        <v>19</v>
      </c>
      <c r="J682" s="1">
        <v>45971</v>
      </c>
      <c r="K682">
        <v>1</v>
      </c>
      <c r="L682">
        <v>1</v>
      </c>
      <c r="M682">
        <v>6</v>
      </c>
      <c r="N682">
        <v>2</v>
      </c>
      <c r="O682">
        <v>8</v>
      </c>
      <c r="P682" t="s">
        <v>1049</v>
      </c>
    </row>
    <row r="683" spans="1:16" x14ac:dyDescent="0.3">
      <c r="A683" t="s">
        <v>711</v>
      </c>
      <c r="B683" t="s">
        <v>34</v>
      </c>
      <c r="C683" t="s">
        <v>17</v>
      </c>
      <c r="D683" s="1">
        <v>45937</v>
      </c>
      <c r="E683" s="1">
        <v>45942</v>
      </c>
      <c r="F683" s="1">
        <v>45943</v>
      </c>
      <c r="G683" s="1">
        <v>45948</v>
      </c>
      <c r="H683" t="s">
        <v>18</v>
      </c>
      <c r="I683" t="s">
        <v>19</v>
      </c>
      <c r="J683" s="1">
        <v>45973</v>
      </c>
      <c r="K683">
        <v>5</v>
      </c>
      <c r="L683">
        <v>1</v>
      </c>
      <c r="M683">
        <v>5</v>
      </c>
      <c r="N683">
        <v>9</v>
      </c>
      <c r="O683">
        <v>11</v>
      </c>
      <c r="P683" t="s">
        <v>1050</v>
      </c>
    </row>
    <row r="684" spans="1:16" x14ac:dyDescent="0.3">
      <c r="A684" t="s">
        <v>712</v>
      </c>
      <c r="B684" t="s">
        <v>23</v>
      </c>
      <c r="C684" t="s">
        <v>32</v>
      </c>
      <c r="D684" s="1">
        <v>45950</v>
      </c>
      <c r="E684" s="1">
        <v>45952</v>
      </c>
      <c r="F684" s="1">
        <v>45955</v>
      </c>
      <c r="G684" s="1">
        <v>45957</v>
      </c>
      <c r="H684" t="s">
        <v>18</v>
      </c>
      <c r="I684" t="s">
        <v>19</v>
      </c>
      <c r="J684" s="1">
        <v>45973</v>
      </c>
      <c r="K684">
        <v>2</v>
      </c>
      <c r="L684">
        <v>3</v>
      </c>
      <c r="M684">
        <v>2</v>
      </c>
      <c r="N684">
        <v>8</v>
      </c>
      <c r="O684">
        <v>7</v>
      </c>
      <c r="P684" t="s">
        <v>1041</v>
      </c>
    </row>
    <row r="685" spans="1:16" x14ac:dyDescent="0.3">
      <c r="A685" t="s">
        <v>713</v>
      </c>
      <c r="B685" t="s">
        <v>16</v>
      </c>
      <c r="C685" t="s">
        <v>24</v>
      </c>
      <c r="D685" s="1">
        <v>45939</v>
      </c>
      <c r="E685" s="1"/>
      <c r="F685" s="1"/>
      <c r="G685" s="1"/>
      <c r="H685" t="s">
        <v>25</v>
      </c>
      <c r="I685" t="s">
        <v>103</v>
      </c>
      <c r="J685" s="1"/>
    </row>
    <row r="686" spans="1:16" x14ac:dyDescent="0.3">
      <c r="A686" t="s">
        <v>714</v>
      </c>
      <c r="B686" t="s">
        <v>34</v>
      </c>
      <c r="C686" t="s">
        <v>24</v>
      </c>
      <c r="D686" s="1">
        <v>45952</v>
      </c>
      <c r="E686" s="1"/>
      <c r="F686" s="1"/>
      <c r="G686" s="1"/>
      <c r="H686" t="s">
        <v>25</v>
      </c>
      <c r="I686" t="s">
        <v>103</v>
      </c>
      <c r="J686" s="1"/>
    </row>
    <row r="687" spans="1:16" x14ac:dyDescent="0.3">
      <c r="A687" t="s">
        <v>715</v>
      </c>
      <c r="B687" t="s">
        <v>16</v>
      </c>
      <c r="C687" t="s">
        <v>17</v>
      </c>
      <c r="D687" s="1">
        <v>45955</v>
      </c>
      <c r="E687" s="1">
        <v>45960</v>
      </c>
      <c r="F687" s="1">
        <v>45965</v>
      </c>
      <c r="G687" s="1">
        <v>45969</v>
      </c>
      <c r="H687" t="s">
        <v>18</v>
      </c>
      <c r="I687" t="s">
        <v>19</v>
      </c>
      <c r="J687" s="1">
        <v>45995</v>
      </c>
      <c r="K687">
        <v>5</v>
      </c>
      <c r="L687">
        <v>5</v>
      </c>
      <c r="M687">
        <v>4</v>
      </c>
      <c r="N687">
        <v>5</v>
      </c>
      <c r="O687">
        <v>14</v>
      </c>
      <c r="P687" t="s">
        <v>1049</v>
      </c>
    </row>
    <row r="688" spans="1:16" x14ac:dyDescent="0.3">
      <c r="A688" t="s">
        <v>716</v>
      </c>
      <c r="B688" t="s">
        <v>23</v>
      </c>
      <c r="C688" t="s">
        <v>24</v>
      </c>
      <c r="D688" s="1">
        <v>45954</v>
      </c>
      <c r="E688" s="1"/>
      <c r="F688" s="1"/>
      <c r="G688" s="1"/>
      <c r="H688" t="s">
        <v>25</v>
      </c>
      <c r="I688" t="s">
        <v>35</v>
      </c>
      <c r="J688" s="1"/>
    </row>
    <row r="689" spans="1:16" x14ac:dyDescent="0.3">
      <c r="A689" t="s">
        <v>717</v>
      </c>
      <c r="B689" t="s">
        <v>16</v>
      </c>
      <c r="C689" t="s">
        <v>24</v>
      </c>
      <c r="D689" s="1">
        <v>45955</v>
      </c>
      <c r="E689" s="1"/>
      <c r="F689" s="1"/>
      <c r="G689" s="1"/>
      <c r="H689" t="s">
        <v>25</v>
      </c>
      <c r="I689" t="s">
        <v>26</v>
      </c>
      <c r="J689" s="1"/>
    </row>
    <row r="690" spans="1:16" x14ac:dyDescent="0.3">
      <c r="A690" t="s">
        <v>718</v>
      </c>
      <c r="B690" t="s">
        <v>34</v>
      </c>
      <c r="C690" t="s">
        <v>17</v>
      </c>
      <c r="D690" s="1">
        <v>45952</v>
      </c>
      <c r="E690" s="1">
        <v>45955</v>
      </c>
      <c r="F690" s="1">
        <v>45960</v>
      </c>
      <c r="G690" s="1">
        <v>45963</v>
      </c>
      <c r="H690" t="s">
        <v>18</v>
      </c>
      <c r="I690" t="s">
        <v>19</v>
      </c>
      <c r="J690" s="1">
        <v>45976</v>
      </c>
      <c r="K690">
        <v>3</v>
      </c>
      <c r="L690">
        <v>5</v>
      </c>
      <c r="M690">
        <v>3</v>
      </c>
      <c r="N690">
        <v>5</v>
      </c>
      <c r="O690">
        <v>11</v>
      </c>
      <c r="P690" t="s">
        <v>1049</v>
      </c>
    </row>
    <row r="691" spans="1:16" x14ac:dyDescent="0.3">
      <c r="A691" t="s">
        <v>719</v>
      </c>
      <c r="B691" t="s">
        <v>16</v>
      </c>
      <c r="C691" t="s">
        <v>32</v>
      </c>
      <c r="D691" s="1">
        <v>45952</v>
      </c>
      <c r="E691" s="1">
        <v>45956</v>
      </c>
      <c r="F691" s="1">
        <v>45957</v>
      </c>
      <c r="G691" s="1">
        <v>45961</v>
      </c>
      <c r="H691" t="s">
        <v>18</v>
      </c>
      <c r="I691" t="s">
        <v>19</v>
      </c>
      <c r="J691" s="1">
        <v>45983</v>
      </c>
      <c r="K691">
        <v>4</v>
      </c>
      <c r="L691">
        <v>1</v>
      </c>
      <c r="M691">
        <v>4</v>
      </c>
      <c r="N691">
        <v>2</v>
      </c>
      <c r="O691">
        <v>9</v>
      </c>
      <c r="P691" t="s">
        <v>1049</v>
      </c>
    </row>
    <row r="692" spans="1:16" x14ac:dyDescent="0.3">
      <c r="A692" t="s">
        <v>720</v>
      </c>
      <c r="B692" t="s">
        <v>21</v>
      </c>
      <c r="C692" t="s">
        <v>17</v>
      </c>
      <c r="D692" s="1">
        <v>45957</v>
      </c>
      <c r="E692" s="1">
        <v>45960</v>
      </c>
      <c r="F692" s="1">
        <v>45962</v>
      </c>
      <c r="G692" s="1">
        <v>45968</v>
      </c>
      <c r="H692" t="s">
        <v>18</v>
      </c>
      <c r="I692" t="s">
        <v>19</v>
      </c>
      <c r="J692" s="1">
        <v>45994</v>
      </c>
      <c r="K692">
        <v>3</v>
      </c>
      <c r="L692">
        <v>2</v>
      </c>
      <c r="M692">
        <v>6</v>
      </c>
      <c r="N692">
        <v>7</v>
      </c>
      <c r="O692">
        <v>11</v>
      </c>
      <c r="P692" t="s">
        <v>1041</v>
      </c>
    </row>
    <row r="693" spans="1:16" x14ac:dyDescent="0.3">
      <c r="A693" t="s">
        <v>721</v>
      </c>
      <c r="B693" t="s">
        <v>23</v>
      </c>
      <c r="C693" t="s">
        <v>17</v>
      </c>
      <c r="D693" s="1">
        <v>45935</v>
      </c>
      <c r="E693" s="1">
        <v>45938</v>
      </c>
      <c r="F693" s="1">
        <v>45941</v>
      </c>
      <c r="G693" s="1">
        <v>45945</v>
      </c>
      <c r="H693" t="s">
        <v>18</v>
      </c>
      <c r="I693" t="s">
        <v>19</v>
      </c>
      <c r="J693" s="1">
        <v>45964</v>
      </c>
      <c r="K693">
        <v>3</v>
      </c>
      <c r="L693">
        <v>3</v>
      </c>
      <c r="M693">
        <v>4</v>
      </c>
      <c r="N693">
        <v>3</v>
      </c>
      <c r="O693">
        <v>10</v>
      </c>
      <c r="P693" t="s">
        <v>1049</v>
      </c>
    </row>
    <row r="694" spans="1:16" x14ac:dyDescent="0.3">
      <c r="A694" t="s">
        <v>722</v>
      </c>
      <c r="B694" t="s">
        <v>23</v>
      </c>
      <c r="C694" t="s">
        <v>32</v>
      </c>
      <c r="D694" s="1">
        <v>45951</v>
      </c>
      <c r="E694" s="1">
        <v>45953</v>
      </c>
      <c r="F694" s="1">
        <v>45954</v>
      </c>
      <c r="G694" s="1">
        <v>45961</v>
      </c>
      <c r="H694" t="s">
        <v>18</v>
      </c>
      <c r="I694" t="s">
        <v>19</v>
      </c>
      <c r="J694" s="1">
        <v>45984</v>
      </c>
      <c r="K694">
        <v>2</v>
      </c>
      <c r="L694">
        <v>1</v>
      </c>
      <c r="M694">
        <v>7</v>
      </c>
      <c r="N694">
        <v>8</v>
      </c>
      <c r="O694">
        <v>10</v>
      </c>
      <c r="P694" t="s">
        <v>1041</v>
      </c>
    </row>
    <row r="695" spans="1:16" x14ac:dyDescent="0.3">
      <c r="A695" t="s">
        <v>723</v>
      </c>
      <c r="B695" t="s">
        <v>23</v>
      </c>
      <c r="C695" t="s">
        <v>32</v>
      </c>
      <c r="D695" s="1">
        <v>45934</v>
      </c>
      <c r="E695" s="1">
        <v>45935</v>
      </c>
      <c r="F695" s="1">
        <v>45937</v>
      </c>
      <c r="G695" s="1">
        <v>45943</v>
      </c>
      <c r="H695" t="s">
        <v>18</v>
      </c>
      <c r="I695" t="s">
        <v>19</v>
      </c>
      <c r="J695" s="1">
        <v>45954</v>
      </c>
      <c r="K695">
        <v>1</v>
      </c>
      <c r="L695">
        <v>2</v>
      </c>
      <c r="M695">
        <v>6</v>
      </c>
      <c r="N695">
        <v>7</v>
      </c>
      <c r="O695">
        <v>9</v>
      </c>
      <c r="P695" t="s">
        <v>1041</v>
      </c>
    </row>
    <row r="696" spans="1:16" x14ac:dyDescent="0.3">
      <c r="A696" t="s">
        <v>724</v>
      </c>
      <c r="B696" t="s">
        <v>34</v>
      </c>
      <c r="C696" t="s">
        <v>17</v>
      </c>
      <c r="D696" s="1">
        <v>45959</v>
      </c>
      <c r="E696" s="1">
        <v>45960</v>
      </c>
      <c r="F696" s="1">
        <v>45965</v>
      </c>
      <c r="G696" s="1">
        <v>45968</v>
      </c>
      <c r="H696" t="s">
        <v>18</v>
      </c>
      <c r="I696" t="s">
        <v>19</v>
      </c>
      <c r="J696" s="1">
        <v>45982</v>
      </c>
      <c r="K696">
        <v>1</v>
      </c>
      <c r="L696">
        <v>5</v>
      </c>
      <c r="M696">
        <v>3</v>
      </c>
      <c r="N696">
        <v>2</v>
      </c>
      <c r="O696">
        <v>9</v>
      </c>
      <c r="P696" t="s">
        <v>1049</v>
      </c>
    </row>
    <row r="697" spans="1:16" x14ac:dyDescent="0.3">
      <c r="A697" t="s">
        <v>725</v>
      </c>
      <c r="B697" t="s">
        <v>23</v>
      </c>
      <c r="C697" t="s">
        <v>32</v>
      </c>
      <c r="D697" s="1">
        <v>45951</v>
      </c>
      <c r="E697" s="1">
        <v>45953</v>
      </c>
      <c r="F697" s="1">
        <v>45955</v>
      </c>
      <c r="G697" s="1">
        <v>45960</v>
      </c>
      <c r="H697" t="s">
        <v>18</v>
      </c>
      <c r="I697" t="s">
        <v>19</v>
      </c>
      <c r="J697" s="1">
        <v>45974</v>
      </c>
      <c r="K697">
        <v>2</v>
      </c>
      <c r="L697">
        <v>2</v>
      </c>
      <c r="M697">
        <v>5</v>
      </c>
      <c r="N697">
        <v>2</v>
      </c>
      <c r="O697">
        <v>9</v>
      </c>
      <c r="P697" t="s">
        <v>1049</v>
      </c>
    </row>
    <row r="698" spans="1:16" x14ac:dyDescent="0.3">
      <c r="A698" t="s">
        <v>726</v>
      </c>
      <c r="B698" t="s">
        <v>21</v>
      </c>
      <c r="C698" t="s">
        <v>17</v>
      </c>
      <c r="D698" s="1">
        <v>45951</v>
      </c>
      <c r="E698" s="1">
        <v>45955</v>
      </c>
      <c r="F698" s="1">
        <v>45959</v>
      </c>
      <c r="G698" s="1">
        <v>45963</v>
      </c>
      <c r="H698" t="s">
        <v>18</v>
      </c>
      <c r="I698" t="s">
        <v>19</v>
      </c>
      <c r="J698" s="1">
        <v>45979</v>
      </c>
      <c r="K698">
        <v>4</v>
      </c>
      <c r="L698">
        <v>4</v>
      </c>
      <c r="M698">
        <v>4</v>
      </c>
      <c r="N698">
        <v>9</v>
      </c>
      <c r="O698">
        <v>12</v>
      </c>
      <c r="P698" t="s">
        <v>1050</v>
      </c>
    </row>
    <row r="699" spans="1:16" x14ac:dyDescent="0.3">
      <c r="A699" t="s">
        <v>727</v>
      </c>
      <c r="B699" t="s">
        <v>34</v>
      </c>
      <c r="C699" t="s">
        <v>24</v>
      </c>
      <c r="D699" s="1">
        <v>45932</v>
      </c>
      <c r="E699" s="1"/>
      <c r="F699" s="1"/>
      <c r="G699" s="1"/>
      <c r="H699" t="s">
        <v>25</v>
      </c>
      <c r="I699" t="s">
        <v>103</v>
      </c>
      <c r="J699" s="1"/>
    </row>
    <row r="700" spans="1:16" x14ac:dyDescent="0.3">
      <c r="A700" t="s">
        <v>728</v>
      </c>
      <c r="B700" t="s">
        <v>21</v>
      </c>
      <c r="C700" t="s">
        <v>24</v>
      </c>
      <c r="D700" s="1">
        <v>45940</v>
      </c>
      <c r="E700" s="1"/>
      <c r="F700" s="1"/>
      <c r="G700" s="1"/>
      <c r="H700" t="s">
        <v>25</v>
      </c>
      <c r="I700" t="s">
        <v>103</v>
      </c>
      <c r="J700" s="1"/>
    </row>
    <row r="701" spans="1:16" x14ac:dyDescent="0.3">
      <c r="A701" t="s">
        <v>729</v>
      </c>
      <c r="B701" t="s">
        <v>16</v>
      </c>
      <c r="C701" t="s">
        <v>32</v>
      </c>
      <c r="D701" s="1">
        <v>45956</v>
      </c>
      <c r="E701" s="1">
        <v>45961</v>
      </c>
      <c r="F701" s="1">
        <v>45962</v>
      </c>
      <c r="G701" s="1">
        <v>45968</v>
      </c>
      <c r="H701" t="s">
        <v>18</v>
      </c>
      <c r="I701" t="s">
        <v>19</v>
      </c>
      <c r="J701" s="1">
        <v>45988</v>
      </c>
      <c r="K701">
        <v>5</v>
      </c>
      <c r="L701">
        <v>1</v>
      </c>
      <c r="M701">
        <v>6</v>
      </c>
      <c r="N701">
        <v>7</v>
      </c>
      <c r="O701">
        <v>12</v>
      </c>
      <c r="P701" t="s">
        <v>1041</v>
      </c>
    </row>
    <row r="702" spans="1:16" x14ac:dyDescent="0.3">
      <c r="A702" t="s">
        <v>730</v>
      </c>
      <c r="B702" t="s">
        <v>16</v>
      </c>
      <c r="C702" t="s">
        <v>24</v>
      </c>
      <c r="D702" s="1">
        <v>45945</v>
      </c>
      <c r="E702" s="1"/>
      <c r="F702" s="1"/>
      <c r="G702" s="1"/>
      <c r="H702" t="s">
        <v>25</v>
      </c>
      <c r="I702" t="s">
        <v>65</v>
      </c>
      <c r="J702" s="1"/>
    </row>
    <row r="703" spans="1:16" x14ac:dyDescent="0.3">
      <c r="A703" t="s">
        <v>731</v>
      </c>
      <c r="B703" t="s">
        <v>16</v>
      </c>
      <c r="C703" t="s">
        <v>32</v>
      </c>
      <c r="D703" s="1">
        <v>45932</v>
      </c>
      <c r="E703" s="1">
        <v>45936</v>
      </c>
      <c r="F703" s="1">
        <v>45939</v>
      </c>
      <c r="G703" s="1">
        <v>45944</v>
      </c>
      <c r="H703" t="s">
        <v>18</v>
      </c>
      <c r="I703" t="s">
        <v>19</v>
      </c>
      <c r="J703" s="1">
        <v>45967</v>
      </c>
      <c r="K703">
        <v>4</v>
      </c>
      <c r="L703">
        <v>3</v>
      </c>
      <c r="M703">
        <v>5</v>
      </c>
      <c r="N703">
        <v>9</v>
      </c>
      <c r="O703">
        <v>12</v>
      </c>
      <c r="P703" t="s">
        <v>1050</v>
      </c>
    </row>
    <row r="704" spans="1:16" x14ac:dyDescent="0.3">
      <c r="A704" t="s">
        <v>732</v>
      </c>
      <c r="B704" t="s">
        <v>16</v>
      </c>
      <c r="C704" t="s">
        <v>32</v>
      </c>
      <c r="D704" s="1">
        <v>45949</v>
      </c>
      <c r="E704" s="1">
        <v>45954</v>
      </c>
      <c r="F704" s="1">
        <v>45956</v>
      </c>
      <c r="G704" s="1">
        <v>45959</v>
      </c>
      <c r="H704" t="s">
        <v>25</v>
      </c>
      <c r="I704" t="s">
        <v>28</v>
      </c>
      <c r="J704" s="1"/>
      <c r="K704">
        <v>5</v>
      </c>
      <c r="L704">
        <v>2</v>
      </c>
      <c r="M704">
        <v>3</v>
      </c>
      <c r="O704">
        <v>10</v>
      </c>
    </row>
    <row r="705" spans="1:16" x14ac:dyDescent="0.3">
      <c r="A705" t="s">
        <v>733</v>
      </c>
      <c r="B705" t="s">
        <v>21</v>
      </c>
      <c r="C705" t="s">
        <v>17</v>
      </c>
      <c r="D705" s="1">
        <v>45942</v>
      </c>
      <c r="E705" s="1">
        <v>45943</v>
      </c>
      <c r="F705" s="1">
        <v>45948</v>
      </c>
      <c r="G705" s="1">
        <v>45955</v>
      </c>
      <c r="H705" t="s">
        <v>18</v>
      </c>
      <c r="I705" t="s">
        <v>19</v>
      </c>
      <c r="J705" s="1">
        <v>45983</v>
      </c>
      <c r="K705">
        <v>1</v>
      </c>
      <c r="L705">
        <v>5</v>
      </c>
      <c r="M705">
        <v>7</v>
      </c>
      <c r="N705">
        <v>2</v>
      </c>
      <c r="O705">
        <v>13</v>
      </c>
      <c r="P705" t="s">
        <v>1049</v>
      </c>
    </row>
    <row r="706" spans="1:16" x14ac:dyDescent="0.3">
      <c r="A706" t="s">
        <v>734</v>
      </c>
      <c r="B706" t="s">
        <v>34</v>
      </c>
      <c r="C706" t="s">
        <v>17</v>
      </c>
      <c r="D706" s="1">
        <v>45954</v>
      </c>
      <c r="E706" s="1">
        <v>45957</v>
      </c>
      <c r="F706" s="1">
        <v>45959</v>
      </c>
      <c r="G706" s="1">
        <v>45965</v>
      </c>
      <c r="H706" t="s">
        <v>18</v>
      </c>
      <c r="I706" t="s">
        <v>19</v>
      </c>
      <c r="J706" s="1">
        <v>45989</v>
      </c>
      <c r="K706">
        <v>3</v>
      </c>
      <c r="L706">
        <v>2</v>
      </c>
      <c r="M706">
        <v>6</v>
      </c>
      <c r="N706">
        <v>9</v>
      </c>
      <c r="O706">
        <v>11</v>
      </c>
      <c r="P706" t="s">
        <v>1050</v>
      </c>
    </row>
    <row r="707" spans="1:16" x14ac:dyDescent="0.3">
      <c r="A707" t="s">
        <v>735</v>
      </c>
      <c r="B707" t="s">
        <v>34</v>
      </c>
      <c r="C707" t="s">
        <v>17</v>
      </c>
      <c r="D707" s="1">
        <v>45935</v>
      </c>
      <c r="E707" s="1">
        <v>45938</v>
      </c>
      <c r="F707" s="1">
        <v>45943</v>
      </c>
      <c r="G707" s="1">
        <v>45946</v>
      </c>
      <c r="H707" t="s">
        <v>18</v>
      </c>
      <c r="I707" t="s">
        <v>19</v>
      </c>
      <c r="J707" s="1">
        <v>45960</v>
      </c>
      <c r="K707">
        <v>3</v>
      </c>
      <c r="L707">
        <v>5</v>
      </c>
      <c r="M707">
        <v>3</v>
      </c>
      <c r="N707">
        <v>2</v>
      </c>
      <c r="O707">
        <v>11</v>
      </c>
      <c r="P707" t="s">
        <v>1049</v>
      </c>
    </row>
    <row r="708" spans="1:16" x14ac:dyDescent="0.3">
      <c r="A708" t="s">
        <v>736</v>
      </c>
      <c r="B708" t="s">
        <v>23</v>
      </c>
      <c r="C708" t="s">
        <v>17</v>
      </c>
      <c r="D708" s="1">
        <v>45933</v>
      </c>
      <c r="E708" s="1">
        <v>45937</v>
      </c>
      <c r="F708" s="1">
        <v>45941</v>
      </c>
      <c r="G708" s="1">
        <v>45944</v>
      </c>
      <c r="H708" t="s">
        <v>18</v>
      </c>
      <c r="I708" t="s">
        <v>19</v>
      </c>
      <c r="J708" s="1">
        <v>45964</v>
      </c>
      <c r="K708">
        <v>4</v>
      </c>
      <c r="L708">
        <v>4</v>
      </c>
      <c r="M708">
        <v>3</v>
      </c>
      <c r="N708">
        <v>6</v>
      </c>
      <c r="O708">
        <v>11</v>
      </c>
      <c r="P708" t="s">
        <v>1049</v>
      </c>
    </row>
    <row r="709" spans="1:16" x14ac:dyDescent="0.3">
      <c r="A709" t="s">
        <v>737</v>
      </c>
      <c r="B709" t="s">
        <v>21</v>
      </c>
      <c r="C709" t="s">
        <v>32</v>
      </c>
      <c r="D709" s="1">
        <v>45960</v>
      </c>
      <c r="E709" s="1">
        <v>45962</v>
      </c>
      <c r="F709" s="1">
        <v>45967</v>
      </c>
      <c r="G709" s="1">
        <v>45969</v>
      </c>
      <c r="H709" t="s">
        <v>25</v>
      </c>
      <c r="I709" t="s">
        <v>35</v>
      </c>
      <c r="J709" s="1"/>
      <c r="K709">
        <v>2</v>
      </c>
      <c r="L709">
        <v>5</v>
      </c>
      <c r="M709">
        <v>2</v>
      </c>
      <c r="O709">
        <v>9</v>
      </c>
    </row>
    <row r="710" spans="1:16" x14ac:dyDescent="0.3">
      <c r="A710" t="s">
        <v>738</v>
      </c>
      <c r="B710" t="s">
        <v>16</v>
      </c>
      <c r="C710" t="s">
        <v>32</v>
      </c>
      <c r="D710" s="1">
        <v>45940</v>
      </c>
      <c r="E710" s="1">
        <v>45945</v>
      </c>
      <c r="F710" s="1">
        <v>45948</v>
      </c>
      <c r="G710" s="1">
        <v>45953</v>
      </c>
      <c r="H710" t="s">
        <v>18</v>
      </c>
      <c r="I710" t="s">
        <v>19</v>
      </c>
      <c r="J710" s="1">
        <v>45968</v>
      </c>
      <c r="K710">
        <v>5</v>
      </c>
      <c r="L710">
        <v>3</v>
      </c>
      <c r="M710">
        <v>5</v>
      </c>
      <c r="N710">
        <v>2</v>
      </c>
      <c r="O710">
        <v>13</v>
      </c>
      <c r="P710" t="s">
        <v>1049</v>
      </c>
    </row>
    <row r="711" spans="1:16" x14ac:dyDescent="0.3">
      <c r="A711" t="s">
        <v>739</v>
      </c>
      <c r="B711" t="s">
        <v>21</v>
      </c>
      <c r="C711" t="s">
        <v>17</v>
      </c>
      <c r="D711" s="1">
        <v>45941</v>
      </c>
      <c r="E711" s="1">
        <v>45944</v>
      </c>
      <c r="F711" s="1">
        <v>45948</v>
      </c>
      <c r="G711" s="1">
        <v>45950</v>
      </c>
      <c r="H711" t="s">
        <v>18</v>
      </c>
      <c r="I711" t="s">
        <v>19</v>
      </c>
      <c r="J711" s="1">
        <v>45962</v>
      </c>
      <c r="K711">
        <v>3</v>
      </c>
      <c r="L711">
        <v>4</v>
      </c>
      <c r="M711">
        <v>2</v>
      </c>
      <c r="N711">
        <v>6</v>
      </c>
      <c r="O711">
        <v>9</v>
      </c>
      <c r="P711" t="s">
        <v>1049</v>
      </c>
    </row>
    <row r="712" spans="1:16" x14ac:dyDescent="0.3">
      <c r="A712" t="s">
        <v>740</v>
      </c>
      <c r="B712" t="s">
        <v>23</v>
      </c>
      <c r="C712" t="s">
        <v>17</v>
      </c>
      <c r="D712" s="1">
        <v>45954</v>
      </c>
      <c r="E712" s="1">
        <v>45958</v>
      </c>
      <c r="F712" s="1">
        <v>45960</v>
      </c>
      <c r="G712" s="1">
        <v>45963</v>
      </c>
      <c r="H712" t="s">
        <v>18</v>
      </c>
      <c r="I712" t="s">
        <v>19</v>
      </c>
      <c r="J712" s="1">
        <v>45988</v>
      </c>
      <c r="K712">
        <v>4</v>
      </c>
      <c r="L712">
        <v>2</v>
      </c>
      <c r="M712">
        <v>3</v>
      </c>
      <c r="N712">
        <v>8</v>
      </c>
      <c r="O712">
        <v>9</v>
      </c>
      <c r="P712" t="s">
        <v>1041</v>
      </c>
    </row>
    <row r="713" spans="1:16" x14ac:dyDescent="0.3">
      <c r="A713" t="s">
        <v>741</v>
      </c>
      <c r="B713" t="s">
        <v>23</v>
      </c>
      <c r="C713" t="s">
        <v>17</v>
      </c>
      <c r="D713" s="1">
        <v>45944</v>
      </c>
      <c r="E713" s="1">
        <v>45946</v>
      </c>
      <c r="F713" s="1">
        <v>45947</v>
      </c>
      <c r="G713" s="1">
        <v>45953</v>
      </c>
      <c r="H713" t="s">
        <v>18</v>
      </c>
      <c r="I713" t="s">
        <v>19</v>
      </c>
      <c r="J713" s="1">
        <v>45973</v>
      </c>
      <c r="K713">
        <v>2</v>
      </c>
      <c r="L713">
        <v>1</v>
      </c>
      <c r="M713">
        <v>6</v>
      </c>
      <c r="N713">
        <v>2</v>
      </c>
      <c r="O713">
        <v>9</v>
      </c>
      <c r="P713" t="s">
        <v>1049</v>
      </c>
    </row>
    <row r="714" spans="1:16" x14ac:dyDescent="0.3">
      <c r="A714" t="s">
        <v>742</v>
      </c>
      <c r="B714" t="s">
        <v>21</v>
      </c>
      <c r="C714" t="s">
        <v>32</v>
      </c>
      <c r="D714" s="1">
        <v>45936</v>
      </c>
      <c r="E714" s="1">
        <v>45937</v>
      </c>
      <c r="F714" s="1">
        <v>45942</v>
      </c>
      <c r="G714" s="1">
        <v>45946</v>
      </c>
      <c r="H714" t="s">
        <v>18</v>
      </c>
      <c r="I714" t="s">
        <v>19</v>
      </c>
      <c r="J714" s="1">
        <v>45976</v>
      </c>
      <c r="K714">
        <v>1</v>
      </c>
      <c r="L714">
        <v>5</v>
      </c>
      <c r="M714">
        <v>4</v>
      </c>
      <c r="N714">
        <v>5</v>
      </c>
      <c r="O714">
        <v>10</v>
      </c>
      <c r="P714" t="s">
        <v>1049</v>
      </c>
    </row>
    <row r="715" spans="1:16" x14ac:dyDescent="0.3">
      <c r="A715" t="s">
        <v>743</v>
      </c>
      <c r="B715" t="s">
        <v>21</v>
      </c>
      <c r="C715" t="s">
        <v>17</v>
      </c>
      <c r="D715" s="1">
        <v>45937</v>
      </c>
      <c r="E715" s="1">
        <v>45939</v>
      </c>
      <c r="F715" s="1">
        <v>45942</v>
      </c>
      <c r="G715" s="1">
        <v>45949</v>
      </c>
      <c r="H715" t="s">
        <v>18</v>
      </c>
      <c r="I715" t="s">
        <v>19</v>
      </c>
      <c r="J715" s="1">
        <v>45964</v>
      </c>
      <c r="K715">
        <v>2</v>
      </c>
      <c r="L715">
        <v>3</v>
      </c>
      <c r="M715">
        <v>7</v>
      </c>
      <c r="N715">
        <v>8</v>
      </c>
      <c r="O715">
        <v>12</v>
      </c>
      <c r="P715" t="s">
        <v>1041</v>
      </c>
    </row>
    <row r="716" spans="1:16" x14ac:dyDescent="0.3">
      <c r="A716" t="s">
        <v>744</v>
      </c>
      <c r="B716" t="s">
        <v>21</v>
      </c>
      <c r="C716" t="s">
        <v>32</v>
      </c>
      <c r="D716" s="1">
        <v>45935</v>
      </c>
      <c r="E716" s="1">
        <v>45936</v>
      </c>
      <c r="F716" s="1">
        <v>45937</v>
      </c>
      <c r="G716" s="1">
        <v>45944</v>
      </c>
      <c r="H716" t="s">
        <v>18</v>
      </c>
      <c r="I716" t="s">
        <v>19</v>
      </c>
      <c r="J716" s="1">
        <v>45964</v>
      </c>
      <c r="K716">
        <v>1</v>
      </c>
      <c r="L716">
        <v>1</v>
      </c>
      <c r="M716">
        <v>7</v>
      </c>
      <c r="N716">
        <v>7</v>
      </c>
      <c r="O716">
        <v>9</v>
      </c>
      <c r="P716" t="s">
        <v>1041</v>
      </c>
    </row>
    <row r="717" spans="1:16" x14ac:dyDescent="0.3">
      <c r="A717" t="s">
        <v>745</v>
      </c>
      <c r="B717" t="s">
        <v>34</v>
      </c>
      <c r="C717" t="s">
        <v>32</v>
      </c>
      <c r="D717" s="1">
        <v>45956</v>
      </c>
      <c r="E717" s="1">
        <v>45960</v>
      </c>
      <c r="F717" s="1">
        <v>45961</v>
      </c>
      <c r="G717" s="1">
        <v>45963</v>
      </c>
      <c r="H717" t="s">
        <v>18</v>
      </c>
      <c r="I717" t="s">
        <v>19</v>
      </c>
      <c r="J717" s="1">
        <v>45993</v>
      </c>
      <c r="K717">
        <v>4</v>
      </c>
      <c r="L717">
        <v>1</v>
      </c>
      <c r="M717">
        <v>2</v>
      </c>
      <c r="N717">
        <v>7</v>
      </c>
      <c r="O717">
        <v>7</v>
      </c>
      <c r="P717" t="s">
        <v>1041</v>
      </c>
    </row>
    <row r="718" spans="1:16" x14ac:dyDescent="0.3">
      <c r="A718" t="s">
        <v>746</v>
      </c>
      <c r="B718" t="s">
        <v>16</v>
      </c>
      <c r="C718" t="s">
        <v>17</v>
      </c>
      <c r="D718" s="1">
        <v>45948</v>
      </c>
      <c r="E718" s="1">
        <v>45950</v>
      </c>
      <c r="F718" s="1">
        <v>45954</v>
      </c>
      <c r="G718" s="1">
        <v>45958</v>
      </c>
      <c r="H718" t="s">
        <v>18</v>
      </c>
      <c r="I718" t="s">
        <v>19</v>
      </c>
      <c r="J718" s="1">
        <v>45969</v>
      </c>
      <c r="K718">
        <v>2</v>
      </c>
      <c r="L718">
        <v>4</v>
      </c>
      <c r="M718">
        <v>4</v>
      </c>
      <c r="N718">
        <v>9</v>
      </c>
      <c r="O718">
        <v>10</v>
      </c>
      <c r="P718" t="s">
        <v>1050</v>
      </c>
    </row>
    <row r="719" spans="1:16" x14ac:dyDescent="0.3">
      <c r="A719" t="s">
        <v>747</v>
      </c>
      <c r="B719" t="s">
        <v>21</v>
      </c>
      <c r="C719" t="s">
        <v>32</v>
      </c>
      <c r="D719" s="1">
        <v>45959</v>
      </c>
      <c r="E719" s="1">
        <v>45963</v>
      </c>
      <c r="F719" s="1">
        <v>45965</v>
      </c>
      <c r="G719" s="1">
        <v>45967</v>
      </c>
      <c r="H719" t="s">
        <v>18</v>
      </c>
      <c r="I719" t="s">
        <v>19</v>
      </c>
      <c r="J719" s="1">
        <v>45977</v>
      </c>
      <c r="K719">
        <v>4</v>
      </c>
      <c r="L719">
        <v>2</v>
      </c>
      <c r="M719">
        <v>2</v>
      </c>
      <c r="N719">
        <v>7</v>
      </c>
      <c r="O719">
        <v>8</v>
      </c>
      <c r="P719" t="s">
        <v>1041</v>
      </c>
    </row>
    <row r="720" spans="1:16" x14ac:dyDescent="0.3">
      <c r="A720" t="s">
        <v>748</v>
      </c>
      <c r="B720" t="s">
        <v>21</v>
      </c>
      <c r="C720" t="s">
        <v>32</v>
      </c>
      <c r="D720" s="1">
        <v>45942</v>
      </c>
      <c r="E720" s="1">
        <v>45943</v>
      </c>
      <c r="F720" s="1">
        <v>45944</v>
      </c>
      <c r="G720" s="1">
        <v>45951</v>
      </c>
      <c r="H720" t="s">
        <v>18</v>
      </c>
      <c r="I720" t="s">
        <v>19</v>
      </c>
      <c r="J720" s="1">
        <v>45975</v>
      </c>
      <c r="K720">
        <v>1</v>
      </c>
      <c r="L720">
        <v>1</v>
      </c>
      <c r="M720">
        <v>7</v>
      </c>
      <c r="N720">
        <v>2</v>
      </c>
      <c r="O720">
        <v>9</v>
      </c>
      <c r="P720" t="s">
        <v>1049</v>
      </c>
    </row>
    <row r="721" spans="1:16" x14ac:dyDescent="0.3">
      <c r="A721" t="s">
        <v>749</v>
      </c>
      <c r="B721" t="s">
        <v>21</v>
      </c>
      <c r="C721" t="s">
        <v>17</v>
      </c>
      <c r="D721" s="1">
        <v>45947</v>
      </c>
      <c r="E721" s="1">
        <v>45950</v>
      </c>
      <c r="F721" s="1">
        <v>45953</v>
      </c>
      <c r="G721" s="1">
        <v>45958</v>
      </c>
      <c r="H721" t="s">
        <v>18</v>
      </c>
      <c r="I721" t="s">
        <v>19</v>
      </c>
      <c r="J721" s="1">
        <v>45976</v>
      </c>
      <c r="K721">
        <v>3</v>
      </c>
      <c r="L721">
        <v>3</v>
      </c>
      <c r="M721">
        <v>5</v>
      </c>
      <c r="N721">
        <v>7</v>
      </c>
      <c r="O721">
        <v>11</v>
      </c>
      <c r="P721" t="s">
        <v>1041</v>
      </c>
    </row>
    <row r="722" spans="1:16" x14ac:dyDescent="0.3">
      <c r="A722" t="s">
        <v>750</v>
      </c>
      <c r="B722" t="s">
        <v>23</v>
      </c>
      <c r="C722" t="s">
        <v>17</v>
      </c>
      <c r="D722" s="1">
        <v>45947</v>
      </c>
      <c r="E722" s="1">
        <v>45950</v>
      </c>
      <c r="F722" s="1">
        <v>45955</v>
      </c>
      <c r="G722" s="1">
        <v>45962</v>
      </c>
      <c r="H722" t="s">
        <v>18</v>
      </c>
      <c r="I722" t="s">
        <v>19</v>
      </c>
      <c r="J722" s="1">
        <v>45978</v>
      </c>
      <c r="K722">
        <v>3</v>
      </c>
      <c r="L722">
        <v>5</v>
      </c>
      <c r="M722">
        <v>7</v>
      </c>
      <c r="N722">
        <v>4</v>
      </c>
      <c r="O722">
        <v>15</v>
      </c>
      <c r="P722" t="s">
        <v>1049</v>
      </c>
    </row>
    <row r="723" spans="1:16" x14ac:dyDescent="0.3">
      <c r="A723" t="s">
        <v>751</v>
      </c>
      <c r="B723" t="s">
        <v>23</v>
      </c>
      <c r="C723" t="s">
        <v>17</v>
      </c>
      <c r="D723" s="1">
        <v>45960</v>
      </c>
      <c r="E723" s="1">
        <v>45961</v>
      </c>
      <c r="F723" s="1">
        <v>45966</v>
      </c>
      <c r="G723" s="1">
        <v>45973</v>
      </c>
      <c r="H723" t="s">
        <v>18</v>
      </c>
      <c r="I723" t="s">
        <v>19</v>
      </c>
      <c r="J723" s="1">
        <v>45988</v>
      </c>
      <c r="K723">
        <v>1</v>
      </c>
      <c r="L723">
        <v>5</v>
      </c>
      <c r="M723">
        <v>7</v>
      </c>
      <c r="N723">
        <v>6</v>
      </c>
      <c r="O723">
        <v>13</v>
      </c>
      <c r="P723" t="s">
        <v>1049</v>
      </c>
    </row>
    <row r="724" spans="1:16" x14ac:dyDescent="0.3">
      <c r="A724" t="s">
        <v>752</v>
      </c>
      <c r="B724" t="s">
        <v>34</v>
      </c>
      <c r="C724" t="s">
        <v>32</v>
      </c>
      <c r="D724" s="1">
        <v>45939</v>
      </c>
      <c r="E724" s="1">
        <v>45944</v>
      </c>
      <c r="F724" s="1">
        <v>45949</v>
      </c>
      <c r="G724" s="1">
        <v>45953</v>
      </c>
      <c r="H724" t="s">
        <v>18</v>
      </c>
      <c r="I724" t="s">
        <v>19</v>
      </c>
      <c r="J724" s="1">
        <v>45981</v>
      </c>
      <c r="K724">
        <v>5</v>
      </c>
      <c r="L724">
        <v>5</v>
      </c>
      <c r="M724">
        <v>4</v>
      </c>
      <c r="N724">
        <v>3</v>
      </c>
      <c r="O724">
        <v>14</v>
      </c>
      <c r="P724" t="s">
        <v>1049</v>
      </c>
    </row>
    <row r="725" spans="1:16" x14ac:dyDescent="0.3">
      <c r="A725" t="s">
        <v>753</v>
      </c>
      <c r="B725" t="s">
        <v>16</v>
      </c>
      <c r="C725" t="s">
        <v>32</v>
      </c>
      <c r="D725" s="1">
        <v>45957</v>
      </c>
      <c r="E725" s="1">
        <v>45962</v>
      </c>
      <c r="F725" s="1">
        <v>45966</v>
      </c>
      <c r="G725" s="1">
        <v>45968</v>
      </c>
      <c r="H725" t="s">
        <v>18</v>
      </c>
      <c r="I725" t="s">
        <v>19</v>
      </c>
      <c r="J725" s="1">
        <v>45983</v>
      </c>
      <c r="K725">
        <v>5</v>
      </c>
      <c r="L725">
        <v>4</v>
      </c>
      <c r="M725">
        <v>2</v>
      </c>
      <c r="N725">
        <v>4</v>
      </c>
      <c r="O725">
        <v>11</v>
      </c>
      <c r="P725" t="s">
        <v>1049</v>
      </c>
    </row>
    <row r="726" spans="1:16" x14ac:dyDescent="0.3">
      <c r="A726" t="s">
        <v>754</v>
      </c>
      <c r="B726" t="s">
        <v>34</v>
      </c>
      <c r="C726" t="s">
        <v>32</v>
      </c>
      <c r="D726" s="1">
        <v>45936</v>
      </c>
      <c r="E726" s="1">
        <v>45939</v>
      </c>
      <c r="F726" s="1">
        <v>45942</v>
      </c>
      <c r="G726" s="1">
        <v>45945</v>
      </c>
      <c r="H726" t="s">
        <v>18</v>
      </c>
      <c r="I726" t="s">
        <v>19</v>
      </c>
      <c r="J726" s="1">
        <v>45970</v>
      </c>
      <c r="K726">
        <v>3</v>
      </c>
      <c r="L726">
        <v>3</v>
      </c>
      <c r="M726">
        <v>3</v>
      </c>
      <c r="N726">
        <v>10</v>
      </c>
      <c r="O726">
        <v>9</v>
      </c>
      <c r="P726" t="s">
        <v>1050</v>
      </c>
    </row>
    <row r="727" spans="1:16" x14ac:dyDescent="0.3">
      <c r="A727" t="s">
        <v>755</v>
      </c>
      <c r="B727" t="s">
        <v>16</v>
      </c>
      <c r="C727" t="s">
        <v>32</v>
      </c>
      <c r="D727" s="1">
        <v>45939</v>
      </c>
      <c r="E727" s="1">
        <v>45942</v>
      </c>
      <c r="F727" s="1">
        <v>45943</v>
      </c>
      <c r="G727" s="1">
        <v>45949</v>
      </c>
      <c r="H727" t="s">
        <v>18</v>
      </c>
      <c r="I727" t="s">
        <v>19</v>
      </c>
      <c r="J727" s="1">
        <v>45961</v>
      </c>
      <c r="K727">
        <v>3</v>
      </c>
      <c r="L727">
        <v>1</v>
      </c>
      <c r="M727">
        <v>6</v>
      </c>
      <c r="N727">
        <v>8</v>
      </c>
      <c r="O727">
        <v>10</v>
      </c>
      <c r="P727" t="s">
        <v>1041</v>
      </c>
    </row>
    <row r="728" spans="1:16" x14ac:dyDescent="0.3">
      <c r="A728" t="s">
        <v>756</v>
      </c>
      <c r="B728" t="s">
        <v>23</v>
      </c>
      <c r="C728" t="s">
        <v>17</v>
      </c>
      <c r="D728" s="1">
        <v>45960</v>
      </c>
      <c r="E728" s="1">
        <v>45962</v>
      </c>
      <c r="F728" s="1">
        <v>45965</v>
      </c>
      <c r="G728" s="1">
        <v>45968</v>
      </c>
      <c r="H728" t="s">
        <v>18</v>
      </c>
      <c r="I728" t="s">
        <v>19</v>
      </c>
      <c r="J728" s="1">
        <v>45982</v>
      </c>
      <c r="K728">
        <v>2</v>
      </c>
      <c r="L728">
        <v>3</v>
      </c>
      <c r="M728">
        <v>3</v>
      </c>
      <c r="N728">
        <v>10</v>
      </c>
      <c r="O728">
        <v>8</v>
      </c>
      <c r="P728" t="s">
        <v>1050</v>
      </c>
    </row>
    <row r="729" spans="1:16" x14ac:dyDescent="0.3">
      <c r="A729" t="s">
        <v>757</v>
      </c>
      <c r="B729" t="s">
        <v>23</v>
      </c>
      <c r="C729" t="s">
        <v>24</v>
      </c>
      <c r="D729" s="1">
        <v>45957</v>
      </c>
      <c r="E729" s="1"/>
      <c r="F729" s="1"/>
      <c r="G729" s="1"/>
      <c r="H729" t="s">
        <v>25</v>
      </c>
      <c r="I729" t="s">
        <v>35</v>
      </c>
      <c r="J729" s="1"/>
    </row>
    <row r="730" spans="1:16" x14ac:dyDescent="0.3">
      <c r="A730" t="s">
        <v>758</v>
      </c>
      <c r="B730" t="s">
        <v>23</v>
      </c>
      <c r="C730" t="s">
        <v>17</v>
      </c>
      <c r="D730" s="1">
        <v>45961</v>
      </c>
      <c r="E730" s="1">
        <v>45963</v>
      </c>
      <c r="F730" s="1">
        <v>45967</v>
      </c>
      <c r="G730" s="1">
        <v>45972</v>
      </c>
      <c r="H730" t="s">
        <v>18</v>
      </c>
      <c r="I730" t="s">
        <v>19</v>
      </c>
      <c r="J730" s="1">
        <v>46001</v>
      </c>
      <c r="K730">
        <v>2</v>
      </c>
      <c r="L730">
        <v>4</v>
      </c>
      <c r="M730">
        <v>5</v>
      </c>
      <c r="N730">
        <v>3</v>
      </c>
      <c r="O730">
        <v>11</v>
      </c>
      <c r="P730" t="s">
        <v>1049</v>
      </c>
    </row>
    <row r="731" spans="1:16" x14ac:dyDescent="0.3">
      <c r="A731" t="s">
        <v>759</v>
      </c>
      <c r="B731" t="s">
        <v>34</v>
      </c>
      <c r="C731" t="s">
        <v>17</v>
      </c>
      <c r="D731" s="1">
        <v>45946</v>
      </c>
      <c r="E731" s="1">
        <v>45949</v>
      </c>
      <c r="F731" s="1">
        <v>45953</v>
      </c>
      <c r="G731" s="1">
        <v>45958</v>
      </c>
      <c r="H731" t="s">
        <v>18</v>
      </c>
      <c r="I731" t="s">
        <v>19</v>
      </c>
      <c r="J731" s="1">
        <v>45981</v>
      </c>
      <c r="K731">
        <v>3</v>
      </c>
      <c r="L731">
        <v>4</v>
      </c>
      <c r="M731">
        <v>5</v>
      </c>
      <c r="N731">
        <v>9</v>
      </c>
      <c r="O731">
        <v>12</v>
      </c>
      <c r="P731" t="s">
        <v>1050</v>
      </c>
    </row>
    <row r="732" spans="1:16" x14ac:dyDescent="0.3">
      <c r="A732" t="s">
        <v>760</v>
      </c>
      <c r="B732" t="s">
        <v>21</v>
      </c>
      <c r="C732" t="s">
        <v>17</v>
      </c>
      <c r="D732" s="1">
        <v>45961</v>
      </c>
      <c r="E732" s="1">
        <v>45966</v>
      </c>
      <c r="F732" s="1">
        <v>45968</v>
      </c>
      <c r="G732" s="1">
        <v>45970</v>
      </c>
      <c r="H732" t="s">
        <v>18</v>
      </c>
      <c r="I732" t="s">
        <v>19</v>
      </c>
      <c r="J732" s="1">
        <v>46000</v>
      </c>
      <c r="K732">
        <v>5</v>
      </c>
      <c r="L732">
        <v>2</v>
      </c>
      <c r="M732">
        <v>2</v>
      </c>
      <c r="N732">
        <v>1</v>
      </c>
      <c r="O732">
        <v>9</v>
      </c>
      <c r="P732" t="s">
        <v>1049</v>
      </c>
    </row>
    <row r="733" spans="1:16" x14ac:dyDescent="0.3">
      <c r="A733" t="s">
        <v>761</v>
      </c>
      <c r="B733" t="s">
        <v>21</v>
      </c>
      <c r="C733" t="s">
        <v>17</v>
      </c>
      <c r="D733" s="1">
        <v>45956</v>
      </c>
      <c r="E733" s="1">
        <v>45958</v>
      </c>
      <c r="F733" s="1">
        <v>45961</v>
      </c>
      <c r="G733" s="1">
        <v>45964</v>
      </c>
      <c r="H733" t="s">
        <v>18</v>
      </c>
      <c r="I733" t="s">
        <v>19</v>
      </c>
      <c r="J733" s="1">
        <v>45987</v>
      </c>
      <c r="K733">
        <v>2</v>
      </c>
      <c r="L733">
        <v>3</v>
      </c>
      <c r="M733">
        <v>3</v>
      </c>
      <c r="N733">
        <v>8</v>
      </c>
      <c r="O733">
        <v>8</v>
      </c>
      <c r="P733" t="s">
        <v>1041</v>
      </c>
    </row>
    <row r="734" spans="1:16" x14ac:dyDescent="0.3">
      <c r="A734" t="s">
        <v>762</v>
      </c>
      <c r="B734" t="s">
        <v>23</v>
      </c>
      <c r="C734" t="s">
        <v>17</v>
      </c>
      <c r="D734" s="1">
        <v>45940</v>
      </c>
      <c r="E734" s="1">
        <v>45941</v>
      </c>
      <c r="F734" s="1">
        <v>45946</v>
      </c>
      <c r="G734" s="1">
        <v>45953</v>
      </c>
      <c r="H734" t="s">
        <v>18</v>
      </c>
      <c r="I734" t="s">
        <v>19</v>
      </c>
      <c r="J734" s="1">
        <v>45975</v>
      </c>
      <c r="K734">
        <v>1</v>
      </c>
      <c r="L734">
        <v>5</v>
      </c>
      <c r="M734">
        <v>7</v>
      </c>
      <c r="N734">
        <v>6</v>
      </c>
      <c r="O734">
        <v>13</v>
      </c>
      <c r="P734" t="s">
        <v>1049</v>
      </c>
    </row>
    <row r="735" spans="1:16" x14ac:dyDescent="0.3">
      <c r="A735" t="s">
        <v>763</v>
      </c>
      <c r="B735" t="s">
        <v>21</v>
      </c>
      <c r="C735" t="s">
        <v>17</v>
      </c>
      <c r="D735" s="1">
        <v>45954</v>
      </c>
      <c r="E735" s="1">
        <v>45956</v>
      </c>
      <c r="F735" s="1">
        <v>45960</v>
      </c>
      <c r="G735" s="1">
        <v>45964</v>
      </c>
      <c r="H735" t="s">
        <v>18</v>
      </c>
      <c r="I735" t="s">
        <v>19</v>
      </c>
      <c r="J735" s="1">
        <v>45987</v>
      </c>
      <c r="K735">
        <v>2</v>
      </c>
      <c r="L735">
        <v>4</v>
      </c>
      <c r="M735">
        <v>4</v>
      </c>
      <c r="N735">
        <v>4</v>
      </c>
      <c r="O735">
        <v>10</v>
      </c>
      <c r="P735" t="s">
        <v>1049</v>
      </c>
    </row>
    <row r="736" spans="1:16" x14ac:dyDescent="0.3">
      <c r="A736" t="s">
        <v>764</v>
      </c>
      <c r="B736" t="s">
        <v>21</v>
      </c>
      <c r="C736" t="s">
        <v>17</v>
      </c>
      <c r="D736" s="1">
        <v>45958</v>
      </c>
      <c r="E736" s="1">
        <v>45960</v>
      </c>
      <c r="F736" s="1">
        <v>45964</v>
      </c>
      <c r="G736" s="1">
        <v>45966</v>
      </c>
      <c r="H736" t="s">
        <v>18</v>
      </c>
      <c r="I736" t="s">
        <v>19</v>
      </c>
      <c r="J736" s="1">
        <v>45991</v>
      </c>
      <c r="K736">
        <v>2</v>
      </c>
      <c r="L736">
        <v>4</v>
      </c>
      <c r="M736">
        <v>2</v>
      </c>
      <c r="N736">
        <v>4</v>
      </c>
      <c r="O736">
        <v>8</v>
      </c>
      <c r="P736" t="s">
        <v>1049</v>
      </c>
    </row>
    <row r="737" spans="1:16" x14ac:dyDescent="0.3">
      <c r="A737" t="s">
        <v>765</v>
      </c>
      <c r="B737" t="s">
        <v>34</v>
      </c>
      <c r="C737" t="s">
        <v>32</v>
      </c>
      <c r="D737" s="1">
        <v>45941</v>
      </c>
      <c r="E737" s="1">
        <v>45943</v>
      </c>
      <c r="F737" s="1">
        <v>45945</v>
      </c>
      <c r="G737" s="1">
        <v>45947</v>
      </c>
      <c r="H737" t="s">
        <v>18</v>
      </c>
      <c r="I737" t="s">
        <v>19</v>
      </c>
      <c r="J737" s="1">
        <v>45969</v>
      </c>
      <c r="K737">
        <v>2</v>
      </c>
      <c r="L737">
        <v>2</v>
      </c>
      <c r="M737">
        <v>2</v>
      </c>
      <c r="N737">
        <v>9</v>
      </c>
      <c r="O737">
        <v>6</v>
      </c>
      <c r="P737" t="s">
        <v>1050</v>
      </c>
    </row>
    <row r="738" spans="1:16" x14ac:dyDescent="0.3">
      <c r="A738" t="s">
        <v>766</v>
      </c>
      <c r="B738" t="s">
        <v>16</v>
      </c>
      <c r="C738" t="s">
        <v>17</v>
      </c>
      <c r="D738" s="1">
        <v>45956</v>
      </c>
      <c r="E738" s="1">
        <v>45960</v>
      </c>
      <c r="F738" s="1">
        <v>45965</v>
      </c>
      <c r="G738" s="1">
        <v>45968</v>
      </c>
      <c r="H738" t="s">
        <v>18</v>
      </c>
      <c r="I738" t="s">
        <v>19</v>
      </c>
      <c r="J738" s="1">
        <v>45978</v>
      </c>
      <c r="K738">
        <v>4</v>
      </c>
      <c r="L738">
        <v>5</v>
      </c>
      <c r="M738">
        <v>3</v>
      </c>
      <c r="N738">
        <v>0</v>
      </c>
      <c r="O738">
        <v>12</v>
      </c>
      <c r="P738" t="s">
        <v>1049</v>
      </c>
    </row>
    <row r="739" spans="1:16" x14ac:dyDescent="0.3">
      <c r="A739" t="s">
        <v>767</v>
      </c>
      <c r="B739" t="s">
        <v>23</v>
      </c>
      <c r="C739" t="s">
        <v>24</v>
      </c>
      <c r="D739" s="1">
        <v>45934</v>
      </c>
      <c r="E739" s="1"/>
      <c r="F739" s="1"/>
      <c r="G739" s="1"/>
      <c r="H739" t="s">
        <v>25</v>
      </c>
      <c r="I739" t="s">
        <v>28</v>
      </c>
      <c r="J739" s="1"/>
    </row>
    <row r="740" spans="1:16" x14ac:dyDescent="0.3">
      <c r="A740" t="s">
        <v>768</v>
      </c>
      <c r="B740" t="s">
        <v>23</v>
      </c>
      <c r="C740" t="s">
        <v>32</v>
      </c>
      <c r="D740" s="1">
        <v>45945</v>
      </c>
      <c r="E740" s="1">
        <v>45946</v>
      </c>
      <c r="F740" s="1">
        <v>45950</v>
      </c>
      <c r="G740" s="1">
        <v>45956</v>
      </c>
      <c r="H740" t="s">
        <v>18</v>
      </c>
      <c r="I740" t="s">
        <v>19</v>
      </c>
      <c r="J740" s="1">
        <v>45967</v>
      </c>
      <c r="K740">
        <v>1</v>
      </c>
      <c r="L740">
        <v>4</v>
      </c>
      <c r="M740">
        <v>6</v>
      </c>
      <c r="N740">
        <v>7</v>
      </c>
      <c r="O740">
        <v>11</v>
      </c>
      <c r="P740" t="s">
        <v>1041</v>
      </c>
    </row>
    <row r="741" spans="1:16" x14ac:dyDescent="0.3">
      <c r="A741" t="s">
        <v>769</v>
      </c>
      <c r="B741" t="s">
        <v>34</v>
      </c>
      <c r="C741" t="s">
        <v>32</v>
      </c>
      <c r="D741" s="1">
        <v>45961</v>
      </c>
      <c r="E741" s="1">
        <v>45964</v>
      </c>
      <c r="F741" s="1">
        <v>45965</v>
      </c>
      <c r="G741" s="1">
        <v>45970</v>
      </c>
      <c r="H741" t="s">
        <v>18</v>
      </c>
      <c r="I741" t="s">
        <v>19</v>
      </c>
      <c r="J741" s="1">
        <v>45997</v>
      </c>
      <c r="K741">
        <v>3</v>
      </c>
      <c r="L741">
        <v>1</v>
      </c>
      <c r="M741">
        <v>5</v>
      </c>
      <c r="N741">
        <v>7</v>
      </c>
      <c r="O741">
        <v>9</v>
      </c>
      <c r="P741" t="s">
        <v>1041</v>
      </c>
    </row>
    <row r="742" spans="1:16" x14ac:dyDescent="0.3">
      <c r="A742" t="s">
        <v>770</v>
      </c>
      <c r="B742" t="s">
        <v>34</v>
      </c>
      <c r="C742" t="s">
        <v>17</v>
      </c>
      <c r="D742" s="1">
        <v>45933</v>
      </c>
      <c r="E742" s="1">
        <v>45938</v>
      </c>
      <c r="F742" s="1">
        <v>45943</v>
      </c>
      <c r="G742" s="1">
        <v>45950</v>
      </c>
      <c r="H742" t="s">
        <v>18</v>
      </c>
      <c r="I742" t="s">
        <v>19</v>
      </c>
      <c r="J742" s="1">
        <v>45966</v>
      </c>
      <c r="K742">
        <v>5</v>
      </c>
      <c r="L742">
        <v>5</v>
      </c>
      <c r="M742">
        <v>7</v>
      </c>
      <c r="N742">
        <v>1</v>
      </c>
      <c r="O742">
        <v>17</v>
      </c>
      <c r="P742" t="s">
        <v>1049</v>
      </c>
    </row>
    <row r="743" spans="1:16" x14ac:dyDescent="0.3">
      <c r="A743" t="s">
        <v>771</v>
      </c>
      <c r="B743" t="s">
        <v>21</v>
      </c>
      <c r="C743" t="s">
        <v>17</v>
      </c>
      <c r="D743" s="1">
        <v>45935</v>
      </c>
      <c r="E743" s="1">
        <v>45940</v>
      </c>
      <c r="F743" s="1">
        <v>45943</v>
      </c>
      <c r="G743" s="1">
        <v>45947</v>
      </c>
      <c r="H743" t="s">
        <v>18</v>
      </c>
      <c r="I743" t="s">
        <v>19</v>
      </c>
      <c r="J743" s="1">
        <v>45968</v>
      </c>
      <c r="K743">
        <v>5</v>
      </c>
      <c r="L743">
        <v>3</v>
      </c>
      <c r="M743">
        <v>4</v>
      </c>
      <c r="N743">
        <v>2</v>
      </c>
      <c r="O743">
        <v>12</v>
      </c>
      <c r="P743" t="s">
        <v>1049</v>
      </c>
    </row>
    <row r="744" spans="1:16" x14ac:dyDescent="0.3">
      <c r="A744" t="s">
        <v>772</v>
      </c>
      <c r="B744" t="s">
        <v>23</v>
      </c>
      <c r="C744" t="s">
        <v>17</v>
      </c>
      <c r="D744" s="1">
        <v>45955</v>
      </c>
      <c r="E744" s="1">
        <v>45958</v>
      </c>
      <c r="F744" s="1">
        <v>45960</v>
      </c>
      <c r="G744" s="1">
        <v>45965</v>
      </c>
      <c r="H744" t="s">
        <v>18</v>
      </c>
      <c r="I744" t="s">
        <v>19</v>
      </c>
      <c r="J744" s="1">
        <v>45975</v>
      </c>
      <c r="K744">
        <v>3</v>
      </c>
      <c r="L744">
        <v>2</v>
      </c>
      <c r="M744">
        <v>5</v>
      </c>
      <c r="N744">
        <v>2</v>
      </c>
      <c r="O744">
        <v>10</v>
      </c>
      <c r="P744" t="s">
        <v>1049</v>
      </c>
    </row>
    <row r="745" spans="1:16" x14ac:dyDescent="0.3">
      <c r="A745" t="s">
        <v>773</v>
      </c>
      <c r="B745" t="s">
        <v>16</v>
      </c>
      <c r="C745" t="s">
        <v>17</v>
      </c>
      <c r="D745" s="1">
        <v>45961</v>
      </c>
      <c r="E745" s="1">
        <v>45965</v>
      </c>
      <c r="F745" s="1">
        <v>45966</v>
      </c>
      <c r="G745" s="1">
        <v>45973</v>
      </c>
      <c r="H745" t="s">
        <v>18</v>
      </c>
      <c r="I745" t="s">
        <v>19</v>
      </c>
      <c r="J745" s="1">
        <v>45993</v>
      </c>
      <c r="K745">
        <v>4</v>
      </c>
      <c r="L745">
        <v>1</v>
      </c>
      <c r="M745">
        <v>7</v>
      </c>
      <c r="N745">
        <v>1</v>
      </c>
      <c r="O745">
        <v>12</v>
      </c>
      <c r="P745" t="s">
        <v>1049</v>
      </c>
    </row>
    <row r="746" spans="1:16" x14ac:dyDescent="0.3">
      <c r="A746" t="s">
        <v>774</v>
      </c>
      <c r="B746" t="s">
        <v>34</v>
      </c>
      <c r="C746" t="s">
        <v>32</v>
      </c>
      <c r="D746" s="1">
        <v>45938</v>
      </c>
      <c r="E746" s="1">
        <v>45943</v>
      </c>
      <c r="F746" s="1">
        <v>45944</v>
      </c>
      <c r="G746" s="1">
        <v>45946</v>
      </c>
      <c r="H746" t="s">
        <v>18</v>
      </c>
      <c r="I746" t="s">
        <v>19</v>
      </c>
      <c r="J746" s="1">
        <v>45972</v>
      </c>
      <c r="K746">
        <v>5</v>
      </c>
      <c r="L746">
        <v>1</v>
      </c>
      <c r="M746">
        <v>2</v>
      </c>
      <c r="N746">
        <v>5</v>
      </c>
      <c r="O746">
        <v>8</v>
      </c>
      <c r="P746" t="s">
        <v>1049</v>
      </c>
    </row>
    <row r="747" spans="1:16" x14ac:dyDescent="0.3">
      <c r="A747" t="s">
        <v>775</v>
      </c>
      <c r="B747" t="s">
        <v>16</v>
      </c>
      <c r="C747" t="s">
        <v>17</v>
      </c>
      <c r="D747" s="1">
        <v>45958</v>
      </c>
      <c r="E747" s="1">
        <v>45960</v>
      </c>
      <c r="F747" s="1">
        <v>45963</v>
      </c>
      <c r="G747" s="1">
        <v>45969</v>
      </c>
      <c r="H747" t="s">
        <v>18</v>
      </c>
      <c r="I747" t="s">
        <v>19</v>
      </c>
      <c r="J747" s="1">
        <v>45985</v>
      </c>
      <c r="K747">
        <v>2</v>
      </c>
      <c r="L747">
        <v>3</v>
      </c>
      <c r="M747">
        <v>6</v>
      </c>
      <c r="N747">
        <v>9</v>
      </c>
      <c r="O747">
        <v>11</v>
      </c>
      <c r="P747" t="s">
        <v>1050</v>
      </c>
    </row>
    <row r="748" spans="1:16" x14ac:dyDescent="0.3">
      <c r="A748" t="s">
        <v>776</v>
      </c>
      <c r="B748" t="s">
        <v>16</v>
      </c>
      <c r="C748" t="s">
        <v>17</v>
      </c>
      <c r="D748" s="1">
        <v>45952</v>
      </c>
      <c r="E748" s="1">
        <v>45957</v>
      </c>
      <c r="F748" s="1">
        <v>45959</v>
      </c>
      <c r="G748" s="1">
        <v>45961</v>
      </c>
      <c r="H748" t="s">
        <v>25</v>
      </c>
      <c r="I748" t="s">
        <v>103</v>
      </c>
      <c r="J748" s="1"/>
      <c r="K748">
        <v>5</v>
      </c>
      <c r="L748">
        <v>2</v>
      </c>
      <c r="M748">
        <v>2</v>
      </c>
      <c r="O748">
        <v>9</v>
      </c>
    </row>
    <row r="749" spans="1:16" x14ac:dyDescent="0.3">
      <c r="A749" t="s">
        <v>777</v>
      </c>
      <c r="B749" t="s">
        <v>23</v>
      </c>
      <c r="C749" t="s">
        <v>24</v>
      </c>
      <c r="D749" s="1">
        <v>45954</v>
      </c>
      <c r="E749" s="1"/>
      <c r="F749" s="1"/>
      <c r="G749" s="1"/>
      <c r="H749" t="s">
        <v>25</v>
      </c>
      <c r="I749" t="s">
        <v>65</v>
      </c>
      <c r="J749" s="1"/>
    </row>
    <row r="750" spans="1:16" x14ac:dyDescent="0.3">
      <c r="A750" t="s">
        <v>778</v>
      </c>
      <c r="B750" t="s">
        <v>23</v>
      </c>
      <c r="C750" t="s">
        <v>17</v>
      </c>
      <c r="D750" s="1">
        <v>45952</v>
      </c>
      <c r="E750" s="1">
        <v>45953</v>
      </c>
      <c r="F750" s="1">
        <v>45957</v>
      </c>
      <c r="G750" s="1">
        <v>45963</v>
      </c>
      <c r="H750" t="s">
        <v>18</v>
      </c>
      <c r="I750" t="s">
        <v>19</v>
      </c>
      <c r="J750" s="1">
        <v>45973</v>
      </c>
      <c r="K750">
        <v>1</v>
      </c>
      <c r="L750">
        <v>4</v>
      </c>
      <c r="M750">
        <v>6</v>
      </c>
      <c r="N750">
        <v>7</v>
      </c>
      <c r="O750">
        <v>11</v>
      </c>
      <c r="P750" t="s">
        <v>1041</v>
      </c>
    </row>
    <row r="751" spans="1:16" x14ac:dyDescent="0.3">
      <c r="A751" t="s">
        <v>779</v>
      </c>
      <c r="B751" t="s">
        <v>34</v>
      </c>
      <c r="C751" t="s">
        <v>32</v>
      </c>
      <c r="D751" s="1">
        <v>45943</v>
      </c>
      <c r="E751" s="1">
        <v>45944</v>
      </c>
      <c r="F751" s="1">
        <v>45946</v>
      </c>
      <c r="G751" s="1">
        <v>45949</v>
      </c>
      <c r="H751" t="s">
        <v>18</v>
      </c>
      <c r="I751" t="s">
        <v>19</v>
      </c>
      <c r="J751" s="1">
        <v>45959</v>
      </c>
      <c r="K751">
        <v>1</v>
      </c>
      <c r="L751">
        <v>2</v>
      </c>
      <c r="M751">
        <v>3</v>
      </c>
      <c r="N751">
        <v>0</v>
      </c>
      <c r="O751">
        <v>6</v>
      </c>
      <c r="P751" t="s">
        <v>1049</v>
      </c>
    </row>
    <row r="752" spans="1:16" x14ac:dyDescent="0.3">
      <c r="A752" t="s">
        <v>780</v>
      </c>
      <c r="B752" t="s">
        <v>23</v>
      </c>
      <c r="C752" t="s">
        <v>32</v>
      </c>
      <c r="D752" s="1">
        <v>45961</v>
      </c>
      <c r="E752" s="1">
        <v>45964</v>
      </c>
      <c r="F752" s="1">
        <v>45968</v>
      </c>
      <c r="G752" s="1">
        <v>45975</v>
      </c>
      <c r="H752" t="s">
        <v>18</v>
      </c>
      <c r="I752" t="s">
        <v>19</v>
      </c>
      <c r="J752" s="1">
        <v>46005</v>
      </c>
      <c r="K752">
        <v>3</v>
      </c>
      <c r="L752">
        <v>4</v>
      </c>
      <c r="M752">
        <v>7</v>
      </c>
      <c r="N752">
        <v>7</v>
      </c>
      <c r="O752">
        <v>14</v>
      </c>
      <c r="P752" t="s">
        <v>1041</v>
      </c>
    </row>
    <row r="753" spans="1:16" x14ac:dyDescent="0.3">
      <c r="A753" t="s">
        <v>781</v>
      </c>
      <c r="B753" t="s">
        <v>23</v>
      </c>
      <c r="C753" t="s">
        <v>32</v>
      </c>
      <c r="D753" s="1">
        <v>45958</v>
      </c>
      <c r="E753" s="1">
        <v>45962</v>
      </c>
      <c r="F753" s="1">
        <v>45965</v>
      </c>
      <c r="G753" s="1">
        <v>45970</v>
      </c>
      <c r="H753" t="s">
        <v>18</v>
      </c>
      <c r="I753" t="s">
        <v>19</v>
      </c>
      <c r="J753" s="1">
        <v>45987</v>
      </c>
      <c r="K753">
        <v>4</v>
      </c>
      <c r="L753">
        <v>3</v>
      </c>
      <c r="M753">
        <v>5</v>
      </c>
      <c r="N753">
        <v>4</v>
      </c>
      <c r="O753">
        <v>12</v>
      </c>
      <c r="P753" t="s">
        <v>1049</v>
      </c>
    </row>
    <row r="754" spans="1:16" x14ac:dyDescent="0.3">
      <c r="A754" t="s">
        <v>782</v>
      </c>
      <c r="B754" t="s">
        <v>23</v>
      </c>
      <c r="C754" t="s">
        <v>17</v>
      </c>
      <c r="D754" s="1">
        <v>45956</v>
      </c>
      <c r="E754" s="1">
        <v>45960</v>
      </c>
      <c r="F754" s="1">
        <v>45963</v>
      </c>
      <c r="G754" s="1">
        <v>45965</v>
      </c>
      <c r="H754" t="s">
        <v>18</v>
      </c>
      <c r="I754" t="s">
        <v>19</v>
      </c>
      <c r="J754" s="1">
        <v>45982</v>
      </c>
      <c r="K754">
        <v>4</v>
      </c>
      <c r="L754">
        <v>3</v>
      </c>
      <c r="M754">
        <v>2</v>
      </c>
      <c r="N754">
        <v>4</v>
      </c>
      <c r="O754">
        <v>9</v>
      </c>
      <c r="P754" t="s">
        <v>1049</v>
      </c>
    </row>
    <row r="755" spans="1:16" x14ac:dyDescent="0.3">
      <c r="A755" t="s">
        <v>783</v>
      </c>
      <c r="B755" t="s">
        <v>16</v>
      </c>
      <c r="C755" t="s">
        <v>32</v>
      </c>
      <c r="D755" s="1">
        <v>45948</v>
      </c>
      <c r="E755" s="1">
        <v>45953</v>
      </c>
      <c r="F755" s="1">
        <v>45954</v>
      </c>
      <c r="G755" s="1">
        <v>45960</v>
      </c>
      <c r="H755" t="s">
        <v>18</v>
      </c>
      <c r="I755" t="s">
        <v>19</v>
      </c>
      <c r="J755" s="1">
        <v>45981</v>
      </c>
      <c r="K755">
        <v>5</v>
      </c>
      <c r="L755">
        <v>1</v>
      </c>
      <c r="M755">
        <v>6</v>
      </c>
      <c r="N755">
        <v>9</v>
      </c>
      <c r="O755">
        <v>12</v>
      </c>
      <c r="P755" t="s">
        <v>1050</v>
      </c>
    </row>
    <row r="756" spans="1:16" x14ac:dyDescent="0.3">
      <c r="A756" t="s">
        <v>784</v>
      </c>
      <c r="B756" t="s">
        <v>34</v>
      </c>
      <c r="C756" t="s">
        <v>17</v>
      </c>
      <c r="D756" s="1">
        <v>45942</v>
      </c>
      <c r="E756" s="1">
        <v>45946</v>
      </c>
      <c r="F756" s="1">
        <v>45947</v>
      </c>
      <c r="G756" s="1">
        <v>45953</v>
      </c>
      <c r="H756" t="s">
        <v>18</v>
      </c>
      <c r="I756" t="s">
        <v>19</v>
      </c>
      <c r="J756" s="1">
        <v>45972</v>
      </c>
      <c r="K756">
        <v>4</v>
      </c>
      <c r="L756">
        <v>1</v>
      </c>
      <c r="M756">
        <v>6</v>
      </c>
      <c r="N756">
        <v>6</v>
      </c>
      <c r="O756">
        <v>11</v>
      </c>
      <c r="P756" t="s">
        <v>1049</v>
      </c>
    </row>
    <row r="757" spans="1:16" x14ac:dyDescent="0.3">
      <c r="A757" t="s">
        <v>785</v>
      </c>
      <c r="B757" t="s">
        <v>21</v>
      </c>
      <c r="C757" t="s">
        <v>17</v>
      </c>
      <c r="D757" s="1">
        <v>45933</v>
      </c>
      <c r="E757" s="1">
        <v>45937</v>
      </c>
      <c r="F757" s="1">
        <v>45938</v>
      </c>
      <c r="G757" s="1">
        <v>45940</v>
      </c>
      <c r="H757" t="s">
        <v>18</v>
      </c>
      <c r="I757" t="s">
        <v>19</v>
      </c>
      <c r="J757" s="1">
        <v>45954</v>
      </c>
      <c r="K757">
        <v>4</v>
      </c>
      <c r="L757">
        <v>1</v>
      </c>
      <c r="M757">
        <v>2</v>
      </c>
      <c r="N757">
        <v>5</v>
      </c>
      <c r="O757">
        <v>7</v>
      </c>
      <c r="P757" t="s">
        <v>1049</v>
      </c>
    </row>
    <row r="758" spans="1:16" x14ac:dyDescent="0.3">
      <c r="A758" t="s">
        <v>786</v>
      </c>
      <c r="B758" t="s">
        <v>16</v>
      </c>
      <c r="C758" t="s">
        <v>32</v>
      </c>
      <c r="D758" s="1">
        <v>45956</v>
      </c>
      <c r="E758" s="1">
        <v>45961</v>
      </c>
      <c r="F758" s="1">
        <v>45964</v>
      </c>
      <c r="G758" s="1">
        <v>45969</v>
      </c>
      <c r="H758" t="s">
        <v>18</v>
      </c>
      <c r="I758" t="s">
        <v>19</v>
      </c>
      <c r="J758" s="1">
        <v>45982</v>
      </c>
      <c r="K758">
        <v>5</v>
      </c>
      <c r="L758">
        <v>3</v>
      </c>
      <c r="M758">
        <v>5</v>
      </c>
      <c r="N758">
        <v>7</v>
      </c>
      <c r="O758">
        <v>13</v>
      </c>
      <c r="P758" t="s">
        <v>1041</v>
      </c>
    </row>
    <row r="759" spans="1:16" x14ac:dyDescent="0.3">
      <c r="A759" t="s">
        <v>787</v>
      </c>
      <c r="B759" t="s">
        <v>23</v>
      </c>
      <c r="C759" t="s">
        <v>32</v>
      </c>
      <c r="D759" s="1">
        <v>45943</v>
      </c>
      <c r="E759" s="1">
        <v>45944</v>
      </c>
      <c r="F759" s="1">
        <v>45948</v>
      </c>
      <c r="G759" s="1">
        <v>45955</v>
      </c>
      <c r="H759" t="s">
        <v>18</v>
      </c>
      <c r="I759" t="s">
        <v>19</v>
      </c>
      <c r="J759" s="1">
        <v>45977</v>
      </c>
      <c r="K759">
        <v>1</v>
      </c>
      <c r="L759">
        <v>4</v>
      </c>
      <c r="M759">
        <v>7</v>
      </c>
      <c r="N759">
        <v>6</v>
      </c>
      <c r="O759">
        <v>12</v>
      </c>
      <c r="P759" t="s">
        <v>1049</v>
      </c>
    </row>
    <row r="760" spans="1:16" x14ac:dyDescent="0.3">
      <c r="A760" t="s">
        <v>788</v>
      </c>
      <c r="B760" t="s">
        <v>16</v>
      </c>
      <c r="C760" t="s">
        <v>32</v>
      </c>
      <c r="D760" s="1">
        <v>45931</v>
      </c>
      <c r="E760" s="1">
        <v>45933</v>
      </c>
      <c r="F760" s="1">
        <v>45936</v>
      </c>
      <c r="G760" s="1">
        <v>45939</v>
      </c>
      <c r="H760" t="s">
        <v>18</v>
      </c>
      <c r="I760" t="s">
        <v>19</v>
      </c>
      <c r="J760" s="1">
        <v>45965</v>
      </c>
      <c r="K760">
        <v>2</v>
      </c>
      <c r="L760">
        <v>3</v>
      </c>
      <c r="M760">
        <v>3</v>
      </c>
      <c r="N760">
        <v>6</v>
      </c>
      <c r="O760">
        <v>8</v>
      </c>
      <c r="P760" t="s">
        <v>1049</v>
      </c>
    </row>
    <row r="761" spans="1:16" x14ac:dyDescent="0.3">
      <c r="A761" t="s">
        <v>789</v>
      </c>
      <c r="B761" t="s">
        <v>23</v>
      </c>
      <c r="C761" t="s">
        <v>24</v>
      </c>
      <c r="D761" s="1">
        <v>45939</v>
      </c>
      <c r="E761" s="1"/>
      <c r="F761" s="1"/>
      <c r="G761" s="1"/>
      <c r="H761" t="s">
        <v>25</v>
      </c>
      <c r="I761" t="s">
        <v>65</v>
      </c>
      <c r="J761" s="1"/>
    </row>
    <row r="762" spans="1:16" x14ac:dyDescent="0.3">
      <c r="A762" t="s">
        <v>790</v>
      </c>
      <c r="B762" t="s">
        <v>23</v>
      </c>
      <c r="C762" t="s">
        <v>32</v>
      </c>
      <c r="D762" s="1">
        <v>45948</v>
      </c>
      <c r="E762" s="1">
        <v>45951</v>
      </c>
      <c r="F762" s="1">
        <v>45954</v>
      </c>
      <c r="G762" s="1">
        <v>45957</v>
      </c>
      <c r="H762" t="s">
        <v>18</v>
      </c>
      <c r="I762" t="s">
        <v>19</v>
      </c>
      <c r="J762" s="1">
        <v>45985</v>
      </c>
      <c r="K762">
        <v>3</v>
      </c>
      <c r="L762">
        <v>3</v>
      </c>
      <c r="M762">
        <v>3</v>
      </c>
      <c r="N762">
        <v>2</v>
      </c>
      <c r="O762">
        <v>9</v>
      </c>
      <c r="P762" t="s">
        <v>1049</v>
      </c>
    </row>
    <row r="763" spans="1:16" x14ac:dyDescent="0.3">
      <c r="A763" t="s">
        <v>791</v>
      </c>
      <c r="B763" t="s">
        <v>16</v>
      </c>
      <c r="C763" t="s">
        <v>17</v>
      </c>
      <c r="D763" s="1">
        <v>45934</v>
      </c>
      <c r="E763" s="1">
        <v>45935</v>
      </c>
      <c r="F763" s="1">
        <v>45936</v>
      </c>
      <c r="G763" s="1">
        <v>45940</v>
      </c>
      <c r="H763" t="s">
        <v>18</v>
      </c>
      <c r="I763" t="s">
        <v>19</v>
      </c>
      <c r="J763" s="1">
        <v>45959</v>
      </c>
      <c r="K763">
        <v>1</v>
      </c>
      <c r="L763">
        <v>1</v>
      </c>
      <c r="M763">
        <v>4</v>
      </c>
      <c r="N763">
        <v>8</v>
      </c>
      <c r="O763">
        <v>6</v>
      </c>
      <c r="P763" t="s">
        <v>1041</v>
      </c>
    </row>
    <row r="764" spans="1:16" x14ac:dyDescent="0.3">
      <c r="A764" t="s">
        <v>792</v>
      </c>
      <c r="B764" t="s">
        <v>34</v>
      </c>
      <c r="C764" t="s">
        <v>24</v>
      </c>
      <c r="D764" s="1">
        <v>45945</v>
      </c>
      <c r="E764" s="1"/>
      <c r="F764" s="1"/>
      <c r="G764" s="1"/>
      <c r="H764" t="s">
        <v>25</v>
      </c>
      <c r="I764" t="s">
        <v>35</v>
      </c>
      <c r="J764" s="1"/>
    </row>
    <row r="765" spans="1:16" x14ac:dyDescent="0.3">
      <c r="A765" t="s">
        <v>793</v>
      </c>
      <c r="B765" t="s">
        <v>23</v>
      </c>
      <c r="C765" t="s">
        <v>17</v>
      </c>
      <c r="D765" s="1">
        <v>45942</v>
      </c>
      <c r="E765" s="1">
        <v>45946</v>
      </c>
      <c r="F765" s="1">
        <v>45948</v>
      </c>
      <c r="G765" s="1">
        <v>45952</v>
      </c>
      <c r="H765" t="s">
        <v>25</v>
      </c>
      <c r="I765" t="s">
        <v>65</v>
      </c>
      <c r="J765" s="1"/>
      <c r="K765">
        <v>4</v>
      </c>
      <c r="L765">
        <v>2</v>
      </c>
      <c r="M765">
        <v>4</v>
      </c>
      <c r="O765">
        <v>10</v>
      </c>
    </row>
    <row r="766" spans="1:16" x14ac:dyDescent="0.3">
      <c r="A766" t="s">
        <v>794</v>
      </c>
      <c r="B766" t="s">
        <v>34</v>
      </c>
      <c r="C766" t="s">
        <v>24</v>
      </c>
      <c r="D766" s="1">
        <v>45952</v>
      </c>
      <c r="E766" s="1"/>
      <c r="F766" s="1"/>
      <c r="G766" s="1"/>
      <c r="H766" t="s">
        <v>25</v>
      </c>
      <c r="I766" t="s">
        <v>28</v>
      </c>
      <c r="J766" s="1"/>
    </row>
    <row r="767" spans="1:16" x14ac:dyDescent="0.3">
      <c r="A767" t="s">
        <v>795</v>
      </c>
      <c r="B767" t="s">
        <v>21</v>
      </c>
      <c r="C767" t="s">
        <v>17</v>
      </c>
      <c r="D767" s="1">
        <v>45954</v>
      </c>
      <c r="E767" s="1">
        <v>45958</v>
      </c>
      <c r="F767" s="1">
        <v>45959</v>
      </c>
      <c r="G767" s="1">
        <v>45963</v>
      </c>
      <c r="H767" t="s">
        <v>18</v>
      </c>
      <c r="I767" t="s">
        <v>19</v>
      </c>
      <c r="J767" s="1">
        <v>45978</v>
      </c>
      <c r="K767">
        <v>4</v>
      </c>
      <c r="L767">
        <v>1</v>
      </c>
      <c r="M767">
        <v>4</v>
      </c>
      <c r="N767">
        <v>1</v>
      </c>
      <c r="O767">
        <v>9</v>
      </c>
      <c r="P767" t="s">
        <v>1049</v>
      </c>
    </row>
    <row r="768" spans="1:16" x14ac:dyDescent="0.3">
      <c r="A768" t="s">
        <v>796</v>
      </c>
      <c r="B768" t="s">
        <v>23</v>
      </c>
      <c r="C768" t="s">
        <v>24</v>
      </c>
      <c r="D768" s="1">
        <v>45952</v>
      </c>
      <c r="E768" s="1"/>
      <c r="F768" s="1"/>
      <c r="G768" s="1"/>
      <c r="H768" t="s">
        <v>25</v>
      </c>
      <c r="I768" t="s">
        <v>103</v>
      </c>
      <c r="J768" s="1"/>
    </row>
    <row r="769" spans="1:16" x14ac:dyDescent="0.3">
      <c r="A769" t="s">
        <v>797</v>
      </c>
      <c r="B769" t="s">
        <v>34</v>
      </c>
      <c r="C769" t="s">
        <v>32</v>
      </c>
      <c r="D769" s="1">
        <v>45939</v>
      </c>
      <c r="E769" s="1">
        <v>45944</v>
      </c>
      <c r="F769" s="1">
        <v>45946</v>
      </c>
      <c r="G769" s="1">
        <v>45951</v>
      </c>
      <c r="H769" t="s">
        <v>18</v>
      </c>
      <c r="I769" t="s">
        <v>19</v>
      </c>
      <c r="J769" s="1">
        <v>45963</v>
      </c>
      <c r="K769">
        <v>5</v>
      </c>
      <c r="L769">
        <v>2</v>
      </c>
      <c r="M769">
        <v>5</v>
      </c>
      <c r="N769">
        <v>0</v>
      </c>
      <c r="O769">
        <v>12</v>
      </c>
      <c r="P769" t="s">
        <v>1049</v>
      </c>
    </row>
    <row r="770" spans="1:16" x14ac:dyDescent="0.3">
      <c r="A770" t="s">
        <v>798</v>
      </c>
      <c r="B770" t="s">
        <v>34</v>
      </c>
      <c r="C770" t="s">
        <v>32</v>
      </c>
      <c r="D770" s="1">
        <v>45949</v>
      </c>
      <c r="E770" s="1">
        <v>45952</v>
      </c>
      <c r="F770" s="1">
        <v>45956</v>
      </c>
      <c r="G770" s="1">
        <v>45963</v>
      </c>
      <c r="H770" t="s">
        <v>18</v>
      </c>
      <c r="I770" t="s">
        <v>19</v>
      </c>
      <c r="J770" s="1">
        <v>45974</v>
      </c>
      <c r="K770">
        <v>3</v>
      </c>
      <c r="L770">
        <v>4</v>
      </c>
      <c r="M770">
        <v>7</v>
      </c>
      <c r="N770">
        <v>4</v>
      </c>
      <c r="O770">
        <v>14</v>
      </c>
      <c r="P770" t="s">
        <v>1049</v>
      </c>
    </row>
    <row r="771" spans="1:16" x14ac:dyDescent="0.3">
      <c r="A771" t="s">
        <v>799</v>
      </c>
      <c r="B771" t="s">
        <v>21</v>
      </c>
      <c r="C771" t="s">
        <v>17</v>
      </c>
      <c r="D771" s="1">
        <v>45943</v>
      </c>
      <c r="E771" s="1">
        <v>45945</v>
      </c>
      <c r="F771" s="1">
        <v>45949</v>
      </c>
      <c r="G771" s="1">
        <v>45956</v>
      </c>
      <c r="H771" t="s">
        <v>18</v>
      </c>
      <c r="I771" t="s">
        <v>19</v>
      </c>
      <c r="J771" s="1">
        <v>45975</v>
      </c>
      <c r="K771">
        <v>2</v>
      </c>
      <c r="L771">
        <v>4</v>
      </c>
      <c r="M771">
        <v>7</v>
      </c>
      <c r="N771">
        <v>0</v>
      </c>
      <c r="O771">
        <v>13</v>
      </c>
      <c r="P771" t="s">
        <v>1049</v>
      </c>
    </row>
    <row r="772" spans="1:16" x14ac:dyDescent="0.3">
      <c r="A772" t="s">
        <v>800</v>
      </c>
      <c r="B772" t="s">
        <v>34</v>
      </c>
      <c r="C772" t="s">
        <v>24</v>
      </c>
      <c r="D772" s="1">
        <v>45957</v>
      </c>
      <c r="E772" s="1"/>
      <c r="F772" s="1"/>
      <c r="G772" s="1"/>
      <c r="H772" t="s">
        <v>25</v>
      </c>
      <c r="I772" t="s">
        <v>28</v>
      </c>
      <c r="J772" s="1"/>
    </row>
    <row r="773" spans="1:16" x14ac:dyDescent="0.3">
      <c r="A773" t="s">
        <v>801</v>
      </c>
      <c r="B773" t="s">
        <v>34</v>
      </c>
      <c r="C773" t="s">
        <v>24</v>
      </c>
      <c r="D773" s="1">
        <v>45951</v>
      </c>
      <c r="E773" s="1"/>
      <c r="F773" s="1"/>
      <c r="G773" s="1"/>
      <c r="H773" t="s">
        <v>25</v>
      </c>
      <c r="I773" t="s">
        <v>26</v>
      </c>
      <c r="J773" s="1"/>
    </row>
    <row r="774" spans="1:16" x14ac:dyDescent="0.3">
      <c r="A774" t="s">
        <v>802</v>
      </c>
      <c r="B774" t="s">
        <v>21</v>
      </c>
      <c r="C774" t="s">
        <v>32</v>
      </c>
      <c r="D774" s="1">
        <v>45961</v>
      </c>
      <c r="E774" s="1">
        <v>45966</v>
      </c>
      <c r="F774" s="1">
        <v>45971</v>
      </c>
      <c r="G774" s="1">
        <v>45975</v>
      </c>
      <c r="H774" t="s">
        <v>18</v>
      </c>
      <c r="I774" t="s">
        <v>19</v>
      </c>
      <c r="J774" s="1">
        <v>45994</v>
      </c>
      <c r="K774">
        <v>5</v>
      </c>
      <c r="L774">
        <v>5</v>
      </c>
      <c r="M774">
        <v>4</v>
      </c>
      <c r="N774">
        <v>4</v>
      </c>
      <c r="O774">
        <v>14</v>
      </c>
      <c r="P774" t="s">
        <v>1049</v>
      </c>
    </row>
    <row r="775" spans="1:16" x14ac:dyDescent="0.3">
      <c r="A775" t="s">
        <v>803</v>
      </c>
      <c r="B775" t="s">
        <v>23</v>
      </c>
      <c r="C775" t="s">
        <v>32</v>
      </c>
      <c r="D775" s="1">
        <v>45942</v>
      </c>
      <c r="E775" s="1">
        <v>45947</v>
      </c>
      <c r="F775" s="1">
        <v>45952</v>
      </c>
      <c r="G775" s="1">
        <v>45956</v>
      </c>
      <c r="H775" t="s">
        <v>18</v>
      </c>
      <c r="I775" t="s">
        <v>19</v>
      </c>
      <c r="J775" s="1">
        <v>45980</v>
      </c>
      <c r="K775">
        <v>5</v>
      </c>
      <c r="L775">
        <v>5</v>
      </c>
      <c r="M775">
        <v>4</v>
      </c>
      <c r="N775">
        <v>1</v>
      </c>
      <c r="O775">
        <v>14</v>
      </c>
      <c r="P775" t="s">
        <v>1049</v>
      </c>
    </row>
    <row r="776" spans="1:16" x14ac:dyDescent="0.3">
      <c r="A776" t="s">
        <v>804</v>
      </c>
      <c r="B776" t="s">
        <v>34</v>
      </c>
      <c r="C776" t="s">
        <v>24</v>
      </c>
      <c r="D776" s="1">
        <v>45934</v>
      </c>
      <c r="E776" s="1"/>
      <c r="F776" s="1"/>
      <c r="G776" s="1"/>
      <c r="H776" t="s">
        <v>25</v>
      </c>
      <c r="I776" t="s">
        <v>35</v>
      </c>
      <c r="J776" s="1"/>
    </row>
    <row r="777" spans="1:16" x14ac:dyDescent="0.3">
      <c r="A777" t="s">
        <v>805</v>
      </c>
      <c r="B777" t="s">
        <v>34</v>
      </c>
      <c r="C777" t="s">
        <v>32</v>
      </c>
      <c r="D777" s="1">
        <v>45952</v>
      </c>
      <c r="E777" s="1">
        <v>45954</v>
      </c>
      <c r="F777" s="1">
        <v>45959</v>
      </c>
      <c r="G777" s="1">
        <v>45964</v>
      </c>
      <c r="H777" t="s">
        <v>18</v>
      </c>
      <c r="I777" t="s">
        <v>19</v>
      </c>
      <c r="J777" s="1">
        <v>45990</v>
      </c>
      <c r="K777">
        <v>2</v>
      </c>
      <c r="L777">
        <v>5</v>
      </c>
      <c r="M777">
        <v>5</v>
      </c>
      <c r="N777">
        <v>10</v>
      </c>
      <c r="O777">
        <v>12</v>
      </c>
      <c r="P777" t="s">
        <v>1050</v>
      </c>
    </row>
    <row r="778" spans="1:16" x14ac:dyDescent="0.3">
      <c r="A778" t="s">
        <v>806</v>
      </c>
      <c r="B778" t="s">
        <v>34</v>
      </c>
      <c r="C778" t="s">
        <v>17</v>
      </c>
      <c r="D778" s="1">
        <v>45938</v>
      </c>
      <c r="E778" s="1">
        <v>45940</v>
      </c>
      <c r="F778" s="1">
        <v>45944</v>
      </c>
      <c r="G778" s="1">
        <v>45948</v>
      </c>
      <c r="H778" t="s">
        <v>18</v>
      </c>
      <c r="I778" t="s">
        <v>19</v>
      </c>
      <c r="J778" s="1">
        <v>45977</v>
      </c>
      <c r="K778">
        <v>2</v>
      </c>
      <c r="L778">
        <v>4</v>
      </c>
      <c r="M778">
        <v>4</v>
      </c>
      <c r="N778">
        <v>1</v>
      </c>
      <c r="O778">
        <v>10</v>
      </c>
      <c r="P778" t="s">
        <v>1049</v>
      </c>
    </row>
    <row r="779" spans="1:16" x14ac:dyDescent="0.3">
      <c r="A779" t="s">
        <v>807</v>
      </c>
      <c r="B779" t="s">
        <v>16</v>
      </c>
      <c r="C779" t="s">
        <v>24</v>
      </c>
      <c r="D779" s="1">
        <v>45946</v>
      </c>
      <c r="E779" s="1"/>
      <c r="F779" s="1"/>
      <c r="G779" s="1"/>
      <c r="H779" t="s">
        <v>25</v>
      </c>
      <c r="I779" t="s">
        <v>65</v>
      </c>
      <c r="J779" s="1"/>
    </row>
    <row r="780" spans="1:16" x14ac:dyDescent="0.3">
      <c r="A780" t="s">
        <v>808</v>
      </c>
      <c r="B780" t="s">
        <v>21</v>
      </c>
      <c r="C780" t="s">
        <v>17</v>
      </c>
      <c r="D780" s="1">
        <v>45931</v>
      </c>
      <c r="E780" s="1">
        <v>45935</v>
      </c>
      <c r="F780" s="1">
        <v>45936</v>
      </c>
      <c r="G780" s="1">
        <v>45939</v>
      </c>
      <c r="H780" t="s">
        <v>18</v>
      </c>
      <c r="I780" t="s">
        <v>19</v>
      </c>
      <c r="J780" s="1">
        <v>45965</v>
      </c>
      <c r="K780">
        <v>4</v>
      </c>
      <c r="L780">
        <v>1</v>
      </c>
      <c r="M780">
        <v>3</v>
      </c>
      <c r="N780">
        <v>3</v>
      </c>
      <c r="O780">
        <v>8</v>
      </c>
      <c r="P780" t="s">
        <v>1049</v>
      </c>
    </row>
    <row r="781" spans="1:16" x14ac:dyDescent="0.3">
      <c r="A781" t="s">
        <v>809</v>
      </c>
      <c r="B781" t="s">
        <v>16</v>
      </c>
      <c r="C781" t="s">
        <v>17</v>
      </c>
      <c r="D781" s="1">
        <v>45950</v>
      </c>
      <c r="E781" s="1">
        <v>45955</v>
      </c>
      <c r="F781" s="1">
        <v>45956</v>
      </c>
      <c r="G781" s="1">
        <v>45958</v>
      </c>
      <c r="H781" t="s">
        <v>18</v>
      </c>
      <c r="I781" t="s">
        <v>19</v>
      </c>
      <c r="J781" s="1">
        <v>45978</v>
      </c>
      <c r="K781">
        <v>5</v>
      </c>
      <c r="L781">
        <v>1</v>
      </c>
      <c r="M781">
        <v>2</v>
      </c>
      <c r="N781">
        <v>2</v>
      </c>
      <c r="O781">
        <v>8</v>
      </c>
      <c r="P781" t="s">
        <v>1049</v>
      </c>
    </row>
    <row r="782" spans="1:16" x14ac:dyDescent="0.3">
      <c r="A782" t="s">
        <v>810</v>
      </c>
      <c r="B782" t="s">
        <v>21</v>
      </c>
      <c r="C782" t="s">
        <v>17</v>
      </c>
      <c r="D782" s="1">
        <v>45959</v>
      </c>
      <c r="E782" s="1">
        <v>45960</v>
      </c>
      <c r="F782" s="1">
        <v>45961</v>
      </c>
      <c r="G782" s="1">
        <v>45964</v>
      </c>
      <c r="H782" t="s">
        <v>18</v>
      </c>
      <c r="I782" t="s">
        <v>19</v>
      </c>
      <c r="J782" s="1">
        <v>45987</v>
      </c>
      <c r="K782">
        <v>1</v>
      </c>
      <c r="L782">
        <v>1</v>
      </c>
      <c r="M782">
        <v>3</v>
      </c>
      <c r="N782">
        <v>2</v>
      </c>
      <c r="O782">
        <v>5</v>
      </c>
      <c r="P782" t="s">
        <v>1049</v>
      </c>
    </row>
    <row r="783" spans="1:16" x14ac:dyDescent="0.3">
      <c r="A783" t="s">
        <v>811</v>
      </c>
      <c r="B783" t="s">
        <v>23</v>
      </c>
      <c r="C783" t="s">
        <v>32</v>
      </c>
      <c r="D783" s="1">
        <v>45961</v>
      </c>
      <c r="E783" s="1">
        <v>45962</v>
      </c>
      <c r="F783" s="1">
        <v>45965</v>
      </c>
      <c r="G783" s="1">
        <v>45968</v>
      </c>
      <c r="H783" t="s">
        <v>18</v>
      </c>
      <c r="I783" t="s">
        <v>19</v>
      </c>
      <c r="J783" s="1">
        <v>45982</v>
      </c>
      <c r="K783">
        <v>1</v>
      </c>
      <c r="L783">
        <v>3</v>
      </c>
      <c r="M783">
        <v>3</v>
      </c>
      <c r="N783">
        <v>4</v>
      </c>
      <c r="O783">
        <v>7</v>
      </c>
      <c r="P783" t="s">
        <v>1049</v>
      </c>
    </row>
    <row r="784" spans="1:16" x14ac:dyDescent="0.3">
      <c r="A784" t="s">
        <v>812</v>
      </c>
      <c r="B784" t="s">
        <v>23</v>
      </c>
      <c r="C784" t="s">
        <v>24</v>
      </c>
      <c r="D784" s="1">
        <v>45948</v>
      </c>
      <c r="E784" s="1"/>
      <c r="F784" s="1"/>
      <c r="G784" s="1"/>
      <c r="H784" t="s">
        <v>25</v>
      </c>
      <c r="I784" t="s">
        <v>26</v>
      </c>
      <c r="J784" s="1"/>
    </row>
    <row r="785" spans="1:16" x14ac:dyDescent="0.3">
      <c r="A785" t="s">
        <v>813</v>
      </c>
      <c r="B785" t="s">
        <v>34</v>
      </c>
      <c r="C785" t="s">
        <v>17</v>
      </c>
      <c r="D785" s="1">
        <v>45941</v>
      </c>
      <c r="E785" s="1">
        <v>45946</v>
      </c>
      <c r="F785" s="1">
        <v>45951</v>
      </c>
      <c r="G785" s="1">
        <v>45957</v>
      </c>
      <c r="H785" t="s">
        <v>18</v>
      </c>
      <c r="I785" t="s">
        <v>19</v>
      </c>
      <c r="J785" s="1">
        <v>45977</v>
      </c>
      <c r="K785">
        <v>5</v>
      </c>
      <c r="L785">
        <v>5</v>
      </c>
      <c r="M785">
        <v>6</v>
      </c>
      <c r="N785">
        <v>9</v>
      </c>
      <c r="O785">
        <v>16</v>
      </c>
      <c r="P785" t="s">
        <v>1050</v>
      </c>
    </row>
    <row r="786" spans="1:16" x14ac:dyDescent="0.3">
      <c r="A786" t="s">
        <v>814</v>
      </c>
      <c r="B786" t="s">
        <v>21</v>
      </c>
      <c r="C786" t="s">
        <v>24</v>
      </c>
      <c r="D786" s="1">
        <v>45960</v>
      </c>
      <c r="E786" s="1"/>
      <c r="F786" s="1"/>
      <c r="G786" s="1"/>
      <c r="H786" t="s">
        <v>25</v>
      </c>
      <c r="I786" t="s">
        <v>65</v>
      </c>
      <c r="J786" s="1"/>
    </row>
    <row r="787" spans="1:16" x14ac:dyDescent="0.3">
      <c r="A787" t="s">
        <v>815</v>
      </c>
      <c r="B787" t="s">
        <v>23</v>
      </c>
      <c r="C787" t="s">
        <v>32</v>
      </c>
      <c r="D787" s="1">
        <v>45950</v>
      </c>
      <c r="E787" s="1">
        <v>45952</v>
      </c>
      <c r="F787" s="1">
        <v>45953</v>
      </c>
      <c r="G787" s="1">
        <v>45955</v>
      </c>
      <c r="H787" t="s">
        <v>18</v>
      </c>
      <c r="I787" t="s">
        <v>19</v>
      </c>
      <c r="J787" s="1">
        <v>45980</v>
      </c>
      <c r="K787">
        <v>2</v>
      </c>
      <c r="L787">
        <v>1</v>
      </c>
      <c r="M787">
        <v>2</v>
      </c>
      <c r="N787">
        <v>7</v>
      </c>
      <c r="O787">
        <v>5</v>
      </c>
      <c r="P787" t="s">
        <v>1041</v>
      </c>
    </row>
    <row r="788" spans="1:16" x14ac:dyDescent="0.3">
      <c r="A788" t="s">
        <v>816</v>
      </c>
      <c r="B788" t="s">
        <v>21</v>
      </c>
      <c r="C788" t="s">
        <v>24</v>
      </c>
      <c r="D788" s="1">
        <v>45938</v>
      </c>
      <c r="E788" s="1"/>
      <c r="F788" s="1"/>
      <c r="G788" s="1"/>
      <c r="H788" t="s">
        <v>25</v>
      </c>
      <c r="I788" t="s">
        <v>103</v>
      </c>
      <c r="J788" s="1"/>
    </row>
    <row r="789" spans="1:16" x14ac:dyDescent="0.3">
      <c r="A789" t="s">
        <v>817</v>
      </c>
      <c r="B789" t="s">
        <v>23</v>
      </c>
      <c r="C789" t="s">
        <v>17</v>
      </c>
      <c r="D789" s="1">
        <v>45951</v>
      </c>
      <c r="E789" s="1">
        <v>45954</v>
      </c>
      <c r="F789" s="1">
        <v>45959</v>
      </c>
      <c r="G789" s="1">
        <v>45962</v>
      </c>
      <c r="H789" t="s">
        <v>18</v>
      </c>
      <c r="I789" t="s">
        <v>19</v>
      </c>
      <c r="J789" s="1">
        <v>45983</v>
      </c>
      <c r="K789">
        <v>3</v>
      </c>
      <c r="L789">
        <v>5</v>
      </c>
      <c r="M789">
        <v>3</v>
      </c>
      <c r="N789">
        <v>3</v>
      </c>
      <c r="O789">
        <v>11</v>
      </c>
      <c r="P789" t="s">
        <v>1049</v>
      </c>
    </row>
    <row r="790" spans="1:16" x14ac:dyDescent="0.3">
      <c r="A790" t="s">
        <v>818</v>
      </c>
      <c r="B790" t="s">
        <v>16</v>
      </c>
      <c r="C790" t="s">
        <v>32</v>
      </c>
      <c r="D790" s="1">
        <v>45933</v>
      </c>
      <c r="E790" s="1">
        <v>45935</v>
      </c>
      <c r="F790" s="1">
        <v>45940</v>
      </c>
      <c r="G790" s="1">
        <v>45942</v>
      </c>
      <c r="H790" t="s">
        <v>18</v>
      </c>
      <c r="I790" t="s">
        <v>19</v>
      </c>
      <c r="J790" s="1">
        <v>45958</v>
      </c>
      <c r="K790">
        <v>2</v>
      </c>
      <c r="L790">
        <v>5</v>
      </c>
      <c r="M790">
        <v>2</v>
      </c>
      <c r="N790">
        <v>3</v>
      </c>
      <c r="O790">
        <v>9</v>
      </c>
      <c r="P790" t="s">
        <v>1049</v>
      </c>
    </row>
    <row r="791" spans="1:16" x14ac:dyDescent="0.3">
      <c r="A791" t="s">
        <v>819</v>
      </c>
      <c r="B791" t="s">
        <v>23</v>
      </c>
      <c r="C791" t="s">
        <v>32</v>
      </c>
      <c r="D791" s="1">
        <v>45951</v>
      </c>
      <c r="E791" s="1">
        <v>45953</v>
      </c>
      <c r="F791" s="1">
        <v>45956</v>
      </c>
      <c r="G791" s="1">
        <v>45959</v>
      </c>
      <c r="H791" t="s">
        <v>18</v>
      </c>
      <c r="I791" t="s">
        <v>19</v>
      </c>
      <c r="J791" s="1">
        <v>45974</v>
      </c>
      <c r="K791">
        <v>2</v>
      </c>
      <c r="L791">
        <v>3</v>
      </c>
      <c r="M791">
        <v>3</v>
      </c>
      <c r="N791">
        <v>3</v>
      </c>
      <c r="O791">
        <v>8</v>
      </c>
      <c r="P791" t="s">
        <v>1049</v>
      </c>
    </row>
    <row r="792" spans="1:16" x14ac:dyDescent="0.3">
      <c r="A792" t="s">
        <v>820</v>
      </c>
      <c r="B792" t="s">
        <v>16</v>
      </c>
      <c r="C792" t="s">
        <v>17</v>
      </c>
      <c r="D792" s="1">
        <v>45957</v>
      </c>
      <c r="E792" s="1">
        <v>45960</v>
      </c>
      <c r="F792" s="1">
        <v>45964</v>
      </c>
      <c r="G792" s="1">
        <v>45969</v>
      </c>
      <c r="H792" t="s">
        <v>18</v>
      </c>
      <c r="I792" t="s">
        <v>19</v>
      </c>
      <c r="J792" s="1">
        <v>45991</v>
      </c>
      <c r="K792">
        <v>3</v>
      </c>
      <c r="L792">
        <v>4</v>
      </c>
      <c r="M792">
        <v>5</v>
      </c>
      <c r="N792">
        <v>5</v>
      </c>
      <c r="O792">
        <v>12</v>
      </c>
      <c r="P792" t="s">
        <v>1049</v>
      </c>
    </row>
    <row r="793" spans="1:16" x14ac:dyDescent="0.3">
      <c r="A793" t="s">
        <v>821</v>
      </c>
      <c r="B793" t="s">
        <v>23</v>
      </c>
      <c r="C793" t="s">
        <v>17</v>
      </c>
      <c r="D793" s="1">
        <v>45945</v>
      </c>
      <c r="E793" s="1">
        <v>45947</v>
      </c>
      <c r="F793" s="1">
        <v>45948</v>
      </c>
      <c r="G793" s="1">
        <v>45953</v>
      </c>
      <c r="H793" t="s">
        <v>18</v>
      </c>
      <c r="I793" t="s">
        <v>19</v>
      </c>
      <c r="J793" s="1">
        <v>45963</v>
      </c>
      <c r="K793">
        <v>2</v>
      </c>
      <c r="L793">
        <v>1</v>
      </c>
      <c r="M793">
        <v>5</v>
      </c>
      <c r="N793">
        <v>8</v>
      </c>
      <c r="O793">
        <v>8</v>
      </c>
      <c r="P793" t="s">
        <v>1041</v>
      </c>
    </row>
    <row r="794" spans="1:16" x14ac:dyDescent="0.3">
      <c r="A794" t="s">
        <v>822</v>
      </c>
      <c r="B794" t="s">
        <v>34</v>
      </c>
      <c r="C794" t="s">
        <v>24</v>
      </c>
      <c r="D794" s="1">
        <v>45960</v>
      </c>
      <c r="E794" s="1"/>
      <c r="F794" s="1"/>
      <c r="G794" s="1"/>
      <c r="H794" t="s">
        <v>25</v>
      </c>
      <c r="I794" t="s">
        <v>103</v>
      </c>
      <c r="J794" s="1"/>
    </row>
    <row r="795" spans="1:16" x14ac:dyDescent="0.3">
      <c r="A795" t="s">
        <v>823</v>
      </c>
      <c r="B795" t="s">
        <v>16</v>
      </c>
      <c r="C795" t="s">
        <v>32</v>
      </c>
      <c r="D795" s="1">
        <v>45953</v>
      </c>
      <c r="E795" s="1">
        <v>45956</v>
      </c>
      <c r="F795" s="1">
        <v>45959</v>
      </c>
      <c r="G795" s="1">
        <v>45963</v>
      </c>
      <c r="H795" t="s">
        <v>18</v>
      </c>
      <c r="I795" t="s">
        <v>19</v>
      </c>
      <c r="J795" s="1">
        <v>45980</v>
      </c>
      <c r="K795">
        <v>3</v>
      </c>
      <c r="L795">
        <v>3</v>
      </c>
      <c r="M795">
        <v>4</v>
      </c>
      <c r="N795">
        <v>1</v>
      </c>
      <c r="O795">
        <v>10</v>
      </c>
      <c r="P795" t="s">
        <v>1049</v>
      </c>
    </row>
    <row r="796" spans="1:16" x14ac:dyDescent="0.3">
      <c r="A796" t="s">
        <v>824</v>
      </c>
      <c r="B796" t="s">
        <v>23</v>
      </c>
      <c r="C796" t="s">
        <v>32</v>
      </c>
      <c r="D796" s="1">
        <v>45940</v>
      </c>
      <c r="E796" s="1">
        <v>45945</v>
      </c>
      <c r="F796" s="1">
        <v>45949</v>
      </c>
      <c r="G796" s="1">
        <v>45954</v>
      </c>
      <c r="H796" t="s">
        <v>18</v>
      </c>
      <c r="I796" t="s">
        <v>19</v>
      </c>
      <c r="J796" s="1">
        <v>45971</v>
      </c>
      <c r="K796">
        <v>5</v>
      </c>
      <c r="L796">
        <v>4</v>
      </c>
      <c r="M796">
        <v>5</v>
      </c>
      <c r="N796">
        <v>10</v>
      </c>
      <c r="O796">
        <v>14</v>
      </c>
      <c r="P796" t="s">
        <v>1050</v>
      </c>
    </row>
    <row r="797" spans="1:16" x14ac:dyDescent="0.3">
      <c r="A797" t="s">
        <v>825</v>
      </c>
      <c r="B797" t="s">
        <v>34</v>
      </c>
      <c r="C797" t="s">
        <v>17</v>
      </c>
      <c r="D797" s="1">
        <v>45951</v>
      </c>
      <c r="E797" s="1">
        <v>45954</v>
      </c>
      <c r="F797" s="1">
        <v>45958</v>
      </c>
      <c r="G797" s="1">
        <v>45960</v>
      </c>
      <c r="H797" t="s">
        <v>18</v>
      </c>
      <c r="I797" t="s">
        <v>19</v>
      </c>
      <c r="J797" s="1">
        <v>45974</v>
      </c>
      <c r="K797">
        <v>3</v>
      </c>
      <c r="L797">
        <v>4</v>
      </c>
      <c r="M797">
        <v>2</v>
      </c>
      <c r="N797">
        <v>4</v>
      </c>
      <c r="O797">
        <v>9</v>
      </c>
      <c r="P797" t="s">
        <v>1049</v>
      </c>
    </row>
    <row r="798" spans="1:16" x14ac:dyDescent="0.3">
      <c r="A798" t="s">
        <v>826</v>
      </c>
      <c r="B798" t="s">
        <v>16</v>
      </c>
      <c r="C798" t="s">
        <v>17</v>
      </c>
      <c r="D798" s="1">
        <v>45944</v>
      </c>
      <c r="E798" s="1">
        <v>45945</v>
      </c>
      <c r="F798" s="1">
        <v>45946</v>
      </c>
      <c r="G798" s="1">
        <v>45952</v>
      </c>
      <c r="H798" t="s">
        <v>18</v>
      </c>
      <c r="I798" t="s">
        <v>19</v>
      </c>
      <c r="J798" s="1">
        <v>45968</v>
      </c>
      <c r="K798">
        <v>1</v>
      </c>
      <c r="L798">
        <v>1</v>
      </c>
      <c r="M798">
        <v>6</v>
      </c>
      <c r="N798">
        <v>8</v>
      </c>
      <c r="O798">
        <v>8</v>
      </c>
      <c r="P798" t="s">
        <v>1041</v>
      </c>
    </row>
    <row r="799" spans="1:16" x14ac:dyDescent="0.3">
      <c r="A799" t="s">
        <v>827</v>
      </c>
      <c r="B799" t="s">
        <v>34</v>
      </c>
      <c r="C799" t="s">
        <v>17</v>
      </c>
      <c r="D799" s="1">
        <v>45934</v>
      </c>
      <c r="E799" s="1">
        <v>45937</v>
      </c>
      <c r="F799" s="1">
        <v>45942</v>
      </c>
      <c r="G799" s="1">
        <v>45946</v>
      </c>
      <c r="H799" t="s">
        <v>18</v>
      </c>
      <c r="I799" t="s">
        <v>19</v>
      </c>
      <c r="J799" s="1">
        <v>45956</v>
      </c>
      <c r="K799">
        <v>3</v>
      </c>
      <c r="L799">
        <v>5</v>
      </c>
      <c r="M799">
        <v>4</v>
      </c>
      <c r="N799">
        <v>7</v>
      </c>
      <c r="O799">
        <v>12</v>
      </c>
      <c r="P799" t="s">
        <v>1041</v>
      </c>
    </row>
    <row r="800" spans="1:16" x14ac:dyDescent="0.3">
      <c r="A800" t="s">
        <v>828</v>
      </c>
      <c r="B800" t="s">
        <v>21</v>
      </c>
      <c r="C800" t="s">
        <v>24</v>
      </c>
      <c r="D800" s="1">
        <v>45935</v>
      </c>
      <c r="E800" s="1"/>
      <c r="F800" s="1"/>
      <c r="G800" s="1"/>
      <c r="H800" t="s">
        <v>25</v>
      </c>
      <c r="I800" t="s">
        <v>103</v>
      </c>
      <c r="J800" s="1"/>
    </row>
    <row r="801" spans="1:16" x14ac:dyDescent="0.3">
      <c r="A801" t="s">
        <v>829</v>
      </c>
      <c r="B801" t="s">
        <v>21</v>
      </c>
      <c r="C801" t="s">
        <v>24</v>
      </c>
      <c r="D801" s="1">
        <v>45932</v>
      </c>
      <c r="E801" s="1"/>
      <c r="F801" s="1"/>
      <c r="G801" s="1"/>
      <c r="H801" t="s">
        <v>25</v>
      </c>
      <c r="I801" t="s">
        <v>65</v>
      </c>
      <c r="J801" s="1"/>
    </row>
    <row r="802" spans="1:16" x14ac:dyDescent="0.3">
      <c r="A802" t="s">
        <v>830</v>
      </c>
      <c r="B802" t="s">
        <v>16</v>
      </c>
      <c r="C802" t="s">
        <v>24</v>
      </c>
      <c r="D802" s="1">
        <v>45961</v>
      </c>
      <c r="E802" s="1"/>
      <c r="F802" s="1"/>
      <c r="G802" s="1"/>
      <c r="H802" t="s">
        <v>25</v>
      </c>
      <c r="I802" t="s">
        <v>26</v>
      </c>
      <c r="J802" s="1"/>
    </row>
    <row r="803" spans="1:16" x14ac:dyDescent="0.3">
      <c r="A803" t="s">
        <v>831</v>
      </c>
      <c r="B803" t="s">
        <v>23</v>
      </c>
      <c r="C803" t="s">
        <v>17</v>
      </c>
      <c r="D803" s="1">
        <v>45932</v>
      </c>
      <c r="E803" s="1">
        <v>45934</v>
      </c>
      <c r="F803" s="1">
        <v>45936</v>
      </c>
      <c r="G803" s="1">
        <v>45939</v>
      </c>
      <c r="H803" t="s">
        <v>25</v>
      </c>
      <c r="I803" t="s">
        <v>103</v>
      </c>
      <c r="J803" s="1"/>
      <c r="K803">
        <v>2</v>
      </c>
      <c r="L803">
        <v>2</v>
      </c>
      <c r="M803">
        <v>3</v>
      </c>
      <c r="O803">
        <v>7</v>
      </c>
    </row>
    <row r="804" spans="1:16" x14ac:dyDescent="0.3">
      <c r="A804" t="s">
        <v>832</v>
      </c>
      <c r="B804" t="s">
        <v>16</v>
      </c>
      <c r="C804" t="s">
        <v>17</v>
      </c>
      <c r="D804" s="1">
        <v>45940</v>
      </c>
      <c r="E804" s="1">
        <v>45945</v>
      </c>
      <c r="F804" s="1">
        <v>45950</v>
      </c>
      <c r="G804" s="1">
        <v>45955</v>
      </c>
      <c r="H804" t="s">
        <v>18</v>
      </c>
      <c r="I804" t="s">
        <v>19</v>
      </c>
      <c r="J804" s="1">
        <v>45983</v>
      </c>
      <c r="K804">
        <v>5</v>
      </c>
      <c r="L804">
        <v>5</v>
      </c>
      <c r="M804">
        <v>5</v>
      </c>
      <c r="N804">
        <v>10</v>
      </c>
      <c r="O804">
        <v>15</v>
      </c>
      <c r="P804" t="s">
        <v>1050</v>
      </c>
    </row>
    <row r="805" spans="1:16" x14ac:dyDescent="0.3">
      <c r="A805" t="s">
        <v>833</v>
      </c>
      <c r="B805" t="s">
        <v>34</v>
      </c>
      <c r="C805" t="s">
        <v>17</v>
      </c>
      <c r="D805" s="1">
        <v>45946</v>
      </c>
      <c r="E805" s="1">
        <v>45949</v>
      </c>
      <c r="F805" s="1">
        <v>45954</v>
      </c>
      <c r="G805" s="1">
        <v>45958</v>
      </c>
      <c r="H805" t="s">
        <v>18</v>
      </c>
      <c r="I805" t="s">
        <v>19</v>
      </c>
      <c r="J805" s="1">
        <v>45984</v>
      </c>
      <c r="K805">
        <v>3</v>
      </c>
      <c r="L805">
        <v>5</v>
      </c>
      <c r="M805">
        <v>4</v>
      </c>
      <c r="N805">
        <v>1</v>
      </c>
      <c r="O805">
        <v>12</v>
      </c>
      <c r="P805" t="s">
        <v>1049</v>
      </c>
    </row>
    <row r="806" spans="1:16" x14ac:dyDescent="0.3">
      <c r="A806" t="s">
        <v>834</v>
      </c>
      <c r="B806" t="s">
        <v>23</v>
      </c>
      <c r="C806" t="s">
        <v>17</v>
      </c>
      <c r="D806" s="1">
        <v>45934</v>
      </c>
      <c r="E806" s="1">
        <v>45936</v>
      </c>
      <c r="F806" s="1">
        <v>45938</v>
      </c>
      <c r="G806" s="1">
        <v>45943</v>
      </c>
      <c r="H806" t="s">
        <v>18</v>
      </c>
      <c r="I806" t="s">
        <v>19</v>
      </c>
      <c r="J806" s="1">
        <v>45958</v>
      </c>
      <c r="K806">
        <v>2</v>
      </c>
      <c r="L806">
        <v>2</v>
      </c>
      <c r="M806">
        <v>5</v>
      </c>
      <c r="N806">
        <v>9</v>
      </c>
      <c r="O806">
        <v>9</v>
      </c>
      <c r="P806" t="s">
        <v>1050</v>
      </c>
    </row>
    <row r="807" spans="1:16" x14ac:dyDescent="0.3">
      <c r="A807" t="s">
        <v>835</v>
      </c>
      <c r="B807" t="s">
        <v>21</v>
      </c>
      <c r="C807" t="s">
        <v>24</v>
      </c>
      <c r="D807" s="1">
        <v>45934</v>
      </c>
      <c r="E807" s="1"/>
      <c r="F807" s="1"/>
      <c r="G807" s="1"/>
      <c r="H807" t="s">
        <v>25</v>
      </c>
      <c r="I807" t="s">
        <v>26</v>
      </c>
      <c r="J807" s="1"/>
    </row>
    <row r="808" spans="1:16" x14ac:dyDescent="0.3">
      <c r="A808" t="s">
        <v>836</v>
      </c>
      <c r="B808" t="s">
        <v>23</v>
      </c>
      <c r="C808" t="s">
        <v>32</v>
      </c>
      <c r="D808" s="1">
        <v>45938</v>
      </c>
      <c r="E808" s="1">
        <v>45941</v>
      </c>
      <c r="F808" s="1">
        <v>45945</v>
      </c>
      <c r="G808" s="1">
        <v>45949</v>
      </c>
      <c r="H808" t="s">
        <v>18</v>
      </c>
      <c r="I808" t="s">
        <v>19</v>
      </c>
      <c r="J808" s="1">
        <v>45962</v>
      </c>
      <c r="K808">
        <v>3</v>
      </c>
      <c r="L808">
        <v>4</v>
      </c>
      <c r="M808">
        <v>4</v>
      </c>
      <c r="N808">
        <v>3</v>
      </c>
      <c r="O808">
        <v>11</v>
      </c>
      <c r="P808" t="s">
        <v>1049</v>
      </c>
    </row>
    <row r="809" spans="1:16" x14ac:dyDescent="0.3">
      <c r="A809" t="s">
        <v>837</v>
      </c>
      <c r="B809" t="s">
        <v>21</v>
      </c>
      <c r="C809" t="s">
        <v>17</v>
      </c>
      <c r="D809" s="1">
        <v>45959</v>
      </c>
      <c r="E809" s="1">
        <v>45964</v>
      </c>
      <c r="F809" s="1">
        <v>45966</v>
      </c>
      <c r="G809" s="1">
        <v>45968</v>
      </c>
      <c r="H809" t="s">
        <v>18</v>
      </c>
      <c r="I809" t="s">
        <v>19</v>
      </c>
      <c r="J809" s="1">
        <v>45989</v>
      </c>
      <c r="K809">
        <v>5</v>
      </c>
      <c r="L809">
        <v>2</v>
      </c>
      <c r="M809">
        <v>2</v>
      </c>
      <c r="N809">
        <v>2</v>
      </c>
      <c r="O809">
        <v>9</v>
      </c>
      <c r="P809" t="s">
        <v>1049</v>
      </c>
    </row>
    <row r="810" spans="1:16" x14ac:dyDescent="0.3">
      <c r="A810" t="s">
        <v>838</v>
      </c>
      <c r="B810" t="s">
        <v>23</v>
      </c>
      <c r="C810" t="s">
        <v>32</v>
      </c>
      <c r="D810" s="1">
        <v>45948</v>
      </c>
      <c r="E810" s="1">
        <v>45953</v>
      </c>
      <c r="F810" s="1">
        <v>45955</v>
      </c>
      <c r="G810" s="1">
        <v>45957</v>
      </c>
      <c r="H810" t="s">
        <v>18</v>
      </c>
      <c r="I810" t="s">
        <v>19</v>
      </c>
      <c r="J810" s="1">
        <v>45987</v>
      </c>
      <c r="K810">
        <v>5</v>
      </c>
      <c r="L810">
        <v>2</v>
      </c>
      <c r="M810">
        <v>2</v>
      </c>
      <c r="N810">
        <v>5</v>
      </c>
      <c r="O810">
        <v>9</v>
      </c>
      <c r="P810" t="s">
        <v>1049</v>
      </c>
    </row>
    <row r="811" spans="1:16" x14ac:dyDescent="0.3">
      <c r="A811" t="s">
        <v>839</v>
      </c>
      <c r="B811" t="s">
        <v>23</v>
      </c>
      <c r="C811" t="s">
        <v>17</v>
      </c>
      <c r="D811" s="1">
        <v>45935</v>
      </c>
      <c r="E811" s="1">
        <v>45936</v>
      </c>
      <c r="F811" s="1">
        <v>45939</v>
      </c>
      <c r="G811" s="1">
        <v>45942</v>
      </c>
      <c r="H811" t="s">
        <v>18</v>
      </c>
      <c r="I811" t="s">
        <v>19</v>
      </c>
      <c r="J811" s="1">
        <v>45953</v>
      </c>
      <c r="K811">
        <v>1</v>
      </c>
      <c r="L811">
        <v>3</v>
      </c>
      <c r="M811">
        <v>3</v>
      </c>
      <c r="N811">
        <v>1</v>
      </c>
      <c r="O811">
        <v>7</v>
      </c>
      <c r="P811" t="s">
        <v>1049</v>
      </c>
    </row>
    <row r="812" spans="1:16" x14ac:dyDescent="0.3">
      <c r="A812" t="s">
        <v>840</v>
      </c>
      <c r="B812" t="s">
        <v>23</v>
      </c>
      <c r="C812" t="s">
        <v>24</v>
      </c>
      <c r="D812" s="1">
        <v>45943</v>
      </c>
      <c r="E812" s="1"/>
      <c r="F812" s="1"/>
      <c r="G812" s="1"/>
      <c r="H812" t="s">
        <v>25</v>
      </c>
      <c r="I812" t="s">
        <v>65</v>
      </c>
      <c r="J812" s="1"/>
    </row>
    <row r="813" spans="1:16" x14ac:dyDescent="0.3">
      <c r="A813" t="s">
        <v>841</v>
      </c>
      <c r="B813" t="s">
        <v>34</v>
      </c>
      <c r="C813" t="s">
        <v>17</v>
      </c>
      <c r="D813" s="1">
        <v>45945</v>
      </c>
      <c r="E813" s="1">
        <v>45950</v>
      </c>
      <c r="F813" s="1">
        <v>45953</v>
      </c>
      <c r="G813" s="1">
        <v>45960</v>
      </c>
      <c r="H813" t="s">
        <v>18</v>
      </c>
      <c r="I813" t="s">
        <v>19</v>
      </c>
      <c r="J813" s="1">
        <v>45982</v>
      </c>
      <c r="K813">
        <v>5</v>
      </c>
      <c r="L813">
        <v>3</v>
      </c>
      <c r="M813">
        <v>7</v>
      </c>
      <c r="N813">
        <v>7</v>
      </c>
      <c r="O813">
        <v>15</v>
      </c>
      <c r="P813" t="s">
        <v>1041</v>
      </c>
    </row>
    <row r="814" spans="1:16" x14ac:dyDescent="0.3">
      <c r="A814" t="s">
        <v>842</v>
      </c>
      <c r="B814" t="s">
        <v>34</v>
      </c>
      <c r="C814" t="s">
        <v>32</v>
      </c>
      <c r="D814" s="1">
        <v>45942</v>
      </c>
      <c r="E814" s="1">
        <v>45944</v>
      </c>
      <c r="F814" s="1">
        <v>45947</v>
      </c>
      <c r="G814" s="1">
        <v>45951</v>
      </c>
      <c r="H814" t="s">
        <v>18</v>
      </c>
      <c r="I814" t="s">
        <v>19</v>
      </c>
      <c r="J814" s="1">
        <v>45981</v>
      </c>
      <c r="K814">
        <v>2</v>
      </c>
      <c r="L814">
        <v>3</v>
      </c>
      <c r="M814">
        <v>4</v>
      </c>
      <c r="N814">
        <v>3</v>
      </c>
      <c r="O814">
        <v>9</v>
      </c>
      <c r="P814" t="s">
        <v>1049</v>
      </c>
    </row>
    <row r="815" spans="1:16" x14ac:dyDescent="0.3">
      <c r="A815" t="s">
        <v>843</v>
      </c>
      <c r="B815" t="s">
        <v>16</v>
      </c>
      <c r="C815" t="s">
        <v>24</v>
      </c>
      <c r="D815" s="1">
        <v>45952</v>
      </c>
      <c r="E815" s="1"/>
      <c r="F815" s="1"/>
      <c r="G815" s="1"/>
      <c r="H815" t="s">
        <v>25</v>
      </c>
      <c r="I815" t="s">
        <v>26</v>
      </c>
      <c r="J815" s="1"/>
    </row>
    <row r="816" spans="1:16" x14ac:dyDescent="0.3">
      <c r="A816" t="s">
        <v>844</v>
      </c>
      <c r="B816" t="s">
        <v>16</v>
      </c>
      <c r="C816" t="s">
        <v>17</v>
      </c>
      <c r="D816" s="1">
        <v>45961</v>
      </c>
      <c r="E816" s="1">
        <v>45966</v>
      </c>
      <c r="F816" s="1">
        <v>45970</v>
      </c>
      <c r="G816" s="1">
        <v>45977</v>
      </c>
      <c r="H816" t="s">
        <v>18</v>
      </c>
      <c r="I816" t="s">
        <v>19</v>
      </c>
      <c r="J816" s="1">
        <v>45995</v>
      </c>
      <c r="K816">
        <v>5</v>
      </c>
      <c r="L816">
        <v>4</v>
      </c>
      <c r="M816">
        <v>7</v>
      </c>
      <c r="N816">
        <v>2</v>
      </c>
      <c r="O816">
        <v>16</v>
      </c>
      <c r="P816" t="s">
        <v>1049</v>
      </c>
    </row>
    <row r="817" spans="1:16" x14ac:dyDescent="0.3">
      <c r="A817" t="s">
        <v>845</v>
      </c>
      <c r="B817" t="s">
        <v>21</v>
      </c>
      <c r="C817" t="s">
        <v>32</v>
      </c>
      <c r="D817" s="1">
        <v>45954</v>
      </c>
      <c r="E817" s="1">
        <v>45959</v>
      </c>
      <c r="F817" s="1">
        <v>45961</v>
      </c>
      <c r="G817" s="1">
        <v>45968</v>
      </c>
      <c r="H817" t="s">
        <v>18</v>
      </c>
      <c r="I817" t="s">
        <v>19</v>
      </c>
      <c r="J817" s="1">
        <v>45995</v>
      </c>
      <c r="K817">
        <v>5</v>
      </c>
      <c r="L817">
        <v>2</v>
      </c>
      <c r="M817">
        <v>7</v>
      </c>
      <c r="N817">
        <v>5</v>
      </c>
      <c r="O817">
        <v>14</v>
      </c>
      <c r="P817" t="s">
        <v>1049</v>
      </c>
    </row>
    <row r="818" spans="1:16" x14ac:dyDescent="0.3">
      <c r="A818" t="s">
        <v>846</v>
      </c>
      <c r="B818" t="s">
        <v>34</v>
      </c>
      <c r="C818" t="s">
        <v>32</v>
      </c>
      <c r="D818" s="1">
        <v>45953</v>
      </c>
      <c r="E818" s="1">
        <v>45955</v>
      </c>
      <c r="F818" s="1">
        <v>45956</v>
      </c>
      <c r="G818" s="1">
        <v>45962</v>
      </c>
      <c r="H818" t="s">
        <v>25</v>
      </c>
      <c r="I818" t="s">
        <v>65</v>
      </c>
      <c r="J818" s="1"/>
      <c r="K818">
        <v>2</v>
      </c>
      <c r="L818">
        <v>1</v>
      </c>
      <c r="M818">
        <v>6</v>
      </c>
      <c r="O818">
        <v>9</v>
      </c>
    </row>
    <row r="819" spans="1:16" x14ac:dyDescent="0.3">
      <c r="A819" t="s">
        <v>847</v>
      </c>
      <c r="B819" t="s">
        <v>21</v>
      </c>
      <c r="C819" t="s">
        <v>32</v>
      </c>
      <c r="D819" s="1">
        <v>45961</v>
      </c>
      <c r="E819" s="1">
        <v>45963</v>
      </c>
      <c r="F819" s="1">
        <v>45965</v>
      </c>
      <c r="G819" s="1">
        <v>45967</v>
      </c>
      <c r="H819" t="s">
        <v>18</v>
      </c>
      <c r="I819" t="s">
        <v>19</v>
      </c>
      <c r="J819" s="1">
        <v>45996</v>
      </c>
      <c r="K819">
        <v>2</v>
      </c>
      <c r="L819">
        <v>2</v>
      </c>
      <c r="M819">
        <v>2</v>
      </c>
      <c r="N819">
        <v>8</v>
      </c>
      <c r="O819">
        <v>6</v>
      </c>
      <c r="P819" t="s">
        <v>1041</v>
      </c>
    </row>
    <row r="820" spans="1:16" x14ac:dyDescent="0.3">
      <c r="A820" t="s">
        <v>848</v>
      </c>
      <c r="B820" t="s">
        <v>16</v>
      </c>
      <c r="C820" t="s">
        <v>32</v>
      </c>
      <c r="D820" s="1">
        <v>45948</v>
      </c>
      <c r="E820" s="1">
        <v>45953</v>
      </c>
      <c r="F820" s="1">
        <v>45957</v>
      </c>
      <c r="G820" s="1">
        <v>45960</v>
      </c>
      <c r="H820" t="s">
        <v>18</v>
      </c>
      <c r="I820" t="s">
        <v>19</v>
      </c>
      <c r="J820" s="1">
        <v>45971</v>
      </c>
      <c r="K820">
        <v>5</v>
      </c>
      <c r="L820">
        <v>4</v>
      </c>
      <c r="M820">
        <v>3</v>
      </c>
      <c r="N820">
        <v>8</v>
      </c>
      <c r="O820">
        <v>12</v>
      </c>
      <c r="P820" t="s">
        <v>1041</v>
      </c>
    </row>
    <row r="821" spans="1:16" x14ac:dyDescent="0.3">
      <c r="A821" t="s">
        <v>849</v>
      </c>
      <c r="B821" t="s">
        <v>21</v>
      </c>
      <c r="C821" t="s">
        <v>24</v>
      </c>
      <c r="D821" s="1">
        <v>45944</v>
      </c>
      <c r="E821" s="1"/>
      <c r="F821" s="1"/>
      <c r="G821" s="1"/>
      <c r="H821" t="s">
        <v>25</v>
      </c>
      <c r="I821" t="s">
        <v>65</v>
      </c>
      <c r="J821" s="1"/>
    </row>
    <row r="822" spans="1:16" x14ac:dyDescent="0.3">
      <c r="A822" t="s">
        <v>850</v>
      </c>
      <c r="B822" t="s">
        <v>16</v>
      </c>
      <c r="C822" t="s">
        <v>17</v>
      </c>
      <c r="D822" s="1">
        <v>45949</v>
      </c>
      <c r="E822" s="1">
        <v>45954</v>
      </c>
      <c r="F822" s="1">
        <v>45957</v>
      </c>
      <c r="G822" s="1">
        <v>45961</v>
      </c>
      <c r="H822" t="s">
        <v>18</v>
      </c>
      <c r="I822" t="s">
        <v>19</v>
      </c>
      <c r="J822" s="1">
        <v>45990</v>
      </c>
      <c r="K822">
        <v>5</v>
      </c>
      <c r="L822">
        <v>3</v>
      </c>
      <c r="M822">
        <v>4</v>
      </c>
      <c r="N822">
        <v>2</v>
      </c>
      <c r="O822">
        <v>12</v>
      </c>
      <c r="P822" t="s">
        <v>1049</v>
      </c>
    </row>
    <row r="823" spans="1:16" x14ac:dyDescent="0.3">
      <c r="A823" t="s">
        <v>851</v>
      </c>
      <c r="B823" t="s">
        <v>34</v>
      </c>
      <c r="C823" t="s">
        <v>24</v>
      </c>
      <c r="D823" s="1">
        <v>45954</v>
      </c>
      <c r="E823" s="1"/>
      <c r="F823" s="1"/>
      <c r="G823" s="1"/>
      <c r="H823" t="s">
        <v>25</v>
      </c>
      <c r="I823" t="s">
        <v>35</v>
      </c>
      <c r="J823" s="1"/>
    </row>
    <row r="824" spans="1:16" x14ac:dyDescent="0.3">
      <c r="A824" t="s">
        <v>852</v>
      </c>
      <c r="B824" t="s">
        <v>23</v>
      </c>
      <c r="C824" t="s">
        <v>17</v>
      </c>
      <c r="D824" s="1">
        <v>45954</v>
      </c>
      <c r="E824" s="1">
        <v>45957</v>
      </c>
      <c r="F824" s="1">
        <v>45961</v>
      </c>
      <c r="G824" s="1">
        <v>45964</v>
      </c>
      <c r="H824" t="s">
        <v>18</v>
      </c>
      <c r="I824" t="s">
        <v>19</v>
      </c>
      <c r="J824" s="1">
        <v>45975</v>
      </c>
      <c r="K824">
        <v>3</v>
      </c>
      <c r="L824">
        <v>4</v>
      </c>
      <c r="M824">
        <v>3</v>
      </c>
      <c r="N824">
        <v>3</v>
      </c>
      <c r="O824">
        <v>10</v>
      </c>
      <c r="P824" t="s">
        <v>1049</v>
      </c>
    </row>
    <row r="825" spans="1:16" x14ac:dyDescent="0.3">
      <c r="A825" t="s">
        <v>853</v>
      </c>
      <c r="B825" t="s">
        <v>34</v>
      </c>
      <c r="C825" t="s">
        <v>32</v>
      </c>
      <c r="D825" s="1">
        <v>45935</v>
      </c>
      <c r="E825" s="1">
        <v>45940</v>
      </c>
      <c r="F825" s="1">
        <v>45943</v>
      </c>
      <c r="G825" s="1">
        <v>45945</v>
      </c>
      <c r="H825" t="s">
        <v>18</v>
      </c>
      <c r="I825" t="s">
        <v>19</v>
      </c>
      <c r="J825" s="1">
        <v>45958</v>
      </c>
      <c r="K825">
        <v>5</v>
      </c>
      <c r="L825">
        <v>3</v>
      </c>
      <c r="M825">
        <v>2</v>
      </c>
      <c r="N825">
        <v>4</v>
      </c>
      <c r="O825">
        <v>10</v>
      </c>
      <c r="P825" t="s">
        <v>1049</v>
      </c>
    </row>
    <row r="826" spans="1:16" x14ac:dyDescent="0.3">
      <c r="A826" t="s">
        <v>854</v>
      </c>
      <c r="B826" t="s">
        <v>21</v>
      </c>
      <c r="C826" t="s">
        <v>17</v>
      </c>
      <c r="D826" s="1">
        <v>45959</v>
      </c>
      <c r="E826" s="1">
        <v>45960</v>
      </c>
      <c r="F826" s="1">
        <v>45964</v>
      </c>
      <c r="G826" s="1">
        <v>45971</v>
      </c>
      <c r="H826" t="s">
        <v>25</v>
      </c>
      <c r="I826" t="s">
        <v>65</v>
      </c>
      <c r="J826" s="1"/>
      <c r="K826">
        <v>1</v>
      </c>
      <c r="L826">
        <v>4</v>
      </c>
      <c r="M826">
        <v>7</v>
      </c>
      <c r="O826">
        <v>12</v>
      </c>
    </row>
    <row r="827" spans="1:16" x14ac:dyDescent="0.3">
      <c r="A827" t="s">
        <v>855</v>
      </c>
      <c r="B827" t="s">
        <v>21</v>
      </c>
      <c r="C827" t="s">
        <v>32</v>
      </c>
      <c r="D827" s="1">
        <v>45944</v>
      </c>
      <c r="E827" s="1">
        <v>45945</v>
      </c>
      <c r="F827" s="1">
        <v>45946</v>
      </c>
      <c r="G827" s="1">
        <v>45949</v>
      </c>
      <c r="H827" t="s">
        <v>18</v>
      </c>
      <c r="I827" t="s">
        <v>19</v>
      </c>
      <c r="J827" s="1">
        <v>45979</v>
      </c>
      <c r="K827">
        <v>1</v>
      </c>
      <c r="L827">
        <v>1</v>
      </c>
      <c r="M827">
        <v>3</v>
      </c>
      <c r="N827">
        <v>3</v>
      </c>
      <c r="O827">
        <v>5</v>
      </c>
      <c r="P827" t="s">
        <v>1049</v>
      </c>
    </row>
    <row r="828" spans="1:16" x14ac:dyDescent="0.3">
      <c r="A828" t="s">
        <v>856</v>
      </c>
      <c r="B828" t="s">
        <v>34</v>
      </c>
      <c r="C828" t="s">
        <v>17</v>
      </c>
      <c r="D828" s="1">
        <v>45951</v>
      </c>
      <c r="E828" s="1">
        <v>45952</v>
      </c>
      <c r="F828" s="1">
        <v>45955</v>
      </c>
      <c r="G828" s="1">
        <v>45959</v>
      </c>
      <c r="H828" t="s">
        <v>18</v>
      </c>
      <c r="I828" t="s">
        <v>19</v>
      </c>
      <c r="J828" s="1">
        <v>45969</v>
      </c>
      <c r="K828">
        <v>1</v>
      </c>
      <c r="L828">
        <v>3</v>
      </c>
      <c r="M828">
        <v>4</v>
      </c>
      <c r="N828">
        <v>6</v>
      </c>
      <c r="O828">
        <v>8</v>
      </c>
      <c r="P828" t="s">
        <v>1049</v>
      </c>
    </row>
    <row r="829" spans="1:16" x14ac:dyDescent="0.3">
      <c r="A829" t="s">
        <v>857</v>
      </c>
      <c r="B829" t="s">
        <v>34</v>
      </c>
      <c r="C829" t="s">
        <v>24</v>
      </c>
      <c r="D829" s="1">
        <v>45934</v>
      </c>
      <c r="E829" s="1"/>
      <c r="F829" s="1"/>
      <c r="G829" s="1"/>
      <c r="H829" t="s">
        <v>25</v>
      </c>
      <c r="I829" t="s">
        <v>65</v>
      </c>
      <c r="J829" s="1"/>
    </row>
    <row r="830" spans="1:16" x14ac:dyDescent="0.3">
      <c r="A830" t="s">
        <v>858</v>
      </c>
      <c r="B830" t="s">
        <v>16</v>
      </c>
      <c r="C830" t="s">
        <v>17</v>
      </c>
      <c r="D830" s="1">
        <v>45957</v>
      </c>
      <c r="E830" s="1">
        <v>45958</v>
      </c>
      <c r="F830" s="1">
        <v>45961</v>
      </c>
      <c r="G830" s="1">
        <v>45966</v>
      </c>
      <c r="H830" t="s">
        <v>18</v>
      </c>
      <c r="I830" t="s">
        <v>19</v>
      </c>
      <c r="J830" s="1">
        <v>45977</v>
      </c>
      <c r="K830">
        <v>1</v>
      </c>
      <c r="L830">
        <v>3</v>
      </c>
      <c r="M830">
        <v>5</v>
      </c>
      <c r="N830">
        <v>2</v>
      </c>
      <c r="O830">
        <v>9</v>
      </c>
      <c r="P830" t="s">
        <v>1049</v>
      </c>
    </row>
    <row r="831" spans="1:16" x14ac:dyDescent="0.3">
      <c r="A831" t="s">
        <v>859</v>
      </c>
      <c r="B831" t="s">
        <v>21</v>
      </c>
      <c r="C831" t="s">
        <v>17</v>
      </c>
      <c r="D831" s="1">
        <v>45946</v>
      </c>
      <c r="E831" s="1">
        <v>45951</v>
      </c>
      <c r="F831" s="1">
        <v>45953</v>
      </c>
      <c r="G831" s="1">
        <v>45959</v>
      </c>
      <c r="H831" t="s">
        <v>25</v>
      </c>
      <c r="I831" t="s">
        <v>28</v>
      </c>
      <c r="J831" s="1"/>
      <c r="K831">
        <v>5</v>
      </c>
      <c r="L831">
        <v>2</v>
      </c>
      <c r="M831">
        <v>6</v>
      </c>
      <c r="O831">
        <v>13</v>
      </c>
    </row>
    <row r="832" spans="1:16" x14ac:dyDescent="0.3">
      <c r="A832" t="s">
        <v>860</v>
      </c>
      <c r="B832" t="s">
        <v>21</v>
      </c>
      <c r="C832" t="s">
        <v>32</v>
      </c>
      <c r="D832" s="1">
        <v>45950</v>
      </c>
      <c r="E832" s="1">
        <v>45953</v>
      </c>
      <c r="F832" s="1">
        <v>45957</v>
      </c>
      <c r="G832" s="1">
        <v>45959</v>
      </c>
      <c r="H832" t="s">
        <v>25</v>
      </c>
      <c r="I832" t="s">
        <v>103</v>
      </c>
      <c r="J832" s="1"/>
      <c r="K832">
        <v>3</v>
      </c>
      <c r="L832">
        <v>4</v>
      </c>
      <c r="M832">
        <v>2</v>
      </c>
      <c r="O832">
        <v>9</v>
      </c>
    </row>
    <row r="833" spans="1:16" x14ac:dyDescent="0.3">
      <c r="A833" t="s">
        <v>861</v>
      </c>
      <c r="B833" t="s">
        <v>34</v>
      </c>
      <c r="C833" t="s">
        <v>32</v>
      </c>
      <c r="D833" s="1">
        <v>45944</v>
      </c>
      <c r="E833" s="1">
        <v>45946</v>
      </c>
      <c r="F833" s="1">
        <v>45951</v>
      </c>
      <c r="G833" s="1">
        <v>45958</v>
      </c>
      <c r="H833" t="s">
        <v>18</v>
      </c>
      <c r="I833" t="s">
        <v>19</v>
      </c>
      <c r="J833" s="1">
        <v>45971</v>
      </c>
      <c r="K833">
        <v>2</v>
      </c>
      <c r="L833">
        <v>5</v>
      </c>
      <c r="M833">
        <v>7</v>
      </c>
      <c r="N833">
        <v>9</v>
      </c>
      <c r="O833">
        <v>14</v>
      </c>
      <c r="P833" t="s">
        <v>1050</v>
      </c>
    </row>
    <row r="834" spans="1:16" x14ac:dyDescent="0.3">
      <c r="A834" t="s">
        <v>862</v>
      </c>
      <c r="B834" t="s">
        <v>23</v>
      </c>
      <c r="C834" t="s">
        <v>32</v>
      </c>
      <c r="D834" s="1">
        <v>45961</v>
      </c>
      <c r="E834" s="1">
        <v>45966</v>
      </c>
      <c r="F834" s="1">
        <v>45971</v>
      </c>
      <c r="G834" s="1">
        <v>45975</v>
      </c>
      <c r="H834" t="s">
        <v>18</v>
      </c>
      <c r="I834" t="s">
        <v>19</v>
      </c>
      <c r="J834" s="1">
        <v>45998</v>
      </c>
      <c r="K834">
        <v>5</v>
      </c>
      <c r="L834">
        <v>5</v>
      </c>
      <c r="M834">
        <v>4</v>
      </c>
      <c r="N834">
        <v>9</v>
      </c>
      <c r="O834">
        <v>14</v>
      </c>
      <c r="P834" t="s">
        <v>1050</v>
      </c>
    </row>
    <row r="835" spans="1:16" x14ac:dyDescent="0.3">
      <c r="A835" t="s">
        <v>863</v>
      </c>
      <c r="B835" t="s">
        <v>21</v>
      </c>
      <c r="C835" t="s">
        <v>17</v>
      </c>
      <c r="D835" s="1">
        <v>45961</v>
      </c>
      <c r="E835" s="1">
        <v>45965</v>
      </c>
      <c r="F835" s="1">
        <v>45967</v>
      </c>
      <c r="G835" s="1">
        <v>45971</v>
      </c>
      <c r="H835" t="s">
        <v>18</v>
      </c>
      <c r="I835" t="s">
        <v>19</v>
      </c>
      <c r="J835" s="1">
        <v>45995</v>
      </c>
      <c r="K835">
        <v>4</v>
      </c>
      <c r="L835">
        <v>2</v>
      </c>
      <c r="M835">
        <v>4</v>
      </c>
      <c r="N835">
        <v>6</v>
      </c>
      <c r="O835">
        <v>10</v>
      </c>
      <c r="P835" t="s">
        <v>1049</v>
      </c>
    </row>
    <row r="836" spans="1:16" x14ac:dyDescent="0.3">
      <c r="A836" t="s">
        <v>864</v>
      </c>
      <c r="B836" t="s">
        <v>23</v>
      </c>
      <c r="C836" t="s">
        <v>32</v>
      </c>
      <c r="D836" s="1">
        <v>45939</v>
      </c>
      <c r="E836" s="1">
        <v>45944</v>
      </c>
      <c r="F836" s="1">
        <v>45948</v>
      </c>
      <c r="G836" s="1">
        <v>45951</v>
      </c>
      <c r="H836" t="s">
        <v>18</v>
      </c>
      <c r="I836" t="s">
        <v>19</v>
      </c>
      <c r="J836" s="1">
        <v>45973</v>
      </c>
      <c r="K836">
        <v>5</v>
      </c>
      <c r="L836">
        <v>4</v>
      </c>
      <c r="M836">
        <v>3</v>
      </c>
      <c r="N836">
        <v>8</v>
      </c>
      <c r="O836">
        <v>12</v>
      </c>
      <c r="P836" t="s">
        <v>1041</v>
      </c>
    </row>
    <row r="837" spans="1:16" x14ac:dyDescent="0.3">
      <c r="A837" t="s">
        <v>865</v>
      </c>
      <c r="B837" t="s">
        <v>34</v>
      </c>
      <c r="C837" t="s">
        <v>17</v>
      </c>
      <c r="D837" s="1">
        <v>45932</v>
      </c>
      <c r="E837" s="1">
        <v>45933</v>
      </c>
      <c r="F837" s="1">
        <v>45934</v>
      </c>
      <c r="G837" s="1">
        <v>45936</v>
      </c>
      <c r="H837" t="s">
        <v>25</v>
      </c>
      <c r="I837" t="s">
        <v>35</v>
      </c>
      <c r="J837" s="1"/>
      <c r="K837">
        <v>1</v>
      </c>
      <c r="L837">
        <v>1</v>
      </c>
      <c r="M837">
        <v>2</v>
      </c>
      <c r="O837">
        <v>4</v>
      </c>
    </row>
    <row r="838" spans="1:16" x14ac:dyDescent="0.3">
      <c r="A838" t="s">
        <v>866</v>
      </c>
      <c r="B838" t="s">
        <v>34</v>
      </c>
      <c r="C838" t="s">
        <v>17</v>
      </c>
      <c r="D838" s="1">
        <v>45953</v>
      </c>
      <c r="E838" s="1">
        <v>45957</v>
      </c>
      <c r="F838" s="1">
        <v>45959</v>
      </c>
      <c r="G838" s="1">
        <v>45964</v>
      </c>
      <c r="H838" t="s">
        <v>18</v>
      </c>
      <c r="I838" t="s">
        <v>19</v>
      </c>
      <c r="J838" s="1">
        <v>45977</v>
      </c>
      <c r="K838">
        <v>4</v>
      </c>
      <c r="L838">
        <v>2</v>
      </c>
      <c r="M838">
        <v>5</v>
      </c>
      <c r="N838">
        <v>2</v>
      </c>
      <c r="O838">
        <v>11</v>
      </c>
      <c r="P838" t="s">
        <v>1049</v>
      </c>
    </row>
    <row r="839" spans="1:16" x14ac:dyDescent="0.3">
      <c r="A839" t="s">
        <v>867</v>
      </c>
      <c r="B839" t="s">
        <v>16</v>
      </c>
      <c r="C839" t="s">
        <v>17</v>
      </c>
      <c r="D839" s="1">
        <v>45942</v>
      </c>
      <c r="E839" s="1">
        <v>45947</v>
      </c>
      <c r="F839" s="1">
        <v>45950</v>
      </c>
      <c r="G839" s="1">
        <v>45955</v>
      </c>
      <c r="H839" t="s">
        <v>18</v>
      </c>
      <c r="I839" t="s">
        <v>19</v>
      </c>
      <c r="J839" s="1">
        <v>45982</v>
      </c>
      <c r="K839">
        <v>5</v>
      </c>
      <c r="L839">
        <v>3</v>
      </c>
      <c r="M839">
        <v>5</v>
      </c>
      <c r="N839">
        <v>6</v>
      </c>
      <c r="O839">
        <v>13</v>
      </c>
      <c r="P839" t="s">
        <v>1049</v>
      </c>
    </row>
    <row r="840" spans="1:16" x14ac:dyDescent="0.3">
      <c r="A840" t="s">
        <v>868</v>
      </c>
      <c r="B840" t="s">
        <v>21</v>
      </c>
      <c r="C840" t="s">
        <v>32</v>
      </c>
      <c r="D840" s="1">
        <v>45937</v>
      </c>
      <c r="E840" s="1">
        <v>45940</v>
      </c>
      <c r="F840" s="1">
        <v>45941</v>
      </c>
      <c r="G840" s="1">
        <v>45947</v>
      </c>
      <c r="H840" t="s">
        <v>18</v>
      </c>
      <c r="I840" t="s">
        <v>19</v>
      </c>
      <c r="J840" s="1">
        <v>45965</v>
      </c>
      <c r="K840">
        <v>3</v>
      </c>
      <c r="L840">
        <v>1</v>
      </c>
      <c r="M840">
        <v>6</v>
      </c>
      <c r="N840">
        <v>6</v>
      </c>
      <c r="O840">
        <v>10</v>
      </c>
      <c r="P840" t="s">
        <v>1049</v>
      </c>
    </row>
    <row r="841" spans="1:16" x14ac:dyDescent="0.3">
      <c r="A841" t="s">
        <v>869</v>
      </c>
      <c r="B841" t="s">
        <v>23</v>
      </c>
      <c r="C841" t="s">
        <v>32</v>
      </c>
      <c r="D841" s="1">
        <v>45945</v>
      </c>
      <c r="E841" s="1">
        <v>45948</v>
      </c>
      <c r="F841" s="1">
        <v>45952</v>
      </c>
      <c r="G841" s="1">
        <v>45959</v>
      </c>
      <c r="H841" t="s">
        <v>18</v>
      </c>
      <c r="I841" t="s">
        <v>19</v>
      </c>
      <c r="J841" s="1">
        <v>45984</v>
      </c>
      <c r="K841">
        <v>3</v>
      </c>
      <c r="L841">
        <v>4</v>
      </c>
      <c r="M841">
        <v>7</v>
      </c>
      <c r="N841">
        <v>9</v>
      </c>
      <c r="O841">
        <v>14</v>
      </c>
      <c r="P841" t="s">
        <v>1050</v>
      </c>
    </row>
    <row r="842" spans="1:16" x14ac:dyDescent="0.3">
      <c r="A842" t="s">
        <v>870</v>
      </c>
      <c r="B842" t="s">
        <v>16</v>
      </c>
      <c r="C842" t="s">
        <v>24</v>
      </c>
      <c r="D842" s="1">
        <v>45945</v>
      </c>
      <c r="E842" s="1"/>
      <c r="F842" s="1"/>
      <c r="G842" s="1"/>
      <c r="H842" t="s">
        <v>25</v>
      </c>
      <c r="I842" t="s">
        <v>35</v>
      </c>
      <c r="J842" s="1"/>
    </row>
    <row r="843" spans="1:16" x14ac:dyDescent="0.3">
      <c r="A843" t="s">
        <v>871</v>
      </c>
      <c r="B843" t="s">
        <v>21</v>
      </c>
      <c r="C843" t="s">
        <v>17</v>
      </c>
      <c r="D843" s="1">
        <v>45961</v>
      </c>
      <c r="E843" s="1">
        <v>45965</v>
      </c>
      <c r="F843" s="1">
        <v>45968</v>
      </c>
      <c r="G843" s="1">
        <v>45974</v>
      </c>
      <c r="H843" t="s">
        <v>18</v>
      </c>
      <c r="I843" t="s">
        <v>19</v>
      </c>
      <c r="J843" s="1">
        <v>45988</v>
      </c>
      <c r="K843">
        <v>4</v>
      </c>
      <c r="L843">
        <v>3</v>
      </c>
      <c r="M843">
        <v>6</v>
      </c>
      <c r="N843">
        <v>9</v>
      </c>
      <c r="O843">
        <v>13</v>
      </c>
      <c r="P843" t="s">
        <v>1050</v>
      </c>
    </row>
    <row r="844" spans="1:16" x14ac:dyDescent="0.3">
      <c r="A844" t="s">
        <v>872</v>
      </c>
      <c r="B844" t="s">
        <v>16</v>
      </c>
      <c r="C844" t="s">
        <v>17</v>
      </c>
      <c r="D844" s="1">
        <v>45938</v>
      </c>
      <c r="E844" s="1">
        <v>45940</v>
      </c>
      <c r="F844" s="1">
        <v>45945</v>
      </c>
      <c r="G844" s="1">
        <v>45948</v>
      </c>
      <c r="H844" t="s">
        <v>18</v>
      </c>
      <c r="I844" t="s">
        <v>19</v>
      </c>
      <c r="J844" s="1">
        <v>45964</v>
      </c>
      <c r="K844">
        <v>2</v>
      </c>
      <c r="L844">
        <v>5</v>
      </c>
      <c r="M844">
        <v>3</v>
      </c>
      <c r="N844">
        <v>0</v>
      </c>
      <c r="O844">
        <v>10</v>
      </c>
      <c r="P844" t="s">
        <v>1049</v>
      </c>
    </row>
    <row r="845" spans="1:16" x14ac:dyDescent="0.3">
      <c r="A845" t="s">
        <v>873</v>
      </c>
      <c r="B845" t="s">
        <v>34</v>
      </c>
      <c r="C845" t="s">
        <v>32</v>
      </c>
      <c r="D845" s="1">
        <v>45958</v>
      </c>
      <c r="E845" s="1">
        <v>45962</v>
      </c>
      <c r="F845" s="1">
        <v>45966</v>
      </c>
      <c r="G845" s="1">
        <v>45968</v>
      </c>
      <c r="H845" t="s">
        <v>25</v>
      </c>
      <c r="I845" t="s">
        <v>35</v>
      </c>
      <c r="J845" s="1"/>
      <c r="K845">
        <v>4</v>
      </c>
      <c r="L845">
        <v>4</v>
      </c>
      <c r="M845">
        <v>2</v>
      </c>
      <c r="O845">
        <v>10</v>
      </c>
    </row>
    <row r="846" spans="1:16" x14ac:dyDescent="0.3">
      <c r="A846" t="s">
        <v>874</v>
      </c>
      <c r="B846" t="s">
        <v>21</v>
      </c>
      <c r="C846" t="s">
        <v>24</v>
      </c>
      <c r="D846" s="1">
        <v>45942</v>
      </c>
      <c r="E846" s="1"/>
      <c r="F846" s="1"/>
      <c r="G846" s="1"/>
      <c r="H846" t="s">
        <v>25</v>
      </c>
      <c r="I846" t="s">
        <v>28</v>
      </c>
      <c r="J846" s="1"/>
    </row>
    <row r="847" spans="1:16" x14ac:dyDescent="0.3">
      <c r="A847" t="s">
        <v>875</v>
      </c>
      <c r="B847" t="s">
        <v>16</v>
      </c>
      <c r="C847" t="s">
        <v>17</v>
      </c>
      <c r="D847" s="1">
        <v>45934</v>
      </c>
      <c r="E847" s="1">
        <v>45937</v>
      </c>
      <c r="F847" s="1">
        <v>45940</v>
      </c>
      <c r="G847" s="1">
        <v>45945</v>
      </c>
      <c r="H847" t="s">
        <v>18</v>
      </c>
      <c r="I847" t="s">
        <v>19</v>
      </c>
      <c r="J847" s="1">
        <v>45975</v>
      </c>
      <c r="K847">
        <v>3</v>
      </c>
      <c r="L847">
        <v>3</v>
      </c>
      <c r="M847">
        <v>5</v>
      </c>
      <c r="N847">
        <v>7</v>
      </c>
      <c r="O847">
        <v>11</v>
      </c>
      <c r="P847" t="s">
        <v>1041</v>
      </c>
    </row>
    <row r="848" spans="1:16" x14ac:dyDescent="0.3">
      <c r="A848" t="s">
        <v>876</v>
      </c>
      <c r="B848" t="s">
        <v>16</v>
      </c>
      <c r="C848" t="s">
        <v>17</v>
      </c>
      <c r="D848" s="1">
        <v>45952</v>
      </c>
      <c r="E848" s="1">
        <v>45956</v>
      </c>
      <c r="F848" s="1">
        <v>45960</v>
      </c>
      <c r="G848" s="1">
        <v>45962</v>
      </c>
      <c r="H848" t="s">
        <v>18</v>
      </c>
      <c r="I848" t="s">
        <v>19</v>
      </c>
      <c r="J848" s="1">
        <v>45972</v>
      </c>
      <c r="K848">
        <v>4</v>
      </c>
      <c r="L848">
        <v>4</v>
      </c>
      <c r="M848">
        <v>2</v>
      </c>
      <c r="N848">
        <v>3</v>
      </c>
      <c r="O848">
        <v>10</v>
      </c>
      <c r="P848" t="s">
        <v>1049</v>
      </c>
    </row>
    <row r="849" spans="1:16" x14ac:dyDescent="0.3">
      <c r="A849" t="s">
        <v>877</v>
      </c>
      <c r="B849" t="s">
        <v>23</v>
      </c>
      <c r="C849" t="s">
        <v>24</v>
      </c>
      <c r="D849" s="1">
        <v>45942</v>
      </c>
      <c r="E849" s="1"/>
      <c r="F849" s="1"/>
      <c r="G849" s="1"/>
      <c r="H849" t="s">
        <v>25</v>
      </c>
      <c r="I849" t="s">
        <v>65</v>
      </c>
      <c r="J849" s="1"/>
    </row>
    <row r="850" spans="1:16" x14ac:dyDescent="0.3">
      <c r="A850" t="s">
        <v>878</v>
      </c>
      <c r="B850" t="s">
        <v>16</v>
      </c>
      <c r="C850" t="s">
        <v>32</v>
      </c>
      <c r="D850" s="1">
        <v>45948</v>
      </c>
      <c r="E850" s="1">
        <v>45949</v>
      </c>
      <c r="F850" s="1">
        <v>45952</v>
      </c>
      <c r="G850" s="1">
        <v>45955</v>
      </c>
      <c r="H850" t="s">
        <v>18</v>
      </c>
      <c r="I850" t="s">
        <v>19</v>
      </c>
      <c r="J850" s="1">
        <v>45974</v>
      </c>
      <c r="K850">
        <v>1</v>
      </c>
      <c r="L850">
        <v>3</v>
      </c>
      <c r="M850">
        <v>3</v>
      </c>
      <c r="N850">
        <v>5</v>
      </c>
      <c r="O850">
        <v>7</v>
      </c>
      <c r="P850" t="s">
        <v>1049</v>
      </c>
    </row>
    <row r="851" spans="1:16" x14ac:dyDescent="0.3">
      <c r="A851" t="s">
        <v>879</v>
      </c>
      <c r="B851" t="s">
        <v>21</v>
      </c>
      <c r="C851" t="s">
        <v>17</v>
      </c>
      <c r="D851" s="1">
        <v>45959</v>
      </c>
      <c r="E851" s="1">
        <v>45960</v>
      </c>
      <c r="F851" s="1">
        <v>45964</v>
      </c>
      <c r="G851" s="1">
        <v>45966</v>
      </c>
      <c r="H851" t="s">
        <v>18</v>
      </c>
      <c r="I851" t="s">
        <v>19</v>
      </c>
      <c r="J851" s="1">
        <v>45989</v>
      </c>
      <c r="K851">
        <v>1</v>
      </c>
      <c r="L851">
        <v>4</v>
      </c>
      <c r="M851">
        <v>2</v>
      </c>
      <c r="N851">
        <v>6</v>
      </c>
      <c r="O851">
        <v>7</v>
      </c>
      <c r="P851" t="s">
        <v>1049</v>
      </c>
    </row>
    <row r="852" spans="1:16" x14ac:dyDescent="0.3">
      <c r="A852" t="s">
        <v>880</v>
      </c>
      <c r="B852" t="s">
        <v>21</v>
      </c>
      <c r="C852" t="s">
        <v>17</v>
      </c>
      <c r="D852" s="1">
        <v>45951</v>
      </c>
      <c r="E852" s="1">
        <v>45953</v>
      </c>
      <c r="F852" s="1">
        <v>45958</v>
      </c>
      <c r="G852" s="1">
        <v>45960</v>
      </c>
      <c r="H852" t="s">
        <v>18</v>
      </c>
      <c r="I852" t="s">
        <v>19</v>
      </c>
      <c r="J852" s="1">
        <v>45973</v>
      </c>
      <c r="K852">
        <v>2</v>
      </c>
      <c r="L852">
        <v>5</v>
      </c>
      <c r="M852">
        <v>2</v>
      </c>
      <c r="N852">
        <v>4</v>
      </c>
      <c r="O852">
        <v>9</v>
      </c>
      <c r="P852" t="s">
        <v>1049</v>
      </c>
    </row>
    <row r="853" spans="1:16" x14ac:dyDescent="0.3">
      <c r="A853" t="s">
        <v>881</v>
      </c>
      <c r="B853" t="s">
        <v>23</v>
      </c>
      <c r="C853" t="s">
        <v>32</v>
      </c>
      <c r="D853" s="1">
        <v>45942</v>
      </c>
      <c r="E853" s="1">
        <v>45946</v>
      </c>
      <c r="F853" s="1">
        <v>45948</v>
      </c>
      <c r="G853" s="1">
        <v>45950</v>
      </c>
      <c r="H853" t="s">
        <v>18</v>
      </c>
      <c r="I853" t="s">
        <v>19</v>
      </c>
      <c r="J853" s="1">
        <v>45976</v>
      </c>
      <c r="K853">
        <v>4</v>
      </c>
      <c r="L853">
        <v>2</v>
      </c>
      <c r="M853">
        <v>2</v>
      </c>
      <c r="N853">
        <v>9</v>
      </c>
      <c r="O853">
        <v>8</v>
      </c>
      <c r="P853" t="s">
        <v>1050</v>
      </c>
    </row>
    <row r="854" spans="1:16" x14ac:dyDescent="0.3">
      <c r="A854" t="s">
        <v>882</v>
      </c>
      <c r="B854" t="s">
        <v>21</v>
      </c>
      <c r="C854" t="s">
        <v>24</v>
      </c>
      <c r="D854" s="1">
        <v>45932</v>
      </c>
      <c r="E854" s="1"/>
      <c r="F854" s="1"/>
      <c r="G854" s="1"/>
      <c r="H854" t="s">
        <v>25</v>
      </c>
      <c r="I854" t="s">
        <v>103</v>
      </c>
      <c r="J854" s="1"/>
    </row>
    <row r="855" spans="1:16" x14ac:dyDescent="0.3">
      <c r="A855" t="s">
        <v>883</v>
      </c>
      <c r="B855" t="s">
        <v>34</v>
      </c>
      <c r="C855" t="s">
        <v>17</v>
      </c>
      <c r="D855" s="1">
        <v>45943</v>
      </c>
      <c r="E855" s="1">
        <v>45947</v>
      </c>
      <c r="F855" s="1">
        <v>45950</v>
      </c>
      <c r="G855" s="1">
        <v>45953</v>
      </c>
      <c r="H855" t="s">
        <v>25</v>
      </c>
      <c r="I855" t="s">
        <v>26</v>
      </c>
      <c r="J855" s="1"/>
      <c r="K855">
        <v>4</v>
      </c>
      <c r="L855">
        <v>3</v>
      </c>
      <c r="M855">
        <v>3</v>
      </c>
      <c r="O855">
        <v>10</v>
      </c>
    </row>
    <row r="856" spans="1:16" x14ac:dyDescent="0.3">
      <c r="A856" t="s">
        <v>884</v>
      </c>
      <c r="B856" t="s">
        <v>21</v>
      </c>
      <c r="C856" t="s">
        <v>17</v>
      </c>
      <c r="D856" s="1">
        <v>45939</v>
      </c>
      <c r="E856" s="1">
        <v>45943</v>
      </c>
      <c r="F856" s="1">
        <v>45946</v>
      </c>
      <c r="G856" s="1">
        <v>45949</v>
      </c>
      <c r="H856" t="s">
        <v>18</v>
      </c>
      <c r="I856" t="s">
        <v>19</v>
      </c>
      <c r="J856" s="1">
        <v>45967</v>
      </c>
      <c r="K856">
        <v>4</v>
      </c>
      <c r="L856">
        <v>3</v>
      </c>
      <c r="M856">
        <v>3</v>
      </c>
      <c r="N856">
        <v>2</v>
      </c>
      <c r="O856">
        <v>10</v>
      </c>
      <c r="P856" t="s">
        <v>1049</v>
      </c>
    </row>
    <row r="857" spans="1:16" x14ac:dyDescent="0.3">
      <c r="A857" t="s">
        <v>885</v>
      </c>
      <c r="B857" t="s">
        <v>21</v>
      </c>
      <c r="C857" t="s">
        <v>32</v>
      </c>
      <c r="D857" s="1">
        <v>45937</v>
      </c>
      <c r="E857" s="1">
        <v>45941</v>
      </c>
      <c r="F857" s="1">
        <v>45946</v>
      </c>
      <c r="G857" s="1">
        <v>45949</v>
      </c>
      <c r="H857" t="s">
        <v>18</v>
      </c>
      <c r="I857" t="s">
        <v>19</v>
      </c>
      <c r="J857" s="1">
        <v>45978</v>
      </c>
      <c r="K857">
        <v>4</v>
      </c>
      <c r="L857">
        <v>5</v>
      </c>
      <c r="M857">
        <v>3</v>
      </c>
      <c r="N857">
        <v>7</v>
      </c>
      <c r="O857">
        <v>12</v>
      </c>
      <c r="P857" t="s">
        <v>1041</v>
      </c>
    </row>
    <row r="858" spans="1:16" x14ac:dyDescent="0.3">
      <c r="A858" t="s">
        <v>886</v>
      </c>
      <c r="B858" t="s">
        <v>16</v>
      </c>
      <c r="C858" t="s">
        <v>32</v>
      </c>
      <c r="D858" s="1">
        <v>45961</v>
      </c>
      <c r="E858" s="1">
        <v>45963</v>
      </c>
      <c r="F858" s="1">
        <v>45965</v>
      </c>
      <c r="G858" s="1">
        <v>45970</v>
      </c>
      <c r="H858" t="s">
        <v>18</v>
      </c>
      <c r="I858" t="s">
        <v>19</v>
      </c>
      <c r="J858" s="1">
        <v>45999</v>
      </c>
      <c r="K858">
        <v>2</v>
      </c>
      <c r="L858">
        <v>2</v>
      </c>
      <c r="M858">
        <v>5</v>
      </c>
      <c r="N858">
        <v>1</v>
      </c>
      <c r="O858">
        <v>9</v>
      </c>
      <c r="P858" t="s">
        <v>1049</v>
      </c>
    </row>
    <row r="859" spans="1:16" x14ac:dyDescent="0.3">
      <c r="A859" t="s">
        <v>887</v>
      </c>
      <c r="B859" t="s">
        <v>16</v>
      </c>
      <c r="C859" t="s">
        <v>17</v>
      </c>
      <c r="D859" s="1">
        <v>45934</v>
      </c>
      <c r="E859" s="1">
        <v>45937</v>
      </c>
      <c r="F859" s="1">
        <v>45941</v>
      </c>
      <c r="G859" s="1">
        <v>45945</v>
      </c>
      <c r="H859" t="s">
        <v>18</v>
      </c>
      <c r="I859" t="s">
        <v>19</v>
      </c>
      <c r="J859" s="1">
        <v>45959</v>
      </c>
      <c r="K859">
        <v>3</v>
      </c>
      <c r="L859">
        <v>4</v>
      </c>
      <c r="M859">
        <v>4</v>
      </c>
      <c r="N859">
        <v>3</v>
      </c>
      <c r="O859">
        <v>11</v>
      </c>
      <c r="P859" t="s">
        <v>1049</v>
      </c>
    </row>
    <row r="860" spans="1:16" x14ac:dyDescent="0.3">
      <c r="A860" t="s">
        <v>888</v>
      </c>
      <c r="B860" t="s">
        <v>21</v>
      </c>
      <c r="C860" t="s">
        <v>17</v>
      </c>
      <c r="D860" s="1">
        <v>45961</v>
      </c>
      <c r="E860" s="1">
        <v>45966</v>
      </c>
      <c r="F860" s="1">
        <v>45969</v>
      </c>
      <c r="G860" s="1">
        <v>45976</v>
      </c>
      <c r="H860" t="s">
        <v>18</v>
      </c>
      <c r="I860" t="s">
        <v>19</v>
      </c>
      <c r="J860" s="1">
        <v>45999</v>
      </c>
      <c r="K860">
        <v>5</v>
      </c>
      <c r="L860">
        <v>3</v>
      </c>
      <c r="M860">
        <v>7</v>
      </c>
      <c r="N860">
        <v>7</v>
      </c>
      <c r="O860">
        <v>15</v>
      </c>
      <c r="P860" t="s">
        <v>1041</v>
      </c>
    </row>
    <row r="861" spans="1:16" x14ac:dyDescent="0.3">
      <c r="A861" t="s">
        <v>889</v>
      </c>
      <c r="B861" t="s">
        <v>23</v>
      </c>
      <c r="C861" t="s">
        <v>32</v>
      </c>
      <c r="D861" s="1">
        <v>45958</v>
      </c>
      <c r="E861" s="1">
        <v>45960</v>
      </c>
      <c r="F861" s="1">
        <v>45962</v>
      </c>
      <c r="G861" s="1">
        <v>45969</v>
      </c>
      <c r="H861" t="s">
        <v>18</v>
      </c>
      <c r="I861" t="s">
        <v>19</v>
      </c>
      <c r="J861" s="1">
        <v>45982</v>
      </c>
      <c r="K861">
        <v>2</v>
      </c>
      <c r="L861">
        <v>2</v>
      </c>
      <c r="M861">
        <v>7</v>
      </c>
      <c r="N861">
        <v>4</v>
      </c>
      <c r="O861">
        <v>11</v>
      </c>
      <c r="P861" t="s">
        <v>1049</v>
      </c>
    </row>
    <row r="862" spans="1:16" x14ac:dyDescent="0.3">
      <c r="A862" t="s">
        <v>890</v>
      </c>
      <c r="B862" t="s">
        <v>16</v>
      </c>
      <c r="C862" t="s">
        <v>17</v>
      </c>
      <c r="D862" s="1">
        <v>45957</v>
      </c>
      <c r="E862" s="1">
        <v>45960</v>
      </c>
      <c r="F862" s="1">
        <v>45964</v>
      </c>
      <c r="G862" s="1">
        <v>45971</v>
      </c>
      <c r="H862" t="s">
        <v>18</v>
      </c>
      <c r="I862" t="s">
        <v>19</v>
      </c>
      <c r="J862" s="1">
        <v>45997</v>
      </c>
      <c r="K862">
        <v>3</v>
      </c>
      <c r="L862">
        <v>4</v>
      </c>
      <c r="M862">
        <v>7</v>
      </c>
      <c r="N862">
        <v>2</v>
      </c>
      <c r="O862">
        <v>14</v>
      </c>
      <c r="P862" t="s">
        <v>1049</v>
      </c>
    </row>
    <row r="863" spans="1:16" x14ac:dyDescent="0.3">
      <c r="A863" t="s">
        <v>891</v>
      </c>
      <c r="B863" t="s">
        <v>23</v>
      </c>
      <c r="C863" t="s">
        <v>17</v>
      </c>
      <c r="D863" s="1">
        <v>45945</v>
      </c>
      <c r="E863" s="1">
        <v>45948</v>
      </c>
      <c r="F863" s="1">
        <v>45951</v>
      </c>
      <c r="G863" s="1">
        <v>45953</v>
      </c>
      <c r="H863" t="s">
        <v>18</v>
      </c>
      <c r="I863" t="s">
        <v>19</v>
      </c>
      <c r="J863" s="1">
        <v>45982</v>
      </c>
      <c r="K863">
        <v>3</v>
      </c>
      <c r="L863">
        <v>3</v>
      </c>
      <c r="M863">
        <v>2</v>
      </c>
      <c r="N863">
        <v>5</v>
      </c>
      <c r="O863">
        <v>8</v>
      </c>
      <c r="P863" t="s">
        <v>1049</v>
      </c>
    </row>
    <row r="864" spans="1:16" x14ac:dyDescent="0.3">
      <c r="A864" t="s">
        <v>892</v>
      </c>
      <c r="B864" t="s">
        <v>21</v>
      </c>
      <c r="C864" t="s">
        <v>32</v>
      </c>
      <c r="D864" s="1">
        <v>45933</v>
      </c>
      <c r="E864" s="1">
        <v>45936</v>
      </c>
      <c r="F864" s="1">
        <v>45939</v>
      </c>
      <c r="G864" s="1">
        <v>45945</v>
      </c>
      <c r="H864" t="s">
        <v>25</v>
      </c>
      <c r="I864" t="s">
        <v>65</v>
      </c>
      <c r="J864" s="1"/>
      <c r="K864">
        <v>3</v>
      </c>
      <c r="L864">
        <v>3</v>
      </c>
      <c r="M864">
        <v>6</v>
      </c>
      <c r="O864">
        <v>12</v>
      </c>
    </row>
    <row r="865" spans="1:16" x14ac:dyDescent="0.3">
      <c r="A865" t="s">
        <v>893</v>
      </c>
      <c r="B865" t="s">
        <v>21</v>
      </c>
      <c r="C865" t="s">
        <v>17</v>
      </c>
      <c r="D865" s="1">
        <v>45952</v>
      </c>
      <c r="E865" s="1">
        <v>45956</v>
      </c>
      <c r="F865" s="1">
        <v>45960</v>
      </c>
      <c r="G865" s="1">
        <v>45966</v>
      </c>
      <c r="H865" t="s">
        <v>18</v>
      </c>
      <c r="I865" t="s">
        <v>19</v>
      </c>
      <c r="J865" s="1">
        <v>45979</v>
      </c>
      <c r="K865">
        <v>4</v>
      </c>
      <c r="L865">
        <v>4</v>
      </c>
      <c r="M865">
        <v>6</v>
      </c>
      <c r="N865">
        <v>9</v>
      </c>
      <c r="O865">
        <v>14</v>
      </c>
      <c r="P865" t="s">
        <v>1050</v>
      </c>
    </row>
    <row r="866" spans="1:16" x14ac:dyDescent="0.3">
      <c r="A866" t="s">
        <v>894</v>
      </c>
      <c r="B866" t="s">
        <v>34</v>
      </c>
      <c r="C866" t="s">
        <v>32</v>
      </c>
      <c r="D866" s="1">
        <v>45937</v>
      </c>
      <c r="E866" s="1">
        <v>45939</v>
      </c>
      <c r="F866" s="1">
        <v>45944</v>
      </c>
      <c r="G866" s="1">
        <v>45948</v>
      </c>
      <c r="H866" t="s">
        <v>18</v>
      </c>
      <c r="I866" t="s">
        <v>19</v>
      </c>
      <c r="J866" s="1">
        <v>45967</v>
      </c>
      <c r="K866">
        <v>2</v>
      </c>
      <c r="L866">
        <v>5</v>
      </c>
      <c r="M866">
        <v>4</v>
      </c>
      <c r="N866">
        <v>4</v>
      </c>
      <c r="O866">
        <v>11</v>
      </c>
      <c r="P866" t="s">
        <v>1049</v>
      </c>
    </row>
    <row r="867" spans="1:16" x14ac:dyDescent="0.3">
      <c r="A867" t="s">
        <v>895</v>
      </c>
      <c r="B867" t="s">
        <v>16</v>
      </c>
      <c r="C867" t="s">
        <v>24</v>
      </c>
      <c r="D867" s="1">
        <v>45951</v>
      </c>
      <c r="E867" s="1"/>
      <c r="F867" s="1"/>
      <c r="G867" s="1"/>
      <c r="H867" t="s">
        <v>25</v>
      </c>
      <c r="I867" t="s">
        <v>28</v>
      </c>
      <c r="J867" s="1"/>
    </row>
    <row r="868" spans="1:16" x14ac:dyDescent="0.3">
      <c r="A868" t="s">
        <v>896</v>
      </c>
      <c r="B868" t="s">
        <v>21</v>
      </c>
      <c r="C868" t="s">
        <v>17</v>
      </c>
      <c r="D868" s="1">
        <v>45951</v>
      </c>
      <c r="E868" s="1">
        <v>45954</v>
      </c>
      <c r="F868" s="1">
        <v>45956</v>
      </c>
      <c r="G868" s="1">
        <v>45958</v>
      </c>
      <c r="H868" t="s">
        <v>18</v>
      </c>
      <c r="I868" t="s">
        <v>19</v>
      </c>
      <c r="J868" s="1">
        <v>45971</v>
      </c>
      <c r="K868">
        <v>3</v>
      </c>
      <c r="L868">
        <v>2</v>
      </c>
      <c r="M868">
        <v>2</v>
      </c>
      <c r="N868">
        <v>9</v>
      </c>
      <c r="O868">
        <v>7</v>
      </c>
      <c r="P868" t="s">
        <v>1050</v>
      </c>
    </row>
    <row r="869" spans="1:16" x14ac:dyDescent="0.3">
      <c r="A869" t="s">
        <v>897</v>
      </c>
      <c r="B869" t="s">
        <v>34</v>
      </c>
      <c r="C869" t="s">
        <v>32</v>
      </c>
      <c r="D869" s="1">
        <v>45950</v>
      </c>
      <c r="E869" s="1">
        <v>45955</v>
      </c>
      <c r="F869" s="1">
        <v>45958</v>
      </c>
      <c r="G869" s="1">
        <v>45960</v>
      </c>
      <c r="H869" t="s">
        <v>18</v>
      </c>
      <c r="I869" t="s">
        <v>19</v>
      </c>
      <c r="J869" s="1">
        <v>45973</v>
      </c>
      <c r="K869">
        <v>5</v>
      </c>
      <c r="L869">
        <v>3</v>
      </c>
      <c r="M869">
        <v>2</v>
      </c>
      <c r="N869">
        <v>9</v>
      </c>
      <c r="O869">
        <v>10</v>
      </c>
      <c r="P869" t="s">
        <v>1050</v>
      </c>
    </row>
    <row r="870" spans="1:16" x14ac:dyDescent="0.3">
      <c r="A870" t="s">
        <v>898</v>
      </c>
      <c r="B870" t="s">
        <v>16</v>
      </c>
      <c r="C870" t="s">
        <v>17</v>
      </c>
      <c r="D870" s="1">
        <v>45931</v>
      </c>
      <c r="E870" s="1">
        <v>45936</v>
      </c>
      <c r="F870" s="1">
        <v>45940</v>
      </c>
      <c r="G870" s="1">
        <v>45942</v>
      </c>
      <c r="H870" t="s">
        <v>18</v>
      </c>
      <c r="I870" t="s">
        <v>19</v>
      </c>
      <c r="J870" s="1">
        <v>45967</v>
      </c>
      <c r="K870">
        <v>5</v>
      </c>
      <c r="L870">
        <v>4</v>
      </c>
      <c r="M870">
        <v>2</v>
      </c>
      <c r="N870">
        <v>5</v>
      </c>
      <c r="O870">
        <v>11</v>
      </c>
      <c r="P870" t="s">
        <v>1049</v>
      </c>
    </row>
    <row r="871" spans="1:16" x14ac:dyDescent="0.3">
      <c r="A871" t="s">
        <v>899</v>
      </c>
      <c r="B871" t="s">
        <v>21</v>
      </c>
      <c r="C871" t="s">
        <v>17</v>
      </c>
      <c r="D871" s="1">
        <v>45932</v>
      </c>
      <c r="E871" s="1">
        <v>45933</v>
      </c>
      <c r="F871" s="1">
        <v>45936</v>
      </c>
      <c r="G871" s="1">
        <v>45939</v>
      </c>
      <c r="H871" t="s">
        <v>18</v>
      </c>
      <c r="I871" t="s">
        <v>19</v>
      </c>
      <c r="J871" s="1">
        <v>45955</v>
      </c>
      <c r="K871">
        <v>1</v>
      </c>
      <c r="L871">
        <v>3</v>
      </c>
      <c r="M871">
        <v>3</v>
      </c>
      <c r="N871">
        <v>1</v>
      </c>
      <c r="O871">
        <v>7</v>
      </c>
      <c r="P871" t="s">
        <v>1049</v>
      </c>
    </row>
    <row r="872" spans="1:16" x14ac:dyDescent="0.3">
      <c r="A872" t="s">
        <v>900</v>
      </c>
      <c r="B872" t="s">
        <v>21</v>
      </c>
      <c r="C872" t="s">
        <v>17</v>
      </c>
      <c r="D872" s="1">
        <v>45956</v>
      </c>
      <c r="E872" s="1">
        <v>45959</v>
      </c>
      <c r="F872" s="1">
        <v>45963</v>
      </c>
      <c r="G872" s="1">
        <v>45970</v>
      </c>
      <c r="H872" t="s">
        <v>18</v>
      </c>
      <c r="I872" t="s">
        <v>19</v>
      </c>
      <c r="J872" s="1">
        <v>45999</v>
      </c>
      <c r="K872">
        <v>3</v>
      </c>
      <c r="L872">
        <v>4</v>
      </c>
      <c r="M872">
        <v>7</v>
      </c>
      <c r="N872">
        <v>8</v>
      </c>
      <c r="O872">
        <v>14</v>
      </c>
      <c r="P872" t="s">
        <v>1041</v>
      </c>
    </row>
    <row r="873" spans="1:16" x14ac:dyDescent="0.3">
      <c r="A873" t="s">
        <v>901</v>
      </c>
      <c r="B873" t="s">
        <v>16</v>
      </c>
      <c r="C873" t="s">
        <v>17</v>
      </c>
      <c r="D873" s="1">
        <v>45941</v>
      </c>
      <c r="E873" s="1">
        <v>45943</v>
      </c>
      <c r="F873" s="1">
        <v>45946</v>
      </c>
      <c r="G873" s="1">
        <v>45951</v>
      </c>
      <c r="H873" t="s">
        <v>18</v>
      </c>
      <c r="I873" t="s">
        <v>19</v>
      </c>
      <c r="J873" s="1">
        <v>45967</v>
      </c>
      <c r="K873">
        <v>2</v>
      </c>
      <c r="L873">
        <v>3</v>
      </c>
      <c r="M873">
        <v>5</v>
      </c>
      <c r="N873">
        <v>7</v>
      </c>
      <c r="O873">
        <v>10</v>
      </c>
      <c r="P873" t="s">
        <v>1041</v>
      </c>
    </row>
    <row r="874" spans="1:16" x14ac:dyDescent="0.3">
      <c r="A874" t="s">
        <v>902</v>
      </c>
      <c r="B874" t="s">
        <v>16</v>
      </c>
      <c r="C874" t="s">
        <v>17</v>
      </c>
      <c r="D874" s="1">
        <v>45938</v>
      </c>
      <c r="E874" s="1">
        <v>45942</v>
      </c>
      <c r="F874" s="1">
        <v>45943</v>
      </c>
      <c r="G874" s="1">
        <v>45946</v>
      </c>
      <c r="H874" t="s">
        <v>18</v>
      </c>
      <c r="I874" t="s">
        <v>19</v>
      </c>
      <c r="J874" s="1">
        <v>45964</v>
      </c>
      <c r="K874">
        <v>4</v>
      </c>
      <c r="L874">
        <v>1</v>
      </c>
      <c r="M874">
        <v>3</v>
      </c>
      <c r="N874">
        <v>5</v>
      </c>
      <c r="O874">
        <v>8</v>
      </c>
      <c r="P874" t="s">
        <v>1049</v>
      </c>
    </row>
    <row r="875" spans="1:16" x14ac:dyDescent="0.3">
      <c r="A875" t="s">
        <v>903</v>
      </c>
      <c r="B875" t="s">
        <v>16</v>
      </c>
      <c r="C875" t="s">
        <v>32</v>
      </c>
      <c r="D875" s="1">
        <v>45935</v>
      </c>
      <c r="E875" s="1">
        <v>45936</v>
      </c>
      <c r="F875" s="1">
        <v>45941</v>
      </c>
      <c r="G875" s="1">
        <v>45943</v>
      </c>
      <c r="H875" t="s">
        <v>18</v>
      </c>
      <c r="I875" t="s">
        <v>19</v>
      </c>
      <c r="J875" s="1">
        <v>45969</v>
      </c>
      <c r="K875">
        <v>1</v>
      </c>
      <c r="L875">
        <v>5</v>
      </c>
      <c r="M875">
        <v>2</v>
      </c>
      <c r="N875">
        <v>4</v>
      </c>
      <c r="O875">
        <v>8</v>
      </c>
      <c r="P875" t="s">
        <v>1049</v>
      </c>
    </row>
    <row r="876" spans="1:16" x14ac:dyDescent="0.3">
      <c r="A876" t="s">
        <v>904</v>
      </c>
      <c r="B876" t="s">
        <v>21</v>
      </c>
      <c r="C876" t="s">
        <v>32</v>
      </c>
      <c r="D876" s="1">
        <v>45956</v>
      </c>
      <c r="E876" s="1">
        <v>45959</v>
      </c>
      <c r="F876" s="1">
        <v>45961</v>
      </c>
      <c r="G876" s="1">
        <v>45965</v>
      </c>
      <c r="H876" t="s">
        <v>18</v>
      </c>
      <c r="I876" t="s">
        <v>19</v>
      </c>
      <c r="J876" s="1">
        <v>45981</v>
      </c>
      <c r="K876">
        <v>3</v>
      </c>
      <c r="L876">
        <v>2</v>
      </c>
      <c r="M876">
        <v>4</v>
      </c>
      <c r="N876">
        <v>3</v>
      </c>
      <c r="O876">
        <v>9</v>
      </c>
      <c r="P876" t="s">
        <v>1049</v>
      </c>
    </row>
    <row r="877" spans="1:16" x14ac:dyDescent="0.3">
      <c r="A877" t="s">
        <v>905</v>
      </c>
      <c r="B877" t="s">
        <v>21</v>
      </c>
      <c r="C877" t="s">
        <v>32</v>
      </c>
      <c r="D877" s="1">
        <v>45949</v>
      </c>
      <c r="E877" s="1">
        <v>45953</v>
      </c>
      <c r="F877" s="1">
        <v>45958</v>
      </c>
      <c r="G877" s="1">
        <v>45960</v>
      </c>
      <c r="H877" t="s">
        <v>18</v>
      </c>
      <c r="I877" t="s">
        <v>19</v>
      </c>
      <c r="J877" s="1">
        <v>45981</v>
      </c>
      <c r="K877">
        <v>4</v>
      </c>
      <c r="L877">
        <v>5</v>
      </c>
      <c r="M877">
        <v>2</v>
      </c>
      <c r="N877">
        <v>6</v>
      </c>
      <c r="O877">
        <v>11</v>
      </c>
      <c r="P877" t="s">
        <v>1049</v>
      </c>
    </row>
    <row r="878" spans="1:16" x14ac:dyDescent="0.3">
      <c r="A878" t="s">
        <v>906</v>
      </c>
      <c r="B878" t="s">
        <v>34</v>
      </c>
      <c r="C878" t="s">
        <v>17</v>
      </c>
      <c r="D878" s="1">
        <v>45937</v>
      </c>
      <c r="E878" s="1">
        <v>45939</v>
      </c>
      <c r="F878" s="1">
        <v>45944</v>
      </c>
      <c r="G878" s="1">
        <v>45946</v>
      </c>
      <c r="H878" t="s">
        <v>18</v>
      </c>
      <c r="I878" t="s">
        <v>19</v>
      </c>
      <c r="J878" s="1">
        <v>45969</v>
      </c>
      <c r="K878">
        <v>2</v>
      </c>
      <c r="L878">
        <v>5</v>
      </c>
      <c r="M878">
        <v>2</v>
      </c>
      <c r="N878">
        <v>2</v>
      </c>
      <c r="O878">
        <v>9</v>
      </c>
      <c r="P878" t="s">
        <v>1049</v>
      </c>
    </row>
    <row r="879" spans="1:16" x14ac:dyDescent="0.3">
      <c r="A879" t="s">
        <v>907</v>
      </c>
      <c r="B879" t="s">
        <v>23</v>
      </c>
      <c r="C879" t="s">
        <v>24</v>
      </c>
      <c r="D879" s="1">
        <v>45933</v>
      </c>
      <c r="E879" s="1"/>
      <c r="F879" s="1"/>
      <c r="G879" s="1"/>
      <c r="H879" t="s">
        <v>25</v>
      </c>
      <c r="I879" t="s">
        <v>65</v>
      </c>
      <c r="J879" s="1"/>
    </row>
    <row r="880" spans="1:16" x14ac:dyDescent="0.3">
      <c r="A880" t="s">
        <v>908</v>
      </c>
      <c r="B880" t="s">
        <v>16</v>
      </c>
      <c r="C880" t="s">
        <v>17</v>
      </c>
      <c r="D880" s="1">
        <v>45957</v>
      </c>
      <c r="E880" s="1">
        <v>45959</v>
      </c>
      <c r="F880" s="1">
        <v>45961</v>
      </c>
      <c r="G880" s="1">
        <v>45966</v>
      </c>
      <c r="H880" t="s">
        <v>18</v>
      </c>
      <c r="I880" t="s">
        <v>19</v>
      </c>
      <c r="J880" s="1">
        <v>45985</v>
      </c>
      <c r="K880">
        <v>2</v>
      </c>
      <c r="L880">
        <v>2</v>
      </c>
      <c r="M880">
        <v>5</v>
      </c>
      <c r="N880">
        <v>4</v>
      </c>
      <c r="O880">
        <v>9</v>
      </c>
      <c r="P880" t="s">
        <v>1049</v>
      </c>
    </row>
    <row r="881" spans="1:16" x14ac:dyDescent="0.3">
      <c r="A881" t="s">
        <v>909</v>
      </c>
      <c r="B881" t="s">
        <v>21</v>
      </c>
      <c r="C881" t="s">
        <v>32</v>
      </c>
      <c r="D881" s="1">
        <v>45955</v>
      </c>
      <c r="E881" s="1">
        <v>45956</v>
      </c>
      <c r="F881" s="1">
        <v>45961</v>
      </c>
      <c r="G881" s="1">
        <v>45963</v>
      </c>
      <c r="H881" t="s">
        <v>18</v>
      </c>
      <c r="I881" t="s">
        <v>19</v>
      </c>
      <c r="J881" s="1">
        <v>45978</v>
      </c>
      <c r="K881">
        <v>1</v>
      </c>
      <c r="L881">
        <v>5</v>
      </c>
      <c r="M881">
        <v>2</v>
      </c>
      <c r="N881">
        <v>4</v>
      </c>
      <c r="O881">
        <v>8</v>
      </c>
      <c r="P881" t="s">
        <v>1049</v>
      </c>
    </row>
    <row r="882" spans="1:16" x14ac:dyDescent="0.3">
      <c r="A882" t="s">
        <v>910</v>
      </c>
      <c r="B882" t="s">
        <v>21</v>
      </c>
      <c r="C882" t="s">
        <v>17</v>
      </c>
      <c r="D882" s="1">
        <v>45948</v>
      </c>
      <c r="E882" s="1">
        <v>45949</v>
      </c>
      <c r="F882" s="1">
        <v>45950</v>
      </c>
      <c r="G882" s="1">
        <v>45953</v>
      </c>
      <c r="H882" t="s">
        <v>18</v>
      </c>
      <c r="I882" t="s">
        <v>19</v>
      </c>
      <c r="J882" s="1">
        <v>45964</v>
      </c>
      <c r="K882">
        <v>1</v>
      </c>
      <c r="L882">
        <v>1</v>
      </c>
      <c r="M882">
        <v>3</v>
      </c>
      <c r="N882">
        <v>2</v>
      </c>
      <c r="O882">
        <v>5</v>
      </c>
      <c r="P882" t="s">
        <v>1049</v>
      </c>
    </row>
    <row r="883" spans="1:16" x14ac:dyDescent="0.3">
      <c r="A883" t="s">
        <v>911</v>
      </c>
      <c r="B883" t="s">
        <v>16</v>
      </c>
      <c r="C883" t="s">
        <v>24</v>
      </c>
      <c r="D883" s="1">
        <v>45937</v>
      </c>
      <c r="E883" s="1"/>
      <c r="F883" s="1"/>
      <c r="G883" s="1"/>
      <c r="H883" t="s">
        <v>25</v>
      </c>
      <c r="I883" t="s">
        <v>65</v>
      </c>
      <c r="J883" s="1"/>
    </row>
    <row r="884" spans="1:16" x14ac:dyDescent="0.3">
      <c r="A884" t="s">
        <v>912</v>
      </c>
      <c r="B884" t="s">
        <v>23</v>
      </c>
      <c r="C884" t="s">
        <v>17</v>
      </c>
      <c r="D884" s="1">
        <v>45949</v>
      </c>
      <c r="E884" s="1">
        <v>45952</v>
      </c>
      <c r="F884" s="1">
        <v>45956</v>
      </c>
      <c r="G884" s="1">
        <v>45962</v>
      </c>
      <c r="H884" t="s">
        <v>18</v>
      </c>
      <c r="I884" t="s">
        <v>19</v>
      </c>
      <c r="J884" s="1">
        <v>45989</v>
      </c>
      <c r="K884">
        <v>3</v>
      </c>
      <c r="L884">
        <v>4</v>
      </c>
      <c r="M884">
        <v>6</v>
      </c>
      <c r="N884">
        <v>4</v>
      </c>
      <c r="O884">
        <v>13</v>
      </c>
      <c r="P884" t="s">
        <v>1049</v>
      </c>
    </row>
    <row r="885" spans="1:16" x14ac:dyDescent="0.3">
      <c r="A885" t="s">
        <v>913</v>
      </c>
      <c r="B885" t="s">
        <v>16</v>
      </c>
      <c r="C885" t="s">
        <v>24</v>
      </c>
      <c r="D885" s="1">
        <v>45937</v>
      </c>
      <c r="E885" s="1"/>
      <c r="F885" s="1"/>
      <c r="G885" s="1"/>
      <c r="H885" t="s">
        <v>25</v>
      </c>
      <c r="I885" t="s">
        <v>28</v>
      </c>
      <c r="J885" s="1"/>
    </row>
    <row r="886" spans="1:16" x14ac:dyDescent="0.3">
      <c r="A886" t="s">
        <v>914</v>
      </c>
      <c r="B886" t="s">
        <v>23</v>
      </c>
      <c r="C886" t="s">
        <v>32</v>
      </c>
      <c r="D886" s="1">
        <v>45957</v>
      </c>
      <c r="E886" s="1">
        <v>45961</v>
      </c>
      <c r="F886" s="1">
        <v>45963</v>
      </c>
      <c r="G886" s="1">
        <v>45968</v>
      </c>
      <c r="H886" t="s">
        <v>18</v>
      </c>
      <c r="I886" t="s">
        <v>19</v>
      </c>
      <c r="J886" s="1">
        <v>45993</v>
      </c>
      <c r="K886">
        <v>4</v>
      </c>
      <c r="L886">
        <v>2</v>
      </c>
      <c r="M886">
        <v>5</v>
      </c>
      <c r="N886">
        <v>7</v>
      </c>
      <c r="O886">
        <v>11</v>
      </c>
      <c r="P886" t="s">
        <v>1041</v>
      </c>
    </row>
    <row r="887" spans="1:16" x14ac:dyDescent="0.3">
      <c r="A887" t="s">
        <v>915</v>
      </c>
      <c r="B887" t="s">
        <v>21</v>
      </c>
      <c r="C887" t="s">
        <v>32</v>
      </c>
      <c r="D887" s="1">
        <v>45958</v>
      </c>
      <c r="E887" s="1">
        <v>45963</v>
      </c>
      <c r="F887" s="1">
        <v>45967</v>
      </c>
      <c r="G887" s="1">
        <v>45974</v>
      </c>
      <c r="H887" t="s">
        <v>18</v>
      </c>
      <c r="I887" t="s">
        <v>19</v>
      </c>
      <c r="J887" s="1">
        <v>45990</v>
      </c>
      <c r="K887">
        <v>5</v>
      </c>
      <c r="L887">
        <v>4</v>
      </c>
      <c r="M887">
        <v>7</v>
      </c>
      <c r="N887">
        <v>3</v>
      </c>
      <c r="O887">
        <v>16</v>
      </c>
      <c r="P887" t="s">
        <v>1049</v>
      </c>
    </row>
    <row r="888" spans="1:16" x14ac:dyDescent="0.3">
      <c r="A888" t="s">
        <v>916</v>
      </c>
      <c r="B888" t="s">
        <v>23</v>
      </c>
      <c r="C888" t="s">
        <v>24</v>
      </c>
      <c r="D888" s="1">
        <v>45938</v>
      </c>
      <c r="E888" s="1"/>
      <c r="F888" s="1"/>
      <c r="G888" s="1"/>
      <c r="H888" t="s">
        <v>25</v>
      </c>
      <c r="I888" t="s">
        <v>35</v>
      </c>
      <c r="J888" s="1"/>
    </row>
    <row r="889" spans="1:16" x14ac:dyDescent="0.3">
      <c r="A889" t="s">
        <v>917</v>
      </c>
      <c r="B889" t="s">
        <v>34</v>
      </c>
      <c r="C889" t="s">
        <v>17</v>
      </c>
      <c r="D889" s="1">
        <v>45941</v>
      </c>
      <c r="E889" s="1">
        <v>45945</v>
      </c>
      <c r="F889" s="1">
        <v>45948</v>
      </c>
      <c r="G889" s="1">
        <v>45953</v>
      </c>
      <c r="H889" t="s">
        <v>18</v>
      </c>
      <c r="I889" t="s">
        <v>19</v>
      </c>
      <c r="J889" s="1">
        <v>45978</v>
      </c>
      <c r="K889">
        <v>4</v>
      </c>
      <c r="L889">
        <v>3</v>
      </c>
      <c r="M889">
        <v>5</v>
      </c>
      <c r="N889">
        <v>7</v>
      </c>
      <c r="O889">
        <v>12</v>
      </c>
      <c r="P889" t="s">
        <v>1041</v>
      </c>
    </row>
    <row r="890" spans="1:16" x14ac:dyDescent="0.3">
      <c r="A890" t="s">
        <v>918</v>
      </c>
      <c r="B890" t="s">
        <v>21</v>
      </c>
      <c r="C890" t="s">
        <v>17</v>
      </c>
      <c r="D890" s="1">
        <v>45955</v>
      </c>
      <c r="E890" s="1">
        <v>45957</v>
      </c>
      <c r="F890" s="1">
        <v>45958</v>
      </c>
      <c r="G890" s="1">
        <v>45963</v>
      </c>
      <c r="H890" t="s">
        <v>18</v>
      </c>
      <c r="I890" t="s">
        <v>19</v>
      </c>
      <c r="J890" s="1">
        <v>45983</v>
      </c>
      <c r="K890">
        <v>2</v>
      </c>
      <c r="L890">
        <v>1</v>
      </c>
      <c r="M890">
        <v>5</v>
      </c>
      <c r="N890">
        <v>9</v>
      </c>
      <c r="O890">
        <v>8</v>
      </c>
      <c r="P890" t="s">
        <v>1050</v>
      </c>
    </row>
    <row r="891" spans="1:16" x14ac:dyDescent="0.3">
      <c r="A891" t="s">
        <v>919</v>
      </c>
      <c r="B891" t="s">
        <v>34</v>
      </c>
      <c r="C891" t="s">
        <v>17</v>
      </c>
      <c r="D891" s="1">
        <v>45935</v>
      </c>
      <c r="E891" s="1">
        <v>45937</v>
      </c>
      <c r="F891" s="1">
        <v>45941</v>
      </c>
      <c r="G891" s="1">
        <v>45943</v>
      </c>
      <c r="H891" t="s">
        <v>18</v>
      </c>
      <c r="I891" t="s">
        <v>19</v>
      </c>
      <c r="J891" s="1">
        <v>45960</v>
      </c>
      <c r="K891">
        <v>2</v>
      </c>
      <c r="L891">
        <v>4</v>
      </c>
      <c r="M891">
        <v>2</v>
      </c>
      <c r="N891">
        <v>4</v>
      </c>
      <c r="O891">
        <v>8</v>
      </c>
      <c r="P891" t="s">
        <v>1049</v>
      </c>
    </row>
    <row r="892" spans="1:16" x14ac:dyDescent="0.3">
      <c r="A892" t="s">
        <v>920</v>
      </c>
      <c r="B892" t="s">
        <v>16</v>
      </c>
      <c r="C892" t="s">
        <v>24</v>
      </c>
      <c r="D892" s="1">
        <v>45956</v>
      </c>
      <c r="E892" s="1"/>
      <c r="F892" s="1"/>
      <c r="G892" s="1"/>
      <c r="H892" t="s">
        <v>25</v>
      </c>
      <c r="I892" t="s">
        <v>35</v>
      </c>
      <c r="J892" s="1"/>
    </row>
    <row r="893" spans="1:16" x14ac:dyDescent="0.3">
      <c r="A893" t="s">
        <v>921</v>
      </c>
      <c r="B893" t="s">
        <v>16</v>
      </c>
      <c r="C893" t="s">
        <v>17</v>
      </c>
      <c r="D893" s="1">
        <v>45959</v>
      </c>
      <c r="E893" s="1">
        <v>45962</v>
      </c>
      <c r="F893" s="1">
        <v>45966</v>
      </c>
      <c r="G893" s="1">
        <v>45971</v>
      </c>
      <c r="H893" t="s">
        <v>18</v>
      </c>
      <c r="I893" t="s">
        <v>19</v>
      </c>
      <c r="J893" s="1">
        <v>45981</v>
      </c>
      <c r="K893">
        <v>3</v>
      </c>
      <c r="L893">
        <v>4</v>
      </c>
      <c r="M893">
        <v>5</v>
      </c>
      <c r="N893">
        <v>7</v>
      </c>
      <c r="O893">
        <v>12</v>
      </c>
      <c r="P893" t="s">
        <v>1041</v>
      </c>
    </row>
    <row r="894" spans="1:16" x14ac:dyDescent="0.3">
      <c r="A894" t="s">
        <v>922</v>
      </c>
      <c r="B894" t="s">
        <v>16</v>
      </c>
      <c r="C894" t="s">
        <v>17</v>
      </c>
      <c r="D894" s="1">
        <v>45950</v>
      </c>
      <c r="E894" s="1">
        <v>45955</v>
      </c>
      <c r="F894" s="1">
        <v>45957</v>
      </c>
      <c r="G894" s="1">
        <v>45964</v>
      </c>
      <c r="H894" t="s">
        <v>18</v>
      </c>
      <c r="I894" t="s">
        <v>19</v>
      </c>
      <c r="J894" s="1">
        <v>45974</v>
      </c>
      <c r="K894">
        <v>5</v>
      </c>
      <c r="L894">
        <v>2</v>
      </c>
      <c r="M894">
        <v>7</v>
      </c>
      <c r="N894">
        <v>7</v>
      </c>
      <c r="O894">
        <v>14</v>
      </c>
      <c r="P894" t="s">
        <v>1041</v>
      </c>
    </row>
    <row r="895" spans="1:16" x14ac:dyDescent="0.3">
      <c r="A895" t="s">
        <v>923</v>
      </c>
      <c r="B895" t="s">
        <v>23</v>
      </c>
      <c r="C895" t="s">
        <v>17</v>
      </c>
      <c r="D895" s="1">
        <v>45931</v>
      </c>
      <c r="E895" s="1">
        <v>45934</v>
      </c>
      <c r="F895" s="1">
        <v>45937</v>
      </c>
      <c r="G895" s="1">
        <v>45942</v>
      </c>
      <c r="H895" t="s">
        <v>18</v>
      </c>
      <c r="I895" t="s">
        <v>19</v>
      </c>
      <c r="J895" s="1">
        <v>45954</v>
      </c>
      <c r="K895">
        <v>3</v>
      </c>
      <c r="L895">
        <v>3</v>
      </c>
      <c r="M895">
        <v>5</v>
      </c>
      <c r="N895">
        <v>7</v>
      </c>
      <c r="O895">
        <v>11</v>
      </c>
      <c r="P895" t="s">
        <v>1041</v>
      </c>
    </row>
    <row r="896" spans="1:16" x14ac:dyDescent="0.3">
      <c r="A896" t="s">
        <v>924</v>
      </c>
      <c r="B896" t="s">
        <v>21</v>
      </c>
      <c r="C896" t="s">
        <v>17</v>
      </c>
      <c r="D896" s="1">
        <v>45939</v>
      </c>
      <c r="E896" s="1">
        <v>45941</v>
      </c>
      <c r="F896" s="1">
        <v>45943</v>
      </c>
      <c r="G896" s="1">
        <v>45946</v>
      </c>
      <c r="H896" t="s">
        <v>18</v>
      </c>
      <c r="I896" t="s">
        <v>19</v>
      </c>
      <c r="J896" s="1">
        <v>45959</v>
      </c>
      <c r="K896">
        <v>2</v>
      </c>
      <c r="L896">
        <v>2</v>
      </c>
      <c r="M896">
        <v>3</v>
      </c>
      <c r="N896">
        <v>1</v>
      </c>
      <c r="O896">
        <v>7</v>
      </c>
      <c r="P896" t="s">
        <v>1049</v>
      </c>
    </row>
    <row r="897" spans="1:16" x14ac:dyDescent="0.3">
      <c r="A897" t="s">
        <v>925</v>
      </c>
      <c r="B897" t="s">
        <v>16</v>
      </c>
      <c r="C897" t="s">
        <v>17</v>
      </c>
      <c r="D897" s="1">
        <v>45958</v>
      </c>
      <c r="E897" s="1">
        <v>45960</v>
      </c>
      <c r="F897" s="1">
        <v>45963</v>
      </c>
      <c r="G897" s="1">
        <v>45967</v>
      </c>
      <c r="H897" t="s">
        <v>25</v>
      </c>
      <c r="I897" t="s">
        <v>103</v>
      </c>
      <c r="J897" s="1"/>
      <c r="K897">
        <v>2</v>
      </c>
      <c r="L897">
        <v>3</v>
      </c>
      <c r="M897">
        <v>4</v>
      </c>
      <c r="O897">
        <v>9</v>
      </c>
    </row>
    <row r="898" spans="1:16" x14ac:dyDescent="0.3">
      <c r="A898" t="s">
        <v>926</v>
      </c>
      <c r="B898" t="s">
        <v>16</v>
      </c>
      <c r="C898" t="s">
        <v>24</v>
      </c>
      <c r="D898" s="1">
        <v>45935</v>
      </c>
      <c r="E898" s="1"/>
      <c r="F898" s="1"/>
      <c r="G898" s="1"/>
      <c r="H898" t="s">
        <v>25</v>
      </c>
      <c r="I898" t="s">
        <v>103</v>
      </c>
      <c r="J898" s="1"/>
    </row>
    <row r="899" spans="1:16" x14ac:dyDescent="0.3">
      <c r="A899" t="s">
        <v>927</v>
      </c>
      <c r="B899" t="s">
        <v>21</v>
      </c>
      <c r="C899" t="s">
        <v>24</v>
      </c>
      <c r="D899" s="1">
        <v>45935</v>
      </c>
      <c r="E899" s="1"/>
      <c r="F899" s="1"/>
      <c r="G899" s="1"/>
      <c r="H899" t="s">
        <v>25</v>
      </c>
      <c r="I899" t="s">
        <v>35</v>
      </c>
      <c r="J899" s="1"/>
    </row>
    <row r="900" spans="1:16" x14ac:dyDescent="0.3">
      <c r="A900" t="s">
        <v>928</v>
      </c>
      <c r="B900" t="s">
        <v>16</v>
      </c>
      <c r="C900" t="s">
        <v>24</v>
      </c>
      <c r="D900" s="1">
        <v>45948</v>
      </c>
      <c r="E900" s="1"/>
      <c r="F900" s="1"/>
      <c r="G900" s="1"/>
      <c r="H900" t="s">
        <v>25</v>
      </c>
      <c r="I900" t="s">
        <v>26</v>
      </c>
      <c r="J900" s="1"/>
    </row>
    <row r="901" spans="1:16" x14ac:dyDescent="0.3">
      <c r="A901" t="s">
        <v>929</v>
      </c>
      <c r="B901" t="s">
        <v>34</v>
      </c>
      <c r="C901" t="s">
        <v>32</v>
      </c>
      <c r="D901" s="1">
        <v>45939</v>
      </c>
      <c r="E901" s="1">
        <v>45943</v>
      </c>
      <c r="F901" s="1">
        <v>45945</v>
      </c>
      <c r="G901" s="1">
        <v>45948</v>
      </c>
      <c r="H901" t="s">
        <v>18</v>
      </c>
      <c r="I901" t="s">
        <v>19</v>
      </c>
      <c r="J901" s="1">
        <v>45976</v>
      </c>
      <c r="K901">
        <v>4</v>
      </c>
      <c r="L901">
        <v>2</v>
      </c>
      <c r="M901">
        <v>3</v>
      </c>
      <c r="N901">
        <v>9</v>
      </c>
      <c r="O901">
        <v>9</v>
      </c>
      <c r="P901" t="s">
        <v>1050</v>
      </c>
    </row>
    <row r="902" spans="1:16" x14ac:dyDescent="0.3">
      <c r="A902" t="s">
        <v>930</v>
      </c>
      <c r="B902" t="s">
        <v>21</v>
      </c>
      <c r="C902" t="s">
        <v>17</v>
      </c>
      <c r="D902" s="1">
        <v>45956</v>
      </c>
      <c r="E902" s="1">
        <v>45961</v>
      </c>
      <c r="F902" s="1">
        <v>45965</v>
      </c>
      <c r="G902" s="1">
        <v>45968</v>
      </c>
      <c r="H902" t="s">
        <v>18</v>
      </c>
      <c r="I902" t="s">
        <v>19</v>
      </c>
      <c r="J902" s="1">
        <v>45993</v>
      </c>
      <c r="K902">
        <v>5</v>
      </c>
      <c r="L902">
        <v>4</v>
      </c>
      <c r="M902">
        <v>3</v>
      </c>
      <c r="N902">
        <v>10</v>
      </c>
      <c r="O902">
        <v>12</v>
      </c>
      <c r="P902" t="s">
        <v>1050</v>
      </c>
    </row>
    <row r="903" spans="1:16" x14ac:dyDescent="0.3">
      <c r="A903" t="s">
        <v>931</v>
      </c>
      <c r="B903" t="s">
        <v>21</v>
      </c>
      <c r="C903" t="s">
        <v>17</v>
      </c>
      <c r="D903" s="1">
        <v>45936</v>
      </c>
      <c r="E903" s="1">
        <v>45940</v>
      </c>
      <c r="F903" s="1">
        <v>45944</v>
      </c>
      <c r="G903" s="1">
        <v>45948</v>
      </c>
      <c r="H903" t="s">
        <v>18</v>
      </c>
      <c r="I903" t="s">
        <v>19</v>
      </c>
      <c r="J903" s="1">
        <v>45962</v>
      </c>
      <c r="K903">
        <v>4</v>
      </c>
      <c r="L903">
        <v>4</v>
      </c>
      <c r="M903">
        <v>4</v>
      </c>
      <c r="N903">
        <v>0</v>
      </c>
      <c r="O903">
        <v>12</v>
      </c>
      <c r="P903" t="s">
        <v>1049</v>
      </c>
    </row>
    <row r="904" spans="1:16" x14ac:dyDescent="0.3">
      <c r="A904" t="s">
        <v>932</v>
      </c>
      <c r="B904" t="s">
        <v>21</v>
      </c>
      <c r="C904" t="s">
        <v>17</v>
      </c>
      <c r="D904" s="1">
        <v>45934</v>
      </c>
      <c r="E904" s="1">
        <v>45938</v>
      </c>
      <c r="F904" s="1">
        <v>45939</v>
      </c>
      <c r="G904" s="1">
        <v>45943</v>
      </c>
      <c r="H904" t="s">
        <v>18</v>
      </c>
      <c r="I904" t="s">
        <v>19</v>
      </c>
      <c r="J904" s="1">
        <v>45955</v>
      </c>
      <c r="K904">
        <v>4</v>
      </c>
      <c r="L904">
        <v>1</v>
      </c>
      <c r="M904">
        <v>4</v>
      </c>
      <c r="N904">
        <v>5</v>
      </c>
      <c r="O904">
        <v>9</v>
      </c>
      <c r="P904" t="s">
        <v>1049</v>
      </c>
    </row>
    <row r="905" spans="1:16" x14ac:dyDescent="0.3">
      <c r="A905" t="s">
        <v>933</v>
      </c>
      <c r="B905" t="s">
        <v>34</v>
      </c>
      <c r="C905" t="s">
        <v>17</v>
      </c>
      <c r="D905" s="1">
        <v>45952</v>
      </c>
      <c r="E905" s="1">
        <v>45955</v>
      </c>
      <c r="F905" s="1">
        <v>45959</v>
      </c>
      <c r="G905" s="1">
        <v>45964</v>
      </c>
      <c r="H905" t="s">
        <v>18</v>
      </c>
      <c r="I905" t="s">
        <v>19</v>
      </c>
      <c r="J905" s="1">
        <v>45990</v>
      </c>
      <c r="K905">
        <v>3</v>
      </c>
      <c r="L905">
        <v>4</v>
      </c>
      <c r="M905">
        <v>5</v>
      </c>
      <c r="N905">
        <v>9</v>
      </c>
      <c r="O905">
        <v>12</v>
      </c>
      <c r="P905" t="s">
        <v>1050</v>
      </c>
    </row>
    <row r="906" spans="1:16" x14ac:dyDescent="0.3">
      <c r="A906" t="s">
        <v>934</v>
      </c>
      <c r="B906" t="s">
        <v>21</v>
      </c>
      <c r="C906" t="s">
        <v>24</v>
      </c>
      <c r="D906" s="1">
        <v>45958</v>
      </c>
      <c r="E906" s="1"/>
      <c r="F906" s="1"/>
      <c r="G906" s="1"/>
      <c r="H906" t="s">
        <v>25</v>
      </c>
      <c r="I906" t="s">
        <v>65</v>
      </c>
      <c r="J906" s="1"/>
    </row>
    <row r="907" spans="1:16" x14ac:dyDescent="0.3">
      <c r="A907" t="s">
        <v>935</v>
      </c>
      <c r="B907" t="s">
        <v>34</v>
      </c>
      <c r="C907" t="s">
        <v>17</v>
      </c>
      <c r="D907" s="1">
        <v>45931</v>
      </c>
      <c r="E907" s="1">
        <v>45935</v>
      </c>
      <c r="F907" s="1">
        <v>45940</v>
      </c>
      <c r="G907" s="1">
        <v>45943</v>
      </c>
      <c r="H907" t="s">
        <v>18</v>
      </c>
      <c r="I907" t="s">
        <v>19</v>
      </c>
      <c r="J907" s="1">
        <v>45955</v>
      </c>
      <c r="K907">
        <v>4</v>
      </c>
      <c r="L907">
        <v>5</v>
      </c>
      <c r="M907">
        <v>3</v>
      </c>
      <c r="N907">
        <v>7</v>
      </c>
      <c r="O907">
        <v>12</v>
      </c>
      <c r="P907" t="s">
        <v>1041</v>
      </c>
    </row>
    <row r="908" spans="1:16" x14ac:dyDescent="0.3">
      <c r="A908" t="s">
        <v>936</v>
      </c>
      <c r="B908" t="s">
        <v>21</v>
      </c>
      <c r="C908" t="s">
        <v>17</v>
      </c>
      <c r="D908" s="1">
        <v>45935</v>
      </c>
      <c r="E908" s="1">
        <v>45936</v>
      </c>
      <c r="F908" s="1">
        <v>45940</v>
      </c>
      <c r="G908" s="1">
        <v>45942</v>
      </c>
      <c r="H908" t="s">
        <v>18</v>
      </c>
      <c r="I908" t="s">
        <v>19</v>
      </c>
      <c r="J908" s="1">
        <v>45955</v>
      </c>
      <c r="K908">
        <v>1</v>
      </c>
      <c r="L908">
        <v>4</v>
      </c>
      <c r="M908">
        <v>2</v>
      </c>
      <c r="N908">
        <v>4</v>
      </c>
      <c r="O908">
        <v>7</v>
      </c>
      <c r="P908" t="s">
        <v>1049</v>
      </c>
    </row>
    <row r="909" spans="1:16" x14ac:dyDescent="0.3">
      <c r="A909" t="s">
        <v>937</v>
      </c>
      <c r="B909" t="s">
        <v>23</v>
      </c>
      <c r="C909" t="s">
        <v>32</v>
      </c>
      <c r="D909" s="1">
        <v>45931</v>
      </c>
      <c r="E909" s="1">
        <v>45932</v>
      </c>
      <c r="F909" s="1">
        <v>45937</v>
      </c>
      <c r="G909" s="1">
        <v>45943</v>
      </c>
      <c r="H909" t="s">
        <v>18</v>
      </c>
      <c r="I909" t="s">
        <v>19</v>
      </c>
      <c r="J909" s="1">
        <v>45961</v>
      </c>
      <c r="K909">
        <v>1</v>
      </c>
      <c r="L909">
        <v>5</v>
      </c>
      <c r="M909">
        <v>6</v>
      </c>
      <c r="N909">
        <v>2</v>
      </c>
      <c r="O909">
        <v>12</v>
      </c>
      <c r="P909" t="s">
        <v>1049</v>
      </c>
    </row>
    <row r="910" spans="1:16" x14ac:dyDescent="0.3">
      <c r="A910" t="s">
        <v>938</v>
      </c>
      <c r="B910" t="s">
        <v>16</v>
      </c>
      <c r="C910" t="s">
        <v>17</v>
      </c>
      <c r="D910" s="1">
        <v>45942</v>
      </c>
      <c r="E910" s="1">
        <v>45946</v>
      </c>
      <c r="F910" s="1">
        <v>45950</v>
      </c>
      <c r="G910" s="1">
        <v>45956</v>
      </c>
      <c r="H910" t="s">
        <v>18</v>
      </c>
      <c r="I910" t="s">
        <v>19</v>
      </c>
      <c r="J910" s="1">
        <v>45986</v>
      </c>
      <c r="K910">
        <v>4</v>
      </c>
      <c r="L910">
        <v>4</v>
      </c>
      <c r="M910">
        <v>6</v>
      </c>
      <c r="N910">
        <v>8</v>
      </c>
      <c r="O910">
        <v>14</v>
      </c>
      <c r="P910" t="s">
        <v>1041</v>
      </c>
    </row>
    <row r="911" spans="1:16" x14ac:dyDescent="0.3">
      <c r="A911" t="s">
        <v>939</v>
      </c>
      <c r="B911" t="s">
        <v>23</v>
      </c>
      <c r="C911" t="s">
        <v>17</v>
      </c>
      <c r="D911" s="1">
        <v>45956</v>
      </c>
      <c r="E911" s="1">
        <v>45961</v>
      </c>
      <c r="F911" s="1">
        <v>45966</v>
      </c>
      <c r="G911" s="1">
        <v>45972</v>
      </c>
      <c r="H911" t="s">
        <v>18</v>
      </c>
      <c r="I911" t="s">
        <v>19</v>
      </c>
      <c r="J911" s="1">
        <v>45989</v>
      </c>
      <c r="K911">
        <v>5</v>
      </c>
      <c r="L911">
        <v>5</v>
      </c>
      <c r="M911">
        <v>6</v>
      </c>
      <c r="N911">
        <v>2</v>
      </c>
      <c r="O911">
        <v>16</v>
      </c>
      <c r="P911" t="s">
        <v>1049</v>
      </c>
    </row>
    <row r="912" spans="1:16" x14ac:dyDescent="0.3">
      <c r="A912" t="s">
        <v>940</v>
      </c>
      <c r="B912" t="s">
        <v>16</v>
      </c>
      <c r="C912" t="s">
        <v>17</v>
      </c>
      <c r="D912" s="1">
        <v>45956</v>
      </c>
      <c r="E912" s="1">
        <v>45960</v>
      </c>
      <c r="F912" s="1">
        <v>45965</v>
      </c>
      <c r="G912" s="1">
        <v>45968</v>
      </c>
      <c r="H912" t="s">
        <v>18</v>
      </c>
      <c r="I912" t="s">
        <v>19</v>
      </c>
      <c r="J912" s="1">
        <v>45992</v>
      </c>
      <c r="K912">
        <v>4</v>
      </c>
      <c r="L912">
        <v>5</v>
      </c>
      <c r="M912">
        <v>3</v>
      </c>
      <c r="N912">
        <v>4</v>
      </c>
      <c r="O912">
        <v>12</v>
      </c>
      <c r="P912" t="s">
        <v>1049</v>
      </c>
    </row>
    <row r="913" spans="1:16" x14ac:dyDescent="0.3">
      <c r="A913" t="s">
        <v>941</v>
      </c>
      <c r="B913" t="s">
        <v>34</v>
      </c>
      <c r="C913" t="s">
        <v>32</v>
      </c>
      <c r="D913" s="1">
        <v>45938</v>
      </c>
      <c r="E913" s="1">
        <v>45940</v>
      </c>
      <c r="F913" s="1">
        <v>45944</v>
      </c>
      <c r="G913" s="1">
        <v>45951</v>
      </c>
      <c r="H913" t="s">
        <v>18</v>
      </c>
      <c r="I913" t="s">
        <v>19</v>
      </c>
      <c r="J913" s="1">
        <v>45970</v>
      </c>
      <c r="K913">
        <v>2</v>
      </c>
      <c r="L913">
        <v>4</v>
      </c>
      <c r="M913">
        <v>7</v>
      </c>
      <c r="N913">
        <v>1</v>
      </c>
      <c r="O913">
        <v>13</v>
      </c>
      <c r="P913" t="s">
        <v>1049</v>
      </c>
    </row>
    <row r="914" spans="1:16" x14ac:dyDescent="0.3">
      <c r="A914" t="s">
        <v>942</v>
      </c>
      <c r="B914" t="s">
        <v>23</v>
      </c>
      <c r="C914" t="s">
        <v>32</v>
      </c>
      <c r="D914" s="1">
        <v>45949</v>
      </c>
      <c r="E914" s="1">
        <v>45951</v>
      </c>
      <c r="F914" s="1">
        <v>45956</v>
      </c>
      <c r="G914" s="1">
        <v>45960</v>
      </c>
      <c r="H914" t="s">
        <v>18</v>
      </c>
      <c r="I914" t="s">
        <v>19</v>
      </c>
      <c r="J914" s="1">
        <v>45978</v>
      </c>
      <c r="K914">
        <v>2</v>
      </c>
      <c r="L914">
        <v>5</v>
      </c>
      <c r="M914">
        <v>4</v>
      </c>
      <c r="N914">
        <v>8</v>
      </c>
      <c r="O914">
        <v>11</v>
      </c>
      <c r="P914" t="s">
        <v>1041</v>
      </c>
    </row>
    <row r="915" spans="1:16" x14ac:dyDescent="0.3">
      <c r="A915" t="s">
        <v>943</v>
      </c>
      <c r="B915" t="s">
        <v>21</v>
      </c>
      <c r="C915" t="s">
        <v>17</v>
      </c>
      <c r="D915" s="1">
        <v>45941</v>
      </c>
      <c r="E915" s="1">
        <v>45946</v>
      </c>
      <c r="F915" s="1">
        <v>45947</v>
      </c>
      <c r="G915" s="1">
        <v>45952</v>
      </c>
      <c r="H915" t="s">
        <v>18</v>
      </c>
      <c r="I915" t="s">
        <v>19</v>
      </c>
      <c r="J915" s="1">
        <v>45976</v>
      </c>
      <c r="K915">
        <v>5</v>
      </c>
      <c r="L915">
        <v>1</v>
      </c>
      <c r="M915">
        <v>5</v>
      </c>
      <c r="N915">
        <v>9</v>
      </c>
      <c r="O915">
        <v>11</v>
      </c>
      <c r="P915" t="s">
        <v>1050</v>
      </c>
    </row>
    <row r="916" spans="1:16" x14ac:dyDescent="0.3">
      <c r="A916" t="s">
        <v>944</v>
      </c>
      <c r="B916" t="s">
        <v>16</v>
      </c>
      <c r="C916" t="s">
        <v>32</v>
      </c>
      <c r="D916" s="1">
        <v>45931</v>
      </c>
      <c r="E916" s="1">
        <v>45934</v>
      </c>
      <c r="F916" s="1">
        <v>45937</v>
      </c>
      <c r="G916" s="1">
        <v>45942</v>
      </c>
      <c r="H916" t="s">
        <v>18</v>
      </c>
      <c r="I916" t="s">
        <v>19</v>
      </c>
      <c r="J916" s="1">
        <v>45953</v>
      </c>
      <c r="K916">
        <v>3</v>
      </c>
      <c r="L916">
        <v>3</v>
      </c>
      <c r="M916">
        <v>5</v>
      </c>
      <c r="N916">
        <v>4</v>
      </c>
      <c r="O916">
        <v>11</v>
      </c>
      <c r="P916" t="s">
        <v>1049</v>
      </c>
    </row>
    <row r="917" spans="1:16" x14ac:dyDescent="0.3">
      <c r="A917" t="s">
        <v>945</v>
      </c>
      <c r="B917" t="s">
        <v>16</v>
      </c>
      <c r="C917" t="s">
        <v>32</v>
      </c>
      <c r="D917" s="1">
        <v>45936</v>
      </c>
      <c r="E917" s="1">
        <v>45937</v>
      </c>
      <c r="F917" s="1">
        <v>45942</v>
      </c>
      <c r="G917" s="1">
        <v>45948</v>
      </c>
      <c r="H917" t="s">
        <v>18</v>
      </c>
      <c r="I917" t="s">
        <v>19</v>
      </c>
      <c r="J917" s="1">
        <v>45961</v>
      </c>
      <c r="K917">
        <v>1</v>
      </c>
      <c r="L917">
        <v>5</v>
      </c>
      <c r="M917">
        <v>6</v>
      </c>
      <c r="N917">
        <v>1</v>
      </c>
      <c r="O917">
        <v>12</v>
      </c>
      <c r="P917" t="s">
        <v>1049</v>
      </c>
    </row>
    <row r="918" spans="1:16" x14ac:dyDescent="0.3">
      <c r="A918" t="s">
        <v>946</v>
      </c>
      <c r="B918" t="s">
        <v>23</v>
      </c>
      <c r="C918" t="s">
        <v>32</v>
      </c>
      <c r="D918" s="1">
        <v>45939</v>
      </c>
      <c r="E918" s="1">
        <v>45940</v>
      </c>
      <c r="F918" s="1">
        <v>45945</v>
      </c>
      <c r="G918" s="1">
        <v>45950</v>
      </c>
      <c r="H918" t="s">
        <v>18</v>
      </c>
      <c r="I918" t="s">
        <v>19</v>
      </c>
      <c r="J918" s="1">
        <v>45965</v>
      </c>
      <c r="K918">
        <v>1</v>
      </c>
      <c r="L918">
        <v>5</v>
      </c>
      <c r="M918">
        <v>5</v>
      </c>
      <c r="N918">
        <v>6</v>
      </c>
      <c r="O918">
        <v>11</v>
      </c>
      <c r="P918" t="s">
        <v>1049</v>
      </c>
    </row>
    <row r="919" spans="1:16" x14ac:dyDescent="0.3">
      <c r="A919" t="s">
        <v>947</v>
      </c>
      <c r="B919" t="s">
        <v>34</v>
      </c>
      <c r="C919" t="s">
        <v>32</v>
      </c>
      <c r="D919" s="1">
        <v>45932</v>
      </c>
      <c r="E919" s="1">
        <v>45935</v>
      </c>
      <c r="F919" s="1">
        <v>45936</v>
      </c>
      <c r="G919" s="1">
        <v>45938</v>
      </c>
      <c r="H919" t="s">
        <v>18</v>
      </c>
      <c r="I919" t="s">
        <v>19</v>
      </c>
      <c r="J919" s="1">
        <v>45949</v>
      </c>
      <c r="K919">
        <v>3</v>
      </c>
      <c r="L919">
        <v>1</v>
      </c>
      <c r="M919">
        <v>2</v>
      </c>
      <c r="N919">
        <v>8</v>
      </c>
      <c r="O919">
        <v>6</v>
      </c>
      <c r="P919" t="s">
        <v>1041</v>
      </c>
    </row>
    <row r="920" spans="1:16" x14ac:dyDescent="0.3">
      <c r="A920" t="s">
        <v>948</v>
      </c>
      <c r="B920" t="s">
        <v>23</v>
      </c>
      <c r="C920" t="s">
        <v>32</v>
      </c>
      <c r="D920" s="1">
        <v>45935</v>
      </c>
      <c r="E920" s="1">
        <v>45939</v>
      </c>
      <c r="F920" s="1">
        <v>45940</v>
      </c>
      <c r="G920" s="1">
        <v>45942</v>
      </c>
      <c r="H920" t="s">
        <v>18</v>
      </c>
      <c r="I920" t="s">
        <v>19</v>
      </c>
      <c r="J920" s="1">
        <v>45961</v>
      </c>
      <c r="K920">
        <v>4</v>
      </c>
      <c r="L920">
        <v>1</v>
      </c>
      <c r="M920">
        <v>2</v>
      </c>
      <c r="N920">
        <v>1</v>
      </c>
      <c r="O920">
        <v>7</v>
      </c>
      <c r="P920" t="s">
        <v>1049</v>
      </c>
    </row>
    <row r="921" spans="1:16" x14ac:dyDescent="0.3">
      <c r="A921" t="s">
        <v>949</v>
      </c>
      <c r="B921" t="s">
        <v>34</v>
      </c>
      <c r="C921" t="s">
        <v>17</v>
      </c>
      <c r="D921" s="1">
        <v>45954</v>
      </c>
      <c r="E921" s="1">
        <v>45959</v>
      </c>
      <c r="F921" s="1">
        <v>45961</v>
      </c>
      <c r="G921" s="1">
        <v>45965</v>
      </c>
      <c r="H921" t="s">
        <v>18</v>
      </c>
      <c r="I921" t="s">
        <v>19</v>
      </c>
      <c r="J921" s="1">
        <v>45986</v>
      </c>
      <c r="K921">
        <v>5</v>
      </c>
      <c r="L921">
        <v>2</v>
      </c>
      <c r="M921">
        <v>4</v>
      </c>
      <c r="N921">
        <v>6</v>
      </c>
      <c r="O921">
        <v>11</v>
      </c>
      <c r="P921" t="s">
        <v>1049</v>
      </c>
    </row>
    <row r="922" spans="1:16" x14ac:dyDescent="0.3">
      <c r="A922" t="s">
        <v>950</v>
      </c>
      <c r="B922" t="s">
        <v>34</v>
      </c>
      <c r="C922" t="s">
        <v>17</v>
      </c>
      <c r="D922" s="1">
        <v>45944</v>
      </c>
      <c r="E922" s="1">
        <v>45948</v>
      </c>
      <c r="F922" s="1">
        <v>45951</v>
      </c>
      <c r="G922" s="1">
        <v>45956</v>
      </c>
      <c r="H922" t="s">
        <v>18</v>
      </c>
      <c r="I922" t="s">
        <v>19</v>
      </c>
      <c r="J922" s="1">
        <v>45976</v>
      </c>
      <c r="K922">
        <v>4</v>
      </c>
      <c r="L922">
        <v>3</v>
      </c>
      <c r="M922">
        <v>5</v>
      </c>
      <c r="N922">
        <v>0</v>
      </c>
      <c r="O922">
        <v>12</v>
      </c>
      <c r="P922" t="s">
        <v>1049</v>
      </c>
    </row>
    <row r="923" spans="1:16" x14ac:dyDescent="0.3">
      <c r="A923" t="s">
        <v>951</v>
      </c>
      <c r="B923" t="s">
        <v>16</v>
      </c>
      <c r="C923" t="s">
        <v>24</v>
      </c>
      <c r="D923" s="1">
        <v>45947</v>
      </c>
      <c r="E923" s="1"/>
      <c r="F923" s="1"/>
      <c r="G923" s="1"/>
      <c r="H923" t="s">
        <v>25</v>
      </c>
      <c r="I923" t="s">
        <v>26</v>
      </c>
      <c r="J923" s="1"/>
    </row>
    <row r="924" spans="1:16" x14ac:dyDescent="0.3">
      <c r="A924" t="s">
        <v>952</v>
      </c>
      <c r="B924" t="s">
        <v>23</v>
      </c>
      <c r="C924" t="s">
        <v>17</v>
      </c>
      <c r="D924" s="1">
        <v>45934</v>
      </c>
      <c r="E924" s="1">
        <v>45937</v>
      </c>
      <c r="F924" s="1">
        <v>45939</v>
      </c>
      <c r="G924" s="1">
        <v>45942</v>
      </c>
      <c r="H924" t="s">
        <v>18</v>
      </c>
      <c r="I924" t="s">
        <v>19</v>
      </c>
      <c r="J924" s="1">
        <v>45965</v>
      </c>
      <c r="K924">
        <v>3</v>
      </c>
      <c r="L924">
        <v>2</v>
      </c>
      <c r="M924">
        <v>3</v>
      </c>
      <c r="N924">
        <v>6</v>
      </c>
      <c r="O924">
        <v>8</v>
      </c>
      <c r="P924" t="s">
        <v>1049</v>
      </c>
    </row>
    <row r="925" spans="1:16" x14ac:dyDescent="0.3">
      <c r="A925" t="s">
        <v>953</v>
      </c>
      <c r="B925" t="s">
        <v>23</v>
      </c>
      <c r="C925" t="s">
        <v>17</v>
      </c>
      <c r="D925" s="1">
        <v>45954</v>
      </c>
      <c r="E925" s="1">
        <v>45959</v>
      </c>
      <c r="F925" s="1">
        <v>45964</v>
      </c>
      <c r="G925" s="1">
        <v>45969</v>
      </c>
      <c r="H925" t="s">
        <v>18</v>
      </c>
      <c r="I925" t="s">
        <v>19</v>
      </c>
      <c r="J925" s="1">
        <v>45982</v>
      </c>
      <c r="K925">
        <v>5</v>
      </c>
      <c r="L925">
        <v>5</v>
      </c>
      <c r="M925">
        <v>5</v>
      </c>
      <c r="N925">
        <v>6</v>
      </c>
      <c r="O925">
        <v>15</v>
      </c>
      <c r="P925" t="s">
        <v>1049</v>
      </c>
    </row>
    <row r="926" spans="1:16" x14ac:dyDescent="0.3">
      <c r="A926" t="s">
        <v>954</v>
      </c>
      <c r="B926" t="s">
        <v>34</v>
      </c>
      <c r="C926" t="s">
        <v>32</v>
      </c>
      <c r="D926" s="1">
        <v>45933</v>
      </c>
      <c r="E926" s="1">
        <v>45934</v>
      </c>
      <c r="F926" s="1">
        <v>45935</v>
      </c>
      <c r="G926" s="1">
        <v>45938</v>
      </c>
      <c r="H926" t="s">
        <v>18</v>
      </c>
      <c r="I926" t="s">
        <v>19</v>
      </c>
      <c r="J926" s="1">
        <v>45951</v>
      </c>
      <c r="K926">
        <v>1</v>
      </c>
      <c r="L926">
        <v>1</v>
      </c>
      <c r="M926">
        <v>3</v>
      </c>
      <c r="N926">
        <v>6</v>
      </c>
      <c r="O926">
        <v>5</v>
      </c>
      <c r="P926" t="s">
        <v>1049</v>
      </c>
    </row>
    <row r="927" spans="1:16" x14ac:dyDescent="0.3">
      <c r="A927" t="s">
        <v>955</v>
      </c>
      <c r="B927" t="s">
        <v>23</v>
      </c>
      <c r="C927" t="s">
        <v>32</v>
      </c>
      <c r="D927" s="1">
        <v>45946</v>
      </c>
      <c r="E927" s="1">
        <v>45947</v>
      </c>
      <c r="F927" s="1">
        <v>45952</v>
      </c>
      <c r="G927" s="1">
        <v>45959</v>
      </c>
      <c r="H927" t="s">
        <v>18</v>
      </c>
      <c r="I927" t="s">
        <v>19</v>
      </c>
      <c r="J927" s="1">
        <v>45970</v>
      </c>
      <c r="K927">
        <v>1</v>
      </c>
      <c r="L927">
        <v>5</v>
      </c>
      <c r="M927">
        <v>7</v>
      </c>
      <c r="N927">
        <v>2</v>
      </c>
      <c r="O927">
        <v>13</v>
      </c>
      <c r="P927" t="s">
        <v>1049</v>
      </c>
    </row>
    <row r="928" spans="1:16" x14ac:dyDescent="0.3">
      <c r="A928" t="s">
        <v>956</v>
      </c>
      <c r="B928" t="s">
        <v>21</v>
      </c>
      <c r="C928" t="s">
        <v>17</v>
      </c>
      <c r="D928" s="1">
        <v>45945</v>
      </c>
      <c r="E928" s="1">
        <v>45949</v>
      </c>
      <c r="F928" s="1">
        <v>45953</v>
      </c>
      <c r="G928" s="1">
        <v>45959</v>
      </c>
      <c r="H928" t="s">
        <v>18</v>
      </c>
      <c r="I928" t="s">
        <v>19</v>
      </c>
      <c r="J928" s="1">
        <v>45969</v>
      </c>
      <c r="K928">
        <v>4</v>
      </c>
      <c r="L928">
        <v>4</v>
      </c>
      <c r="M928">
        <v>6</v>
      </c>
      <c r="N928">
        <v>7</v>
      </c>
      <c r="O928">
        <v>14</v>
      </c>
      <c r="P928" t="s">
        <v>1041</v>
      </c>
    </row>
    <row r="929" spans="1:16" x14ac:dyDescent="0.3">
      <c r="A929" t="s">
        <v>957</v>
      </c>
      <c r="B929" t="s">
        <v>21</v>
      </c>
      <c r="C929" t="s">
        <v>32</v>
      </c>
      <c r="D929" s="1">
        <v>45955</v>
      </c>
      <c r="E929" s="1">
        <v>45957</v>
      </c>
      <c r="F929" s="1">
        <v>45960</v>
      </c>
      <c r="G929" s="1">
        <v>45963</v>
      </c>
      <c r="H929" t="s">
        <v>25</v>
      </c>
      <c r="I929" t="s">
        <v>65</v>
      </c>
      <c r="J929" s="1"/>
      <c r="K929">
        <v>2</v>
      </c>
      <c r="L929">
        <v>3</v>
      </c>
      <c r="M929">
        <v>3</v>
      </c>
      <c r="O929">
        <v>8</v>
      </c>
    </row>
    <row r="930" spans="1:16" x14ac:dyDescent="0.3">
      <c r="A930" t="s">
        <v>958</v>
      </c>
      <c r="B930" t="s">
        <v>23</v>
      </c>
      <c r="C930" t="s">
        <v>17</v>
      </c>
      <c r="D930" s="1">
        <v>45942</v>
      </c>
      <c r="E930" s="1">
        <v>45945</v>
      </c>
      <c r="F930" s="1">
        <v>45949</v>
      </c>
      <c r="G930" s="1">
        <v>45956</v>
      </c>
      <c r="H930" t="s">
        <v>18</v>
      </c>
      <c r="I930" t="s">
        <v>19</v>
      </c>
      <c r="J930" s="1">
        <v>45970</v>
      </c>
      <c r="K930">
        <v>3</v>
      </c>
      <c r="L930">
        <v>4</v>
      </c>
      <c r="M930">
        <v>7</v>
      </c>
      <c r="N930">
        <v>8</v>
      </c>
      <c r="O930">
        <v>14</v>
      </c>
      <c r="P930" t="s">
        <v>1041</v>
      </c>
    </row>
    <row r="931" spans="1:16" x14ac:dyDescent="0.3">
      <c r="A931" t="s">
        <v>959</v>
      </c>
      <c r="B931" t="s">
        <v>23</v>
      </c>
      <c r="C931" t="s">
        <v>17</v>
      </c>
      <c r="D931" s="1">
        <v>45947</v>
      </c>
      <c r="E931" s="1">
        <v>45950</v>
      </c>
      <c r="F931" s="1">
        <v>45951</v>
      </c>
      <c r="G931" s="1">
        <v>45957</v>
      </c>
      <c r="H931" t="s">
        <v>18</v>
      </c>
      <c r="I931" t="s">
        <v>19</v>
      </c>
      <c r="J931" s="1">
        <v>45987</v>
      </c>
      <c r="K931">
        <v>3</v>
      </c>
      <c r="L931">
        <v>1</v>
      </c>
      <c r="M931">
        <v>6</v>
      </c>
      <c r="N931">
        <v>1</v>
      </c>
      <c r="O931">
        <v>10</v>
      </c>
      <c r="P931" t="s">
        <v>1049</v>
      </c>
    </row>
    <row r="932" spans="1:16" x14ac:dyDescent="0.3">
      <c r="A932" t="s">
        <v>960</v>
      </c>
      <c r="B932" t="s">
        <v>34</v>
      </c>
      <c r="C932" t="s">
        <v>17</v>
      </c>
      <c r="D932" s="1">
        <v>45949</v>
      </c>
      <c r="E932" s="1">
        <v>45953</v>
      </c>
      <c r="F932" s="1">
        <v>45954</v>
      </c>
      <c r="G932" s="1">
        <v>45956</v>
      </c>
      <c r="H932" t="s">
        <v>18</v>
      </c>
      <c r="I932" t="s">
        <v>19</v>
      </c>
      <c r="J932" s="1">
        <v>45971</v>
      </c>
      <c r="K932">
        <v>4</v>
      </c>
      <c r="L932">
        <v>1</v>
      </c>
      <c r="M932">
        <v>2</v>
      </c>
      <c r="N932">
        <v>7</v>
      </c>
      <c r="O932">
        <v>7</v>
      </c>
      <c r="P932" t="s">
        <v>1041</v>
      </c>
    </row>
    <row r="933" spans="1:16" x14ac:dyDescent="0.3">
      <c r="A933" t="s">
        <v>961</v>
      </c>
      <c r="B933" t="s">
        <v>21</v>
      </c>
      <c r="C933" t="s">
        <v>32</v>
      </c>
      <c r="D933" s="1">
        <v>45934</v>
      </c>
      <c r="E933" s="1">
        <v>45937</v>
      </c>
      <c r="F933" s="1">
        <v>45938</v>
      </c>
      <c r="G933" s="1">
        <v>45943</v>
      </c>
      <c r="H933" t="s">
        <v>18</v>
      </c>
      <c r="I933" t="s">
        <v>19</v>
      </c>
      <c r="J933" s="1">
        <v>45963</v>
      </c>
      <c r="K933">
        <v>3</v>
      </c>
      <c r="L933">
        <v>1</v>
      </c>
      <c r="M933">
        <v>5</v>
      </c>
      <c r="N933">
        <v>9</v>
      </c>
      <c r="O933">
        <v>9</v>
      </c>
      <c r="P933" t="s">
        <v>1050</v>
      </c>
    </row>
    <row r="934" spans="1:16" x14ac:dyDescent="0.3">
      <c r="A934" t="s">
        <v>962</v>
      </c>
      <c r="B934" t="s">
        <v>21</v>
      </c>
      <c r="C934" t="s">
        <v>17</v>
      </c>
      <c r="D934" s="1">
        <v>45945</v>
      </c>
      <c r="E934" s="1">
        <v>45946</v>
      </c>
      <c r="F934" s="1">
        <v>45949</v>
      </c>
      <c r="G934" s="1">
        <v>45956</v>
      </c>
      <c r="H934" t="s">
        <v>18</v>
      </c>
      <c r="I934" t="s">
        <v>19</v>
      </c>
      <c r="J934" s="1">
        <v>45977</v>
      </c>
      <c r="K934">
        <v>1</v>
      </c>
      <c r="L934">
        <v>3</v>
      </c>
      <c r="M934">
        <v>7</v>
      </c>
      <c r="N934">
        <v>2</v>
      </c>
      <c r="O934">
        <v>11</v>
      </c>
      <c r="P934" t="s">
        <v>1049</v>
      </c>
    </row>
    <row r="935" spans="1:16" x14ac:dyDescent="0.3">
      <c r="A935" t="s">
        <v>963</v>
      </c>
      <c r="B935" t="s">
        <v>16</v>
      </c>
      <c r="C935" t="s">
        <v>17</v>
      </c>
      <c r="D935" s="1">
        <v>45947</v>
      </c>
      <c r="E935" s="1">
        <v>45951</v>
      </c>
      <c r="F935" s="1">
        <v>45953</v>
      </c>
      <c r="G935" s="1">
        <v>45957</v>
      </c>
      <c r="H935" t="s">
        <v>25</v>
      </c>
      <c r="I935" t="s">
        <v>35</v>
      </c>
      <c r="J935" s="1"/>
      <c r="K935">
        <v>4</v>
      </c>
      <c r="L935">
        <v>2</v>
      </c>
      <c r="M935">
        <v>4</v>
      </c>
      <c r="O935">
        <v>10</v>
      </c>
    </row>
    <row r="936" spans="1:16" x14ac:dyDescent="0.3">
      <c r="A936" t="s">
        <v>964</v>
      </c>
      <c r="B936" t="s">
        <v>34</v>
      </c>
      <c r="C936" t="s">
        <v>32</v>
      </c>
      <c r="D936" s="1">
        <v>45938</v>
      </c>
      <c r="E936" s="1">
        <v>45939</v>
      </c>
      <c r="F936" s="1">
        <v>45944</v>
      </c>
      <c r="G936" s="1">
        <v>45949</v>
      </c>
      <c r="H936" t="s">
        <v>18</v>
      </c>
      <c r="I936" t="s">
        <v>19</v>
      </c>
      <c r="J936" s="1">
        <v>45973</v>
      </c>
      <c r="K936">
        <v>1</v>
      </c>
      <c r="L936">
        <v>5</v>
      </c>
      <c r="M936">
        <v>5</v>
      </c>
      <c r="N936">
        <v>9</v>
      </c>
      <c r="O936">
        <v>11</v>
      </c>
      <c r="P936" t="s">
        <v>1050</v>
      </c>
    </row>
    <row r="937" spans="1:16" x14ac:dyDescent="0.3">
      <c r="A937" t="s">
        <v>965</v>
      </c>
      <c r="B937" t="s">
        <v>16</v>
      </c>
      <c r="C937" t="s">
        <v>17</v>
      </c>
      <c r="D937" s="1">
        <v>45961</v>
      </c>
      <c r="E937" s="1">
        <v>45966</v>
      </c>
      <c r="F937" s="1">
        <v>45971</v>
      </c>
      <c r="G937" s="1">
        <v>45977</v>
      </c>
      <c r="H937" t="s">
        <v>18</v>
      </c>
      <c r="I937" t="s">
        <v>19</v>
      </c>
      <c r="J937" s="1">
        <v>46006</v>
      </c>
      <c r="K937">
        <v>5</v>
      </c>
      <c r="L937">
        <v>5</v>
      </c>
      <c r="M937">
        <v>6</v>
      </c>
      <c r="N937">
        <v>2</v>
      </c>
      <c r="O937">
        <v>16</v>
      </c>
      <c r="P937" t="s">
        <v>1049</v>
      </c>
    </row>
    <row r="938" spans="1:16" x14ac:dyDescent="0.3">
      <c r="A938" t="s">
        <v>966</v>
      </c>
      <c r="B938" t="s">
        <v>21</v>
      </c>
      <c r="C938" t="s">
        <v>17</v>
      </c>
      <c r="D938" s="1">
        <v>45950</v>
      </c>
      <c r="E938" s="1">
        <v>45955</v>
      </c>
      <c r="F938" s="1">
        <v>45960</v>
      </c>
      <c r="G938" s="1">
        <v>45965</v>
      </c>
      <c r="H938" t="s">
        <v>18</v>
      </c>
      <c r="I938" t="s">
        <v>19</v>
      </c>
      <c r="J938" s="1">
        <v>45983</v>
      </c>
      <c r="K938">
        <v>5</v>
      </c>
      <c r="L938">
        <v>5</v>
      </c>
      <c r="M938">
        <v>5</v>
      </c>
      <c r="N938">
        <v>4</v>
      </c>
      <c r="O938">
        <v>15</v>
      </c>
      <c r="P938" t="s">
        <v>1049</v>
      </c>
    </row>
    <row r="939" spans="1:16" x14ac:dyDescent="0.3">
      <c r="A939" t="s">
        <v>967</v>
      </c>
      <c r="B939" t="s">
        <v>34</v>
      </c>
      <c r="C939" t="s">
        <v>24</v>
      </c>
      <c r="D939" s="1">
        <v>45932</v>
      </c>
      <c r="E939" s="1"/>
      <c r="F939" s="1"/>
      <c r="G939" s="1"/>
      <c r="H939" t="s">
        <v>25</v>
      </c>
      <c r="I939" t="s">
        <v>103</v>
      </c>
      <c r="J939" s="1"/>
    </row>
    <row r="940" spans="1:16" x14ac:dyDescent="0.3">
      <c r="A940" t="s">
        <v>968</v>
      </c>
      <c r="B940" t="s">
        <v>23</v>
      </c>
      <c r="C940" t="s">
        <v>32</v>
      </c>
      <c r="D940" s="1">
        <v>45954</v>
      </c>
      <c r="E940" s="1">
        <v>45956</v>
      </c>
      <c r="F940" s="1">
        <v>45961</v>
      </c>
      <c r="G940" s="1">
        <v>45965</v>
      </c>
      <c r="H940" t="s">
        <v>18</v>
      </c>
      <c r="I940" t="s">
        <v>19</v>
      </c>
      <c r="J940" s="1">
        <v>45977</v>
      </c>
      <c r="K940">
        <v>2</v>
      </c>
      <c r="L940">
        <v>5</v>
      </c>
      <c r="M940">
        <v>4</v>
      </c>
      <c r="N940">
        <v>7</v>
      </c>
      <c r="O940">
        <v>11</v>
      </c>
      <c r="P940" t="s">
        <v>1041</v>
      </c>
    </row>
    <row r="941" spans="1:16" x14ac:dyDescent="0.3">
      <c r="A941" t="s">
        <v>969</v>
      </c>
      <c r="B941" t="s">
        <v>34</v>
      </c>
      <c r="C941" t="s">
        <v>24</v>
      </c>
      <c r="D941" s="1">
        <v>45956</v>
      </c>
      <c r="E941" s="1"/>
      <c r="F941" s="1"/>
      <c r="G941" s="1"/>
      <c r="H941" t="s">
        <v>25</v>
      </c>
      <c r="I941" t="s">
        <v>103</v>
      </c>
      <c r="J941" s="1"/>
    </row>
    <row r="942" spans="1:16" x14ac:dyDescent="0.3">
      <c r="A942" t="s">
        <v>970</v>
      </c>
      <c r="B942" t="s">
        <v>23</v>
      </c>
      <c r="C942" t="s">
        <v>17</v>
      </c>
      <c r="D942" s="1">
        <v>45960</v>
      </c>
      <c r="E942" s="1">
        <v>45963</v>
      </c>
      <c r="F942" s="1">
        <v>45968</v>
      </c>
      <c r="G942" s="1">
        <v>45974</v>
      </c>
      <c r="H942" t="s">
        <v>18</v>
      </c>
      <c r="I942" t="s">
        <v>19</v>
      </c>
      <c r="J942" s="1">
        <v>45995</v>
      </c>
      <c r="K942">
        <v>3</v>
      </c>
      <c r="L942">
        <v>5</v>
      </c>
      <c r="M942">
        <v>6</v>
      </c>
      <c r="N942">
        <v>8</v>
      </c>
      <c r="O942">
        <v>14</v>
      </c>
      <c r="P942" t="s">
        <v>1041</v>
      </c>
    </row>
    <row r="943" spans="1:16" x14ac:dyDescent="0.3">
      <c r="A943" t="s">
        <v>971</v>
      </c>
      <c r="B943" t="s">
        <v>23</v>
      </c>
      <c r="C943" t="s">
        <v>17</v>
      </c>
      <c r="D943" s="1">
        <v>45958</v>
      </c>
      <c r="E943" s="1">
        <v>45963</v>
      </c>
      <c r="F943" s="1">
        <v>45965</v>
      </c>
      <c r="G943" s="1">
        <v>45971</v>
      </c>
      <c r="H943" t="s">
        <v>18</v>
      </c>
      <c r="I943" t="s">
        <v>19</v>
      </c>
      <c r="J943" s="1">
        <v>45991</v>
      </c>
      <c r="K943">
        <v>5</v>
      </c>
      <c r="L943">
        <v>2</v>
      </c>
      <c r="M943">
        <v>6</v>
      </c>
      <c r="N943">
        <v>5</v>
      </c>
      <c r="O943">
        <v>13</v>
      </c>
      <c r="P943" t="s">
        <v>1049</v>
      </c>
    </row>
    <row r="944" spans="1:16" x14ac:dyDescent="0.3">
      <c r="A944" t="s">
        <v>972</v>
      </c>
      <c r="B944" t="s">
        <v>34</v>
      </c>
      <c r="C944" t="s">
        <v>32</v>
      </c>
      <c r="D944" s="1">
        <v>45952</v>
      </c>
      <c r="E944" s="1">
        <v>45955</v>
      </c>
      <c r="F944" s="1">
        <v>45959</v>
      </c>
      <c r="G944" s="1">
        <v>45963</v>
      </c>
      <c r="H944" t="s">
        <v>18</v>
      </c>
      <c r="I944" t="s">
        <v>19</v>
      </c>
      <c r="J944" s="1">
        <v>45978</v>
      </c>
      <c r="K944">
        <v>3</v>
      </c>
      <c r="L944">
        <v>4</v>
      </c>
      <c r="M944">
        <v>4</v>
      </c>
      <c r="N944">
        <v>4</v>
      </c>
      <c r="O944">
        <v>11</v>
      </c>
      <c r="P944" t="s">
        <v>1049</v>
      </c>
    </row>
    <row r="945" spans="1:16" x14ac:dyDescent="0.3">
      <c r="A945" t="s">
        <v>973</v>
      </c>
      <c r="B945" t="s">
        <v>23</v>
      </c>
      <c r="C945" t="s">
        <v>17</v>
      </c>
      <c r="D945" s="1">
        <v>45947</v>
      </c>
      <c r="E945" s="1">
        <v>45948</v>
      </c>
      <c r="F945" s="1">
        <v>45951</v>
      </c>
      <c r="G945" s="1">
        <v>45956</v>
      </c>
      <c r="H945" t="s">
        <v>18</v>
      </c>
      <c r="I945" t="s">
        <v>19</v>
      </c>
      <c r="J945" s="1">
        <v>45969</v>
      </c>
      <c r="K945">
        <v>1</v>
      </c>
      <c r="L945">
        <v>3</v>
      </c>
      <c r="M945">
        <v>5</v>
      </c>
      <c r="N945">
        <v>2</v>
      </c>
      <c r="O945">
        <v>9</v>
      </c>
      <c r="P945" t="s">
        <v>1049</v>
      </c>
    </row>
    <row r="946" spans="1:16" x14ac:dyDescent="0.3">
      <c r="A946" t="s">
        <v>974</v>
      </c>
      <c r="B946" t="s">
        <v>16</v>
      </c>
      <c r="C946" t="s">
        <v>32</v>
      </c>
      <c r="D946" s="1">
        <v>45940</v>
      </c>
      <c r="E946" s="1">
        <v>45944</v>
      </c>
      <c r="F946" s="1">
        <v>45948</v>
      </c>
      <c r="G946" s="1">
        <v>45952</v>
      </c>
      <c r="H946" t="s">
        <v>18</v>
      </c>
      <c r="I946" t="s">
        <v>19</v>
      </c>
      <c r="J946" s="1">
        <v>45974</v>
      </c>
      <c r="K946">
        <v>4</v>
      </c>
      <c r="L946">
        <v>4</v>
      </c>
      <c r="M946">
        <v>4</v>
      </c>
      <c r="N946">
        <v>3</v>
      </c>
      <c r="O946">
        <v>12</v>
      </c>
      <c r="P946" t="s">
        <v>1049</v>
      </c>
    </row>
    <row r="947" spans="1:16" x14ac:dyDescent="0.3">
      <c r="A947" t="s">
        <v>975</v>
      </c>
      <c r="B947" t="s">
        <v>21</v>
      </c>
      <c r="C947" t="s">
        <v>17</v>
      </c>
      <c r="D947" s="1">
        <v>45945</v>
      </c>
      <c r="E947" s="1">
        <v>45950</v>
      </c>
      <c r="F947" s="1">
        <v>45954</v>
      </c>
      <c r="G947" s="1">
        <v>45957</v>
      </c>
      <c r="H947" t="s">
        <v>18</v>
      </c>
      <c r="I947" t="s">
        <v>19</v>
      </c>
      <c r="J947" s="1">
        <v>45979</v>
      </c>
      <c r="K947">
        <v>5</v>
      </c>
      <c r="L947">
        <v>4</v>
      </c>
      <c r="M947">
        <v>3</v>
      </c>
      <c r="N947">
        <v>6</v>
      </c>
      <c r="O947">
        <v>12</v>
      </c>
      <c r="P947" t="s">
        <v>1049</v>
      </c>
    </row>
    <row r="948" spans="1:16" x14ac:dyDescent="0.3">
      <c r="A948" t="s">
        <v>976</v>
      </c>
      <c r="B948" t="s">
        <v>23</v>
      </c>
      <c r="C948" t="s">
        <v>32</v>
      </c>
      <c r="D948" s="1">
        <v>45951</v>
      </c>
      <c r="E948" s="1">
        <v>45955</v>
      </c>
      <c r="F948" s="1">
        <v>45960</v>
      </c>
      <c r="G948" s="1">
        <v>45962</v>
      </c>
      <c r="H948" t="s">
        <v>18</v>
      </c>
      <c r="I948" t="s">
        <v>19</v>
      </c>
      <c r="J948" s="1">
        <v>45986</v>
      </c>
      <c r="K948">
        <v>4</v>
      </c>
      <c r="L948">
        <v>5</v>
      </c>
      <c r="M948">
        <v>2</v>
      </c>
      <c r="N948">
        <v>6</v>
      </c>
      <c r="O948">
        <v>11</v>
      </c>
      <c r="P948" t="s">
        <v>1049</v>
      </c>
    </row>
    <row r="949" spans="1:16" x14ac:dyDescent="0.3">
      <c r="A949" t="s">
        <v>977</v>
      </c>
      <c r="B949" t="s">
        <v>16</v>
      </c>
      <c r="C949" t="s">
        <v>24</v>
      </c>
      <c r="D949" s="1">
        <v>45961</v>
      </c>
      <c r="E949" s="1"/>
      <c r="F949" s="1"/>
      <c r="G949" s="1"/>
      <c r="H949" t="s">
        <v>25</v>
      </c>
      <c r="I949" t="s">
        <v>26</v>
      </c>
      <c r="J949" s="1"/>
    </row>
    <row r="950" spans="1:16" x14ac:dyDescent="0.3">
      <c r="A950" t="s">
        <v>978</v>
      </c>
      <c r="B950" t="s">
        <v>23</v>
      </c>
      <c r="C950" t="s">
        <v>17</v>
      </c>
      <c r="D950" s="1">
        <v>45931</v>
      </c>
      <c r="E950" s="1">
        <v>45936</v>
      </c>
      <c r="F950" s="1">
        <v>45941</v>
      </c>
      <c r="G950" s="1">
        <v>45945</v>
      </c>
      <c r="H950" t="s">
        <v>18</v>
      </c>
      <c r="I950" t="s">
        <v>19</v>
      </c>
      <c r="J950" s="1">
        <v>45963</v>
      </c>
      <c r="K950">
        <v>5</v>
      </c>
      <c r="L950">
        <v>5</v>
      </c>
      <c r="M950">
        <v>4</v>
      </c>
      <c r="N950">
        <v>8</v>
      </c>
      <c r="O950">
        <v>14</v>
      </c>
      <c r="P950" t="s">
        <v>1041</v>
      </c>
    </row>
    <row r="951" spans="1:16" x14ac:dyDescent="0.3">
      <c r="A951" t="s">
        <v>979</v>
      </c>
      <c r="B951" t="s">
        <v>21</v>
      </c>
      <c r="C951" t="s">
        <v>17</v>
      </c>
      <c r="D951" s="1">
        <v>45932</v>
      </c>
      <c r="E951" s="1">
        <v>45935</v>
      </c>
      <c r="F951" s="1">
        <v>45937</v>
      </c>
      <c r="G951" s="1">
        <v>45943</v>
      </c>
      <c r="H951" t="s">
        <v>18</v>
      </c>
      <c r="I951" t="s">
        <v>19</v>
      </c>
      <c r="J951" s="1">
        <v>45965</v>
      </c>
      <c r="K951">
        <v>3</v>
      </c>
      <c r="L951">
        <v>2</v>
      </c>
      <c r="M951">
        <v>6</v>
      </c>
      <c r="N951">
        <v>2</v>
      </c>
      <c r="O951">
        <v>11</v>
      </c>
      <c r="P951" t="s">
        <v>1049</v>
      </c>
    </row>
    <row r="952" spans="1:16" x14ac:dyDescent="0.3">
      <c r="A952" t="s">
        <v>980</v>
      </c>
      <c r="B952" t="s">
        <v>16</v>
      </c>
      <c r="C952" t="s">
        <v>32</v>
      </c>
      <c r="D952" s="1">
        <v>45946</v>
      </c>
      <c r="E952" s="1">
        <v>45951</v>
      </c>
      <c r="F952" s="1">
        <v>45954</v>
      </c>
      <c r="G952" s="1">
        <v>45957</v>
      </c>
      <c r="H952" t="s">
        <v>18</v>
      </c>
      <c r="I952" t="s">
        <v>19</v>
      </c>
      <c r="J952" s="1">
        <v>45982</v>
      </c>
      <c r="K952">
        <v>5</v>
      </c>
      <c r="L952">
        <v>3</v>
      </c>
      <c r="M952">
        <v>3</v>
      </c>
      <c r="N952">
        <v>3</v>
      </c>
      <c r="O952">
        <v>11</v>
      </c>
      <c r="P952" t="s">
        <v>1049</v>
      </c>
    </row>
    <row r="953" spans="1:16" x14ac:dyDescent="0.3">
      <c r="A953" t="s">
        <v>981</v>
      </c>
      <c r="B953" t="s">
        <v>21</v>
      </c>
      <c r="C953" t="s">
        <v>32</v>
      </c>
      <c r="D953" s="1">
        <v>45958</v>
      </c>
      <c r="E953" s="1">
        <v>45963</v>
      </c>
      <c r="F953" s="1">
        <v>45964</v>
      </c>
      <c r="G953" s="1">
        <v>45966</v>
      </c>
      <c r="H953" t="s">
        <v>18</v>
      </c>
      <c r="I953" t="s">
        <v>19</v>
      </c>
      <c r="J953" s="1">
        <v>45989</v>
      </c>
      <c r="K953">
        <v>5</v>
      </c>
      <c r="L953">
        <v>1</v>
      </c>
      <c r="M953">
        <v>2</v>
      </c>
      <c r="N953">
        <v>1</v>
      </c>
      <c r="O953">
        <v>8</v>
      </c>
      <c r="P953" t="s">
        <v>1049</v>
      </c>
    </row>
    <row r="954" spans="1:16" x14ac:dyDescent="0.3">
      <c r="A954" t="s">
        <v>982</v>
      </c>
      <c r="B954" t="s">
        <v>21</v>
      </c>
      <c r="C954" t="s">
        <v>17</v>
      </c>
      <c r="D954" s="1">
        <v>45943</v>
      </c>
      <c r="E954" s="1">
        <v>45944</v>
      </c>
      <c r="F954" s="1">
        <v>45948</v>
      </c>
      <c r="G954" s="1">
        <v>45952</v>
      </c>
      <c r="H954" t="s">
        <v>18</v>
      </c>
      <c r="I954" t="s">
        <v>19</v>
      </c>
      <c r="J954" s="1">
        <v>45982</v>
      </c>
      <c r="K954">
        <v>1</v>
      </c>
      <c r="L954">
        <v>4</v>
      </c>
      <c r="M954">
        <v>4</v>
      </c>
      <c r="N954">
        <v>1</v>
      </c>
      <c r="O954">
        <v>9</v>
      </c>
      <c r="P954" t="s">
        <v>1049</v>
      </c>
    </row>
    <row r="955" spans="1:16" x14ac:dyDescent="0.3">
      <c r="A955" t="s">
        <v>983</v>
      </c>
      <c r="B955" t="s">
        <v>16</v>
      </c>
      <c r="C955" t="s">
        <v>17</v>
      </c>
      <c r="D955" s="1">
        <v>45944</v>
      </c>
      <c r="E955" s="1">
        <v>45946</v>
      </c>
      <c r="F955" s="1">
        <v>45947</v>
      </c>
      <c r="G955" s="1">
        <v>45949</v>
      </c>
      <c r="H955" t="s">
        <v>18</v>
      </c>
      <c r="I955" t="s">
        <v>19</v>
      </c>
      <c r="J955" s="1">
        <v>45964</v>
      </c>
      <c r="K955">
        <v>2</v>
      </c>
      <c r="L955">
        <v>1</v>
      </c>
      <c r="M955">
        <v>2</v>
      </c>
      <c r="N955">
        <v>6</v>
      </c>
      <c r="O955">
        <v>5</v>
      </c>
      <c r="P955" t="s">
        <v>1049</v>
      </c>
    </row>
    <row r="956" spans="1:16" x14ac:dyDescent="0.3">
      <c r="A956" t="s">
        <v>984</v>
      </c>
      <c r="B956" t="s">
        <v>16</v>
      </c>
      <c r="C956" t="s">
        <v>32</v>
      </c>
      <c r="D956" s="1">
        <v>45952</v>
      </c>
      <c r="E956" s="1">
        <v>45953</v>
      </c>
      <c r="F956" s="1">
        <v>45956</v>
      </c>
      <c r="G956" s="1">
        <v>45961</v>
      </c>
      <c r="H956" t="s">
        <v>18</v>
      </c>
      <c r="I956" t="s">
        <v>19</v>
      </c>
      <c r="J956" s="1">
        <v>45974</v>
      </c>
      <c r="K956">
        <v>1</v>
      </c>
      <c r="L956">
        <v>3</v>
      </c>
      <c r="M956">
        <v>5</v>
      </c>
      <c r="N956">
        <v>1</v>
      </c>
      <c r="O956">
        <v>9</v>
      </c>
      <c r="P956" t="s">
        <v>1049</v>
      </c>
    </row>
    <row r="957" spans="1:16" x14ac:dyDescent="0.3">
      <c r="A957" t="s">
        <v>985</v>
      </c>
      <c r="B957" t="s">
        <v>16</v>
      </c>
      <c r="C957" t="s">
        <v>17</v>
      </c>
      <c r="D957" s="1">
        <v>45934</v>
      </c>
      <c r="E957" s="1">
        <v>45938</v>
      </c>
      <c r="F957" s="1">
        <v>45942</v>
      </c>
      <c r="G957" s="1">
        <v>45948</v>
      </c>
      <c r="H957" t="s">
        <v>18</v>
      </c>
      <c r="I957" t="s">
        <v>19</v>
      </c>
      <c r="J957" s="1">
        <v>45962</v>
      </c>
      <c r="K957">
        <v>4</v>
      </c>
      <c r="L957">
        <v>4</v>
      </c>
      <c r="M957">
        <v>6</v>
      </c>
      <c r="N957">
        <v>2</v>
      </c>
      <c r="O957">
        <v>14</v>
      </c>
      <c r="P957" t="s">
        <v>1049</v>
      </c>
    </row>
    <row r="958" spans="1:16" x14ac:dyDescent="0.3">
      <c r="A958" t="s">
        <v>986</v>
      </c>
      <c r="B958" t="s">
        <v>34</v>
      </c>
      <c r="C958" t="s">
        <v>24</v>
      </c>
      <c r="D958" s="1">
        <v>45946</v>
      </c>
      <c r="E958" s="1"/>
      <c r="F958" s="1"/>
      <c r="G958" s="1"/>
      <c r="H958" t="s">
        <v>25</v>
      </c>
      <c r="I958" t="s">
        <v>103</v>
      </c>
      <c r="J958" s="1"/>
    </row>
    <row r="959" spans="1:16" x14ac:dyDescent="0.3">
      <c r="A959" t="s">
        <v>987</v>
      </c>
      <c r="B959" t="s">
        <v>16</v>
      </c>
      <c r="C959" t="s">
        <v>17</v>
      </c>
      <c r="D959" s="1">
        <v>45953</v>
      </c>
      <c r="E959" s="1">
        <v>45956</v>
      </c>
      <c r="F959" s="1">
        <v>45957</v>
      </c>
      <c r="G959" s="1">
        <v>45961</v>
      </c>
      <c r="H959" t="s">
        <v>18</v>
      </c>
      <c r="I959" t="s">
        <v>19</v>
      </c>
      <c r="J959" s="1">
        <v>45972</v>
      </c>
      <c r="K959">
        <v>3</v>
      </c>
      <c r="L959">
        <v>1</v>
      </c>
      <c r="M959">
        <v>4</v>
      </c>
      <c r="N959">
        <v>10</v>
      </c>
      <c r="O959">
        <v>8</v>
      </c>
      <c r="P959" t="s">
        <v>1050</v>
      </c>
    </row>
    <row r="960" spans="1:16" x14ac:dyDescent="0.3">
      <c r="A960" t="s">
        <v>988</v>
      </c>
      <c r="B960" t="s">
        <v>16</v>
      </c>
      <c r="C960" t="s">
        <v>17</v>
      </c>
      <c r="D960" s="1">
        <v>45960</v>
      </c>
      <c r="E960" s="1">
        <v>45963</v>
      </c>
      <c r="F960" s="1">
        <v>45964</v>
      </c>
      <c r="G960" s="1">
        <v>45970</v>
      </c>
      <c r="H960" t="s">
        <v>18</v>
      </c>
      <c r="I960" t="s">
        <v>19</v>
      </c>
      <c r="J960" s="1">
        <v>45985</v>
      </c>
      <c r="K960">
        <v>3</v>
      </c>
      <c r="L960">
        <v>1</v>
      </c>
      <c r="M960">
        <v>6</v>
      </c>
      <c r="N960">
        <v>1</v>
      </c>
      <c r="O960">
        <v>10</v>
      </c>
      <c r="P960" t="s">
        <v>1049</v>
      </c>
    </row>
    <row r="961" spans="1:16" x14ac:dyDescent="0.3">
      <c r="A961" t="s">
        <v>989</v>
      </c>
      <c r="B961" t="s">
        <v>16</v>
      </c>
      <c r="C961" t="s">
        <v>24</v>
      </c>
      <c r="D961" s="1">
        <v>45945</v>
      </c>
      <c r="E961" s="1"/>
      <c r="F961" s="1"/>
      <c r="G961" s="1"/>
      <c r="H961" t="s">
        <v>25</v>
      </c>
      <c r="I961" t="s">
        <v>35</v>
      </c>
      <c r="J961" s="1"/>
    </row>
    <row r="962" spans="1:16" x14ac:dyDescent="0.3">
      <c r="A962" t="s">
        <v>990</v>
      </c>
      <c r="B962" t="s">
        <v>16</v>
      </c>
      <c r="C962" t="s">
        <v>32</v>
      </c>
      <c r="D962" s="1">
        <v>45933</v>
      </c>
      <c r="E962" s="1">
        <v>45938</v>
      </c>
      <c r="F962" s="1">
        <v>45940</v>
      </c>
      <c r="G962" s="1">
        <v>45943</v>
      </c>
      <c r="H962" t="s">
        <v>18</v>
      </c>
      <c r="I962" t="s">
        <v>19</v>
      </c>
      <c r="J962" s="1">
        <v>45956</v>
      </c>
      <c r="K962">
        <v>5</v>
      </c>
      <c r="L962">
        <v>2</v>
      </c>
      <c r="M962">
        <v>3</v>
      </c>
      <c r="N962">
        <v>8</v>
      </c>
      <c r="O962">
        <v>10</v>
      </c>
      <c r="P962" t="s">
        <v>1041</v>
      </c>
    </row>
    <row r="963" spans="1:16" x14ac:dyDescent="0.3">
      <c r="A963" t="s">
        <v>991</v>
      </c>
      <c r="B963" t="s">
        <v>23</v>
      </c>
      <c r="C963" t="s">
        <v>17</v>
      </c>
      <c r="D963" s="1">
        <v>45959</v>
      </c>
      <c r="E963" s="1">
        <v>45962</v>
      </c>
      <c r="F963" s="1">
        <v>45965</v>
      </c>
      <c r="G963" s="1">
        <v>45968</v>
      </c>
      <c r="H963" t="s">
        <v>18</v>
      </c>
      <c r="I963" t="s">
        <v>19</v>
      </c>
      <c r="J963" s="1">
        <v>45991</v>
      </c>
      <c r="K963">
        <v>3</v>
      </c>
      <c r="L963">
        <v>3</v>
      </c>
      <c r="M963">
        <v>3</v>
      </c>
      <c r="N963">
        <v>6</v>
      </c>
      <c r="O963">
        <v>9</v>
      </c>
      <c r="P963" t="s">
        <v>1049</v>
      </c>
    </row>
    <row r="964" spans="1:16" x14ac:dyDescent="0.3">
      <c r="A964" t="s">
        <v>992</v>
      </c>
      <c r="B964" t="s">
        <v>34</v>
      </c>
      <c r="C964" t="s">
        <v>24</v>
      </c>
      <c r="D964" s="1">
        <v>45933</v>
      </c>
      <c r="E964" s="1"/>
      <c r="F964" s="1"/>
      <c r="G964" s="1"/>
      <c r="H964" t="s">
        <v>25</v>
      </c>
      <c r="I964" t="s">
        <v>26</v>
      </c>
      <c r="J964" s="1"/>
    </row>
    <row r="965" spans="1:16" x14ac:dyDescent="0.3">
      <c r="A965" t="s">
        <v>993</v>
      </c>
      <c r="B965" t="s">
        <v>21</v>
      </c>
      <c r="C965" t="s">
        <v>32</v>
      </c>
      <c r="D965" s="1">
        <v>45941</v>
      </c>
      <c r="E965" s="1">
        <v>45943</v>
      </c>
      <c r="F965" s="1">
        <v>45946</v>
      </c>
      <c r="G965" s="1">
        <v>45948</v>
      </c>
      <c r="H965" t="s">
        <v>18</v>
      </c>
      <c r="I965" t="s">
        <v>19</v>
      </c>
      <c r="J965" s="1">
        <v>45976</v>
      </c>
      <c r="K965">
        <v>2</v>
      </c>
      <c r="L965">
        <v>3</v>
      </c>
      <c r="M965">
        <v>2</v>
      </c>
      <c r="N965">
        <v>3</v>
      </c>
      <c r="O965">
        <v>7</v>
      </c>
      <c r="P965" t="s">
        <v>1049</v>
      </c>
    </row>
    <row r="966" spans="1:16" x14ac:dyDescent="0.3">
      <c r="A966" t="s">
        <v>994</v>
      </c>
      <c r="B966" t="s">
        <v>16</v>
      </c>
      <c r="C966" t="s">
        <v>17</v>
      </c>
      <c r="D966" s="1">
        <v>45950</v>
      </c>
      <c r="E966" s="1">
        <v>45952</v>
      </c>
      <c r="F966" s="1">
        <v>45955</v>
      </c>
      <c r="G966" s="1">
        <v>45958</v>
      </c>
      <c r="H966" t="s">
        <v>18</v>
      </c>
      <c r="I966" t="s">
        <v>19</v>
      </c>
      <c r="J966" s="1">
        <v>45983</v>
      </c>
      <c r="K966">
        <v>2</v>
      </c>
      <c r="L966">
        <v>3</v>
      </c>
      <c r="M966">
        <v>3</v>
      </c>
      <c r="N966">
        <v>9</v>
      </c>
      <c r="O966">
        <v>8</v>
      </c>
      <c r="P966" t="s">
        <v>1050</v>
      </c>
    </row>
    <row r="967" spans="1:16" x14ac:dyDescent="0.3">
      <c r="A967" t="s">
        <v>995</v>
      </c>
      <c r="B967" t="s">
        <v>23</v>
      </c>
      <c r="C967" t="s">
        <v>17</v>
      </c>
      <c r="D967" s="1">
        <v>45935</v>
      </c>
      <c r="E967" s="1">
        <v>45940</v>
      </c>
      <c r="F967" s="1">
        <v>45944</v>
      </c>
      <c r="G967" s="1">
        <v>45951</v>
      </c>
      <c r="H967" t="s">
        <v>18</v>
      </c>
      <c r="I967" t="s">
        <v>19</v>
      </c>
      <c r="J967" s="1">
        <v>45979</v>
      </c>
      <c r="K967">
        <v>5</v>
      </c>
      <c r="L967">
        <v>4</v>
      </c>
      <c r="M967">
        <v>7</v>
      </c>
      <c r="N967">
        <v>7</v>
      </c>
      <c r="O967">
        <v>16</v>
      </c>
      <c r="P967" t="s">
        <v>1041</v>
      </c>
    </row>
    <row r="968" spans="1:16" x14ac:dyDescent="0.3">
      <c r="A968" t="s">
        <v>996</v>
      </c>
      <c r="B968" t="s">
        <v>23</v>
      </c>
      <c r="C968" t="s">
        <v>17</v>
      </c>
      <c r="D968" s="1">
        <v>45933</v>
      </c>
      <c r="E968" s="1">
        <v>45938</v>
      </c>
      <c r="F968" s="1">
        <v>45940</v>
      </c>
      <c r="G968" s="1">
        <v>45943</v>
      </c>
      <c r="H968" t="s">
        <v>18</v>
      </c>
      <c r="I968" t="s">
        <v>19</v>
      </c>
      <c r="J968" s="1">
        <v>45967</v>
      </c>
      <c r="K968">
        <v>5</v>
      </c>
      <c r="L968">
        <v>2</v>
      </c>
      <c r="M968">
        <v>3</v>
      </c>
      <c r="N968">
        <v>4</v>
      </c>
      <c r="O968">
        <v>10</v>
      </c>
      <c r="P968" t="s">
        <v>1049</v>
      </c>
    </row>
    <row r="969" spans="1:16" x14ac:dyDescent="0.3">
      <c r="A969" t="s">
        <v>997</v>
      </c>
      <c r="B969" t="s">
        <v>23</v>
      </c>
      <c r="C969" t="s">
        <v>17</v>
      </c>
      <c r="D969" s="1">
        <v>45935</v>
      </c>
      <c r="E969" s="1">
        <v>45939</v>
      </c>
      <c r="F969" s="1">
        <v>45944</v>
      </c>
      <c r="G969" s="1">
        <v>45948</v>
      </c>
      <c r="H969" t="s">
        <v>18</v>
      </c>
      <c r="I969" t="s">
        <v>19</v>
      </c>
      <c r="J969" s="1">
        <v>45963</v>
      </c>
      <c r="K969">
        <v>4</v>
      </c>
      <c r="L969">
        <v>5</v>
      </c>
      <c r="M969">
        <v>4</v>
      </c>
      <c r="N969">
        <v>7</v>
      </c>
      <c r="O969">
        <v>13</v>
      </c>
      <c r="P969" t="s">
        <v>1041</v>
      </c>
    </row>
    <row r="970" spans="1:16" x14ac:dyDescent="0.3">
      <c r="A970" t="s">
        <v>998</v>
      </c>
      <c r="B970" t="s">
        <v>21</v>
      </c>
      <c r="C970" t="s">
        <v>24</v>
      </c>
      <c r="D970" s="1">
        <v>45939</v>
      </c>
      <c r="E970" s="1"/>
      <c r="F970" s="1"/>
      <c r="G970" s="1"/>
      <c r="H970" t="s">
        <v>25</v>
      </c>
      <c r="I970" t="s">
        <v>65</v>
      </c>
      <c r="J970" s="1"/>
    </row>
    <row r="971" spans="1:16" x14ac:dyDescent="0.3">
      <c r="A971" t="s">
        <v>999</v>
      </c>
      <c r="B971" t="s">
        <v>16</v>
      </c>
      <c r="C971" t="s">
        <v>17</v>
      </c>
      <c r="D971" s="1">
        <v>45950</v>
      </c>
      <c r="E971" s="1">
        <v>45955</v>
      </c>
      <c r="F971" s="1">
        <v>45959</v>
      </c>
      <c r="G971" s="1">
        <v>45965</v>
      </c>
      <c r="H971" t="s">
        <v>18</v>
      </c>
      <c r="I971" t="s">
        <v>19</v>
      </c>
      <c r="J971" s="1">
        <v>45994</v>
      </c>
      <c r="K971">
        <v>5</v>
      </c>
      <c r="L971">
        <v>4</v>
      </c>
      <c r="M971">
        <v>6</v>
      </c>
      <c r="N971">
        <v>6</v>
      </c>
      <c r="O971">
        <v>15</v>
      </c>
      <c r="P971" t="s">
        <v>1049</v>
      </c>
    </row>
    <row r="972" spans="1:16" x14ac:dyDescent="0.3">
      <c r="A972" t="s">
        <v>1000</v>
      </c>
      <c r="B972" t="s">
        <v>34</v>
      </c>
      <c r="C972" t="s">
        <v>32</v>
      </c>
      <c r="D972" s="1">
        <v>45951</v>
      </c>
      <c r="E972" s="1">
        <v>45952</v>
      </c>
      <c r="F972" s="1">
        <v>45955</v>
      </c>
      <c r="G972" s="1">
        <v>45962</v>
      </c>
      <c r="H972" t="s">
        <v>18</v>
      </c>
      <c r="I972" t="s">
        <v>19</v>
      </c>
      <c r="J972" s="1">
        <v>45984</v>
      </c>
      <c r="K972">
        <v>1</v>
      </c>
      <c r="L972">
        <v>3</v>
      </c>
      <c r="M972">
        <v>7</v>
      </c>
      <c r="N972">
        <v>10</v>
      </c>
      <c r="O972">
        <v>11</v>
      </c>
      <c r="P972" t="s">
        <v>1050</v>
      </c>
    </row>
    <row r="973" spans="1:16" x14ac:dyDescent="0.3">
      <c r="A973" t="s">
        <v>1001</v>
      </c>
      <c r="B973" t="s">
        <v>34</v>
      </c>
      <c r="C973" t="s">
        <v>24</v>
      </c>
      <c r="D973" s="1">
        <v>45949</v>
      </c>
      <c r="E973" s="1"/>
      <c r="F973" s="1"/>
      <c r="G973" s="1"/>
      <c r="H973" t="s">
        <v>25</v>
      </c>
      <c r="I973" t="s">
        <v>103</v>
      </c>
      <c r="J973" s="1"/>
    </row>
    <row r="974" spans="1:16" x14ac:dyDescent="0.3">
      <c r="A974" t="s">
        <v>1002</v>
      </c>
      <c r="B974" t="s">
        <v>23</v>
      </c>
      <c r="C974" t="s">
        <v>32</v>
      </c>
      <c r="D974" s="1">
        <v>45948</v>
      </c>
      <c r="E974" s="1">
        <v>45949</v>
      </c>
      <c r="F974" s="1">
        <v>45953</v>
      </c>
      <c r="G974" s="1">
        <v>45955</v>
      </c>
      <c r="H974" t="s">
        <v>18</v>
      </c>
      <c r="I974" t="s">
        <v>19</v>
      </c>
      <c r="J974" s="1">
        <v>45976</v>
      </c>
      <c r="K974">
        <v>1</v>
      </c>
      <c r="L974">
        <v>4</v>
      </c>
      <c r="M974">
        <v>2</v>
      </c>
      <c r="N974">
        <v>10</v>
      </c>
      <c r="O974">
        <v>7</v>
      </c>
      <c r="P974" t="s">
        <v>1050</v>
      </c>
    </row>
    <row r="975" spans="1:16" x14ac:dyDescent="0.3">
      <c r="A975" t="s">
        <v>1003</v>
      </c>
      <c r="B975" t="s">
        <v>21</v>
      </c>
      <c r="C975" t="s">
        <v>17</v>
      </c>
      <c r="D975" s="1">
        <v>45953</v>
      </c>
      <c r="E975" s="1">
        <v>45954</v>
      </c>
      <c r="F975" s="1">
        <v>45955</v>
      </c>
      <c r="G975" s="1">
        <v>45958</v>
      </c>
      <c r="H975" t="s">
        <v>18</v>
      </c>
      <c r="I975" t="s">
        <v>19</v>
      </c>
      <c r="J975" s="1">
        <v>45987</v>
      </c>
      <c r="K975">
        <v>1</v>
      </c>
      <c r="L975">
        <v>1</v>
      </c>
      <c r="M975">
        <v>3</v>
      </c>
      <c r="N975">
        <v>9</v>
      </c>
      <c r="O975">
        <v>5</v>
      </c>
      <c r="P975" t="s">
        <v>1050</v>
      </c>
    </row>
    <row r="976" spans="1:16" x14ac:dyDescent="0.3">
      <c r="A976" t="s">
        <v>1004</v>
      </c>
      <c r="B976" t="s">
        <v>21</v>
      </c>
      <c r="C976" t="s">
        <v>17</v>
      </c>
      <c r="D976" s="1">
        <v>45941</v>
      </c>
      <c r="E976" s="1">
        <v>45943</v>
      </c>
      <c r="F976" s="1">
        <v>45947</v>
      </c>
      <c r="G976" s="1">
        <v>45953</v>
      </c>
      <c r="H976" t="s">
        <v>18</v>
      </c>
      <c r="I976" t="s">
        <v>19</v>
      </c>
      <c r="J976" s="1">
        <v>45963</v>
      </c>
      <c r="K976">
        <v>2</v>
      </c>
      <c r="L976">
        <v>4</v>
      </c>
      <c r="M976">
        <v>6</v>
      </c>
      <c r="N976">
        <v>7</v>
      </c>
      <c r="O976">
        <v>12</v>
      </c>
      <c r="P976" t="s">
        <v>1041</v>
      </c>
    </row>
    <row r="977" spans="1:16" x14ac:dyDescent="0.3">
      <c r="A977" t="s">
        <v>1005</v>
      </c>
      <c r="B977" t="s">
        <v>21</v>
      </c>
      <c r="C977" t="s">
        <v>17</v>
      </c>
      <c r="D977" s="1">
        <v>45943</v>
      </c>
      <c r="E977" s="1">
        <v>45946</v>
      </c>
      <c r="F977" s="1">
        <v>45950</v>
      </c>
      <c r="G977" s="1">
        <v>45955</v>
      </c>
      <c r="H977" t="s">
        <v>25</v>
      </c>
      <c r="I977" t="s">
        <v>28</v>
      </c>
      <c r="J977" s="1"/>
      <c r="K977">
        <v>3</v>
      </c>
      <c r="L977">
        <v>4</v>
      </c>
      <c r="M977">
        <v>5</v>
      </c>
      <c r="O977">
        <v>12</v>
      </c>
    </row>
    <row r="978" spans="1:16" x14ac:dyDescent="0.3">
      <c r="A978" t="s">
        <v>1006</v>
      </c>
      <c r="B978" t="s">
        <v>34</v>
      </c>
      <c r="C978" t="s">
        <v>17</v>
      </c>
      <c r="D978" s="1">
        <v>45950</v>
      </c>
      <c r="E978" s="1">
        <v>45954</v>
      </c>
      <c r="F978" s="1">
        <v>45957</v>
      </c>
      <c r="G978" s="1">
        <v>45961</v>
      </c>
      <c r="H978" t="s">
        <v>25</v>
      </c>
      <c r="I978" t="s">
        <v>103</v>
      </c>
      <c r="J978" s="1"/>
      <c r="K978">
        <v>4</v>
      </c>
      <c r="L978">
        <v>3</v>
      </c>
      <c r="M978">
        <v>4</v>
      </c>
      <c r="O978">
        <v>11</v>
      </c>
    </row>
    <row r="979" spans="1:16" x14ac:dyDescent="0.3">
      <c r="A979" t="s">
        <v>1007</v>
      </c>
      <c r="B979" t="s">
        <v>23</v>
      </c>
      <c r="C979" t="s">
        <v>24</v>
      </c>
      <c r="D979" s="1">
        <v>45947</v>
      </c>
      <c r="E979" s="1"/>
      <c r="F979" s="1"/>
      <c r="G979" s="1"/>
      <c r="H979" t="s">
        <v>25</v>
      </c>
      <c r="I979" t="s">
        <v>65</v>
      </c>
      <c r="J979" s="1"/>
    </row>
    <row r="980" spans="1:16" x14ac:dyDescent="0.3">
      <c r="A980" t="s">
        <v>1008</v>
      </c>
      <c r="B980" t="s">
        <v>16</v>
      </c>
      <c r="C980" t="s">
        <v>17</v>
      </c>
      <c r="D980" s="1">
        <v>45940</v>
      </c>
      <c r="E980" s="1">
        <v>45945</v>
      </c>
      <c r="F980" s="1">
        <v>45946</v>
      </c>
      <c r="G980" s="1">
        <v>45949</v>
      </c>
      <c r="H980" t="s">
        <v>18</v>
      </c>
      <c r="I980" t="s">
        <v>19</v>
      </c>
      <c r="J980" s="1">
        <v>45963</v>
      </c>
      <c r="K980">
        <v>5</v>
      </c>
      <c r="L980">
        <v>1</v>
      </c>
      <c r="M980">
        <v>3</v>
      </c>
      <c r="N980">
        <v>8</v>
      </c>
      <c r="O980">
        <v>9</v>
      </c>
      <c r="P980" t="s">
        <v>1041</v>
      </c>
    </row>
    <row r="981" spans="1:16" x14ac:dyDescent="0.3">
      <c r="A981" t="s">
        <v>1009</v>
      </c>
      <c r="B981" t="s">
        <v>34</v>
      </c>
      <c r="C981" t="s">
        <v>17</v>
      </c>
      <c r="D981" s="1">
        <v>45945</v>
      </c>
      <c r="E981" s="1">
        <v>45949</v>
      </c>
      <c r="F981" s="1">
        <v>45952</v>
      </c>
      <c r="G981" s="1">
        <v>45955</v>
      </c>
      <c r="H981" t="s">
        <v>18</v>
      </c>
      <c r="I981" t="s">
        <v>19</v>
      </c>
      <c r="J981" s="1">
        <v>45980</v>
      </c>
      <c r="K981">
        <v>4</v>
      </c>
      <c r="L981">
        <v>3</v>
      </c>
      <c r="M981">
        <v>3</v>
      </c>
      <c r="N981">
        <v>5</v>
      </c>
      <c r="O981">
        <v>10</v>
      </c>
      <c r="P981" t="s">
        <v>1049</v>
      </c>
    </row>
    <row r="982" spans="1:16" x14ac:dyDescent="0.3">
      <c r="A982" t="s">
        <v>1010</v>
      </c>
      <c r="B982" t="s">
        <v>23</v>
      </c>
      <c r="C982" t="s">
        <v>32</v>
      </c>
      <c r="D982" s="1">
        <v>45947</v>
      </c>
      <c r="E982" s="1">
        <v>45949</v>
      </c>
      <c r="F982" s="1">
        <v>45950</v>
      </c>
      <c r="G982" s="1">
        <v>45953</v>
      </c>
      <c r="H982" t="s">
        <v>18</v>
      </c>
      <c r="I982" t="s">
        <v>19</v>
      </c>
      <c r="J982" s="1">
        <v>45978</v>
      </c>
      <c r="K982">
        <v>2</v>
      </c>
      <c r="L982">
        <v>1</v>
      </c>
      <c r="M982">
        <v>3</v>
      </c>
      <c r="N982">
        <v>0</v>
      </c>
      <c r="O982">
        <v>6</v>
      </c>
      <c r="P982" t="s">
        <v>1049</v>
      </c>
    </row>
    <row r="983" spans="1:16" x14ac:dyDescent="0.3">
      <c r="A983" t="s">
        <v>1011</v>
      </c>
      <c r="B983" t="s">
        <v>23</v>
      </c>
      <c r="C983" t="s">
        <v>24</v>
      </c>
      <c r="D983" s="1">
        <v>45950</v>
      </c>
      <c r="E983" s="1"/>
      <c r="F983" s="1"/>
      <c r="G983" s="1"/>
      <c r="H983" t="s">
        <v>25</v>
      </c>
      <c r="I983" t="s">
        <v>26</v>
      </c>
      <c r="J983" s="1"/>
    </row>
    <row r="984" spans="1:16" x14ac:dyDescent="0.3">
      <c r="A984" t="s">
        <v>1012</v>
      </c>
      <c r="B984" t="s">
        <v>16</v>
      </c>
      <c r="C984" t="s">
        <v>24</v>
      </c>
      <c r="D984" s="1">
        <v>45944</v>
      </c>
      <c r="E984" s="1"/>
      <c r="F984" s="1"/>
      <c r="G984" s="1"/>
      <c r="H984" t="s">
        <v>25</v>
      </c>
      <c r="I984" t="s">
        <v>65</v>
      </c>
      <c r="J984" s="1"/>
    </row>
    <row r="985" spans="1:16" x14ac:dyDescent="0.3">
      <c r="A985" t="s">
        <v>1013</v>
      </c>
      <c r="B985" t="s">
        <v>16</v>
      </c>
      <c r="C985" t="s">
        <v>17</v>
      </c>
      <c r="D985" s="1">
        <v>45934</v>
      </c>
      <c r="E985" s="1">
        <v>45939</v>
      </c>
      <c r="F985" s="1">
        <v>45940</v>
      </c>
      <c r="G985" s="1">
        <v>45946</v>
      </c>
      <c r="H985" t="s">
        <v>18</v>
      </c>
      <c r="I985" t="s">
        <v>19</v>
      </c>
      <c r="J985" s="1">
        <v>45959</v>
      </c>
      <c r="K985">
        <v>5</v>
      </c>
      <c r="L985">
        <v>1</v>
      </c>
      <c r="M985">
        <v>6</v>
      </c>
      <c r="N985">
        <v>2</v>
      </c>
      <c r="O985">
        <v>12</v>
      </c>
      <c r="P985" t="s">
        <v>1049</v>
      </c>
    </row>
    <row r="986" spans="1:16" x14ac:dyDescent="0.3">
      <c r="A986" t="s">
        <v>1014</v>
      </c>
      <c r="B986" t="s">
        <v>16</v>
      </c>
      <c r="C986" t="s">
        <v>32</v>
      </c>
      <c r="D986" s="1">
        <v>45956</v>
      </c>
      <c r="E986" s="1">
        <v>45961</v>
      </c>
      <c r="F986" s="1">
        <v>45962</v>
      </c>
      <c r="G986" s="1">
        <v>45966</v>
      </c>
      <c r="H986" t="s">
        <v>18</v>
      </c>
      <c r="I986" t="s">
        <v>19</v>
      </c>
      <c r="J986" s="1">
        <v>45989</v>
      </c>
      <c r="K986">
        <v>5</v>
      </c>
      <c r="L986">
        <v>1</v>
      </c>
      <c r="M986">
        <v>4</v>
      </c>
      <c r="N986">
        <v>2</v>
      </c>
      <c r="O986">
        <v>10</v>
      </c>
      <c r="P986" t="s">
        <v>1049</v>
      </c>
    </row>
    <row r="987" spans="1:16" x14ac:dyDescent="0.3">
      <c r="A987" t="s">
        <v>1015</v>
      </c>
      <c r="B987" t="s">
        <v>21</v>
      </c>
      <c r="C987" t="s">
        <v>32</v>
      </c>
      <c r="D987" s="1">
        <v>45953</v>
      </c>
      <c r="E987" s="1">
        <v>45955</v>
      </c>
      <c r="F987" s="1">
        <v>45958</v>
      </c>
      <c r="G987" s="1">
        <v>45965</v>
      </c>
      <c r="H987" t="s">
        <v>18</v>
      </c>
      <c r="I987" t="s">
        <v>19</v>
      </c>
      <c r="J987" s="1">
        <v>45989</v>
      </c>
      <c r="K987">
        <v>2</v>
      </c>
      <c r="L987">
        <v>3</v>
      </c>
      <c r="M987">
        <v>7</v>
      </c>
      <c r="N987">
        <v>7</v>
      </c>
      <c r="O987">
        <v>12</v>
      </c>
      <c r="P987" t="s">
        <v>1041</v>
      </c>
    </row>
    <row r="988" spans="1:16" x14ac:dyDescent="0.3">
      <c r="A988" t="s">
        <v>1016</v>
      </c>
      <c r="B988" t="s">
        <v>16</v>
      </c>
      <c r="C988" t="s">
        <v>32</v>
      </c>
      <c r="D988" s="1">
        <v>45934</v>
      </c>
      <c r="E988" s="1">
        <v>45937</v>
      </c>
      <c r="F988" s="1">
        <v>45938</v>
      </c>
      <c r="G988" s="1">
        <v>45945</v>
      </c>
      <c r="H988" t="s">
        <v>18</v>
      </c>
      <c r="I988" t="s">
        <v>19</v>
      </c>
      <c r="J988" s="1">
        <v>45956</v>
      </c>
      <c r="K988">
        <v>3</v>
      </c>
      <c r="L988">
        <v>1</v>
      </c>
      <c r="M988">
        <v>7</v>
      </c>
      <c r="N988">
        <v>8</v>
      </c>
      <c r="O988">
        <v>11</v>
      </c>
      <c r="P988" t="s">
        <v>1041</v>
      </c>
    </row>
    <row r="989" spans="1:16" x14ac:dyDescent="0.3">
      <c r="A989" t="s">
        <v>1017</v>
      </c>
      <c r="B989" t="s">
        <v>23</v>
      </c>
      <c r="C989" t="s">
        <v>32</v>
      </c>
      <c r="D989" s="1">
        <v>45958</v>
      </c>
      <c r="E989" s="1">
        <v>45963</v>
      </c>
      <c r="F989" s="1">
        <v>45965</v>
      </c>
      <c r="G989" s="1">
        <v>45969</v>
      </c>
      <c r="H989" t="s">
        <v>18</v>
      </c>
      <c r="I989" t="s">
        <v>19</v>
      </c>
      <c r="J989" s="1">
        <v>45981</v>
      </c>
      <c r="K989">
        <v>5</v>
      </c>
      <c r="L989">
        <v>2</v>
      </c>
      <c r="M989">
        <v>4</v>
      </c>
      <c r="N989">
        <v>0</v>
      </c>
      <c r="O989">
        <v>11</v>
      </c>
      <c r="P989" t="s">
        <v>1049</v>
      </c>
    </row>
    <row r="990" spans="1:16" x14ac:dyDescent="0.3">
      <c r="A990" t="s">
        <v>1018</v>
      </c>
      <c r="B990" t="s">
        <v>16</v>
      </c>
      <c r="C990" t="s">
        <v>17</v>
      </c>
      <c r="D990" s="1">
        <v>45951</v>
      </c>
      <c r="E990" s="1">
        <v>45954</v>
      </c>
      <c r="F990" s="1">
        <v>45956</v>
      </c>
      <c r="G990" s="1">
        <v>45962</v>
      </c>
      <c r="H990" t="s">
        <v>18</v>
      </c>
      <c r="I990" t="s">
        <v>19</v>
      </c>
      <c r="J990" s="1">
        <v>45980</v>
      </c>
      <c r="K990">
        <v>3</v>
      </c>
      <c r="L990">
        <v>2</v>
      </c>
      <c r="M990">
        <v>6</v>
      </c>
      <c r="N990">
        <v>4</v>
      </c>
      <c r="O990">
        <v>11</v>
      </c>
      <c r="P990" t="s">
        <v>1049</v>
      </c>
    </row>
    <row r="991" spans="1:16" x14ac:dyDescent="0.3">
      <c r="A991" t="s">
        <v>1019</v>
      </c>
      <c r="B991" t="s">
        <v>23</v>
      </c>
      <c r="C991" t="s">
        <v>24</v>
      </c>
      <c r="D991" s="1">
        <v>45951</v>
      </c>
      <c r="E991" s="1"/>
      <c r="F991" s="1"/>
      <c r="G991" s="1"/>
      <c r="H991" t="s">
        <v>25</v>
      </c>
      <c r="I991" t="s">
        <v>28</v>
      </c>
      <c r="J991" s="1"/>
    </row>
    <row r="992" spans="1:16" x14ac:dyDescent="0.3">
      <c r="A992" t="s">
        <v>1020</v>
      </c>
      <c r="B992" t="s">
        <v>34</v>
      </c>
      <c r="C992" t="s">
        <v>17</v>
      </c>
      <c r="D992" s="1">
        <v>45959</v>
      </c>
      <c r="E992" s="1">
        <v>45961</v>
      </c>
      <c r="F992" s="1">
        <v>45966</v>
      </c>
      <c r="G992" s="1">
        <v>45968</v>
      </c>
      <c r="H992" t="s">
        <v>18</v>
      </c>
      <c r="I992" t="s">
        <v>19</v>
      </c>
      <c r="J992" s="1">
        <v>45998</v>
      </c>
      <c r="K992">
        <v>2</v>
      </c>
      <c r="L992">
        <v>5</v>
      </c>
      <c r="M992">
        <v>2</v>
      </c>
      <c r="N992">
        <v>6</v>
      </c>
      <c r="O992">
        <v>9</v>
      </c>
      <c r="P992" t="s">
        <v>1049</v>
      </c>
    </row>
    <row r="993" spans="1:16" x14ac:dyDescent="0.3">
      <c r="A993" t="s">
        <v>1021</v>
      </c>
      <c r="B993" t="s">
        <v>21</v>
      </c>
      <c r="C993" t="s">
        <v>32</v>
      </c>
      <c r="D993" s="1">
        <v>45955</v>
      </c>
      <c r="E993" s="1">
        <v>45959</v>
      </c>
      <c r="F993" s="1">
        <v>45961</v>
      </c>
      <c r="G993" s="1">
        <v>45968</v>
      </c>
      <c r="H993" t="s">
        <v>18</v>
      </c>
      <c r="I993" t="s">
        <v>19</v>
      </c>
      <c r="J993" s="1">
        <v>45988</v>
      </c>
      <c r="K993">
        <v>4</v>
      </c>
      <c r="L993">
        <v>2</v>
      </c>
      <c r="M993">
        <v>7</v>
      </c>
      <c r="N993">
        <v>3</v>
      </c>
      <c r="O993">
        <v>13</v>
      </c>
      <c r="P993" t="s">
        <v>1049</v>
      </c>
    </row>
    <row r="994" spans="1:16" x14ac:dyDescent="0.3">
      <c r="A994" t="s">
        <v>1022</v>
      </c>
      <c r="B994" t="s">
        <v>34</v>
      </c>
      <c r="C994" t="s">
        <v>32</v>
      </c>
      <c r="D994" s="1">
        <v>45948</v>
      </c>
      <c r="E994" s="1">
        <v>45953</v>
      </c>
      <c r="F994" s="1">
        <v>45958</v>
      </c>
      <c r="G994" s="1">
        <v>45965</v>
      </c>
      <c r="H994" t="s">
        <v>18</v>
      </c>
      <c r="I994" t="s">
        <v>19</v>
      </c>
      <c r="J994" s="1">
        <v>45975</v>
      </c>
      <c r="K994">
        <v>5</v>
      </c>
      <c r="L994">
        <v>5</v>
      </c>
      <c r="M994">
        <v>7</v>
      </c>
      <c r="N994">
        <v>5</v>
      </c>
      <c r="O994">
        <v>17</v>
      </c>
      <c r="P994" t="s">
        <v>1049</v>
      </c>
    </row>
    <row r="995" spans="1:16" x14ac:dyDescent="0.3">
      <c r="A995" t="s">
        <v>1023</v>
      </c>
      <c r="B995" t="s">
        <v>34</v>
      </c>
      <c r="C995" t="s">
        <v>32</v>
      </c>
      <c r="D995" s="1">
        <v>45954</v>
      </c>
      <c r="E995" s="1">
        <v>45957</v>
      </c>
      <c r="F995" s="1">
        <v>45959</v>
      </c>
      <c r="G995" s="1">
        <v>45963</v>
      </c>
      <c r="H995" t="s">
        <v>18</v>
      </c>
      <c r="I995" t="s">
        <v>19</v>
      </c>
      <c r="J995" s="1">
        <v>45989</v>
      </c>
      <c r="K995">
        <v>3</v>
      </c>
      <c r="L995">
        <v>2</v>
      </c>
      <c r="M995">
        <v>4</v>
      </c>
      <c r="N995">
        <v>7</v>
      </c>
      <c r="O995">
        <v>9</v>
      </c>
      <c r="P995" t="s">
        <v>1041</v>
      </c>
    </row>
    <row r="996" spans="1:16" x14ac:dyDescent="0.3">
      <c r="A996" t="s">
        <v>1024</v>
      </c>
      <c r="B996" t="s">
        <v>23</v>
      </c>
      <c r="C996" t="s">
        <v>32</v>
      </c>
      <c r="D996" s="1">
        <v>45958</v>
      </c>
      <c r="E996" s="1">
        <v>45963</v>
      </c>
      <c r="F996" s="1">
        <v>45966</v>
      </c>
      <c r="G996" s="1">
        <v>45972</v>
      </c>
      <c r="H996" t="s">
        <v>18</v>
      </c>
      <c r="I996" t="s">
        <v>19</v>
      </c>
      <c r="J996" s="1">
        <v>46000</v>
      </c>
      <c r="K996">
        <v>5</v>
      </c>
      <c r="L996">
        <v>3</v>
      </c>
      <c r="M996">
        <v>6</v>
      </c>
      <c r="N996">
        <v>1</v>
      </c>
      <c r="O996">
        <v>14</v>
      </c>
      <c r="P996" t="s">
        <v>1049</v>
      </c>
    </row>
    <row r="997" spans="1:16" x14ac:dyDescent="0.3">
      <c r="A997" t="s">
        <v>1025</v>
      </c>
      <c r="B997" t="s">
        <v>34</v>
      </c>
      <c r="C997" t="s">
        <v>32</v>
      </c>
      <c r="D997" s="1">
        <v>45937</v>
      </c>
      <c r="E997" s="1">
        <v>45940</v>
      </c>
      <c r="F997" s="1">
        <v>45945</v>
      </c>
      <c r="G997" s="1">
        <v>45951</v>
      </c>
      <c r="H997" t="s">
        <v>18</v>
      </c>
      <c r="I997" t="s">
        <v>19</v>
      </c>
      <c r="J997" s="1">
        <v>45979</v>
      </c>
      <c r="K997">
        <v>3</v>
      </c>
      <c r="L997">
        <v>5</v>
      </c>
      <c r="M997">
        <v>6</v>
      </c>
      <c r="N997">
        <v>5</v>
      </c>
      <c r="O997">
        <v>14</v>
      </c>
      <c r="P997" t="s">
        <v>1049</v>
      </c>
    </row>
    <row r="998" spans="1:16" x14ac:dyDescent="0.3">
      <c r="A998" t="s">
        <v>1026</v>
      </c>
      <c r="B998" t="s">
        <v>23</v>
      </c>
      <c r="C998" t="s">
        <v>32</v>
      </c>
      <c r="D998" s="1">
        <v>45944</v>
      </c>
      <c r="E998" s="1">
        <v>45949</v>
      </c>
      <c r="F998" s="1">
        <v>45953</v>
      </c>
      <c r="G998" s="1">
        <v>45956</v>
      </c>
      <c r="H998" t="s">
        <v>18</v>
      </c>
      <c r="I998" t="s">
        <v>19</v>
      </c>
      <c r="J998" s="1">
        <v>45973</v>
      </c>
      <c r="K998">
        <v>5</v>
      </c>
      <c r="L998">
        <v>4</v>
      </c>
      <c r="M998">
        <v>3</v>
      </c>
      <c r="N998">
        <v>7</v>
      </c>
      <c r="O998">
        <v>12</v>
      </c>
      <c r="P998" t="s">
        <v>1041</v>
      </c>
    </row>
    <row r="999" spans="1:16" x14ac:dyDescent="0.3">
      <c r="A999" t="s">
        <v>1027</v>
      </c>
      <c r="B999" t="s">
        <v>16</v>
      </c>
      <c r="C999" t="s">
        <v>17</v>
      </c>
      <c r="D999" s="1">
        <v>45945</v>
      </c>
      <c r="E999" s="1">
        <v>45950</v>
      </c>
      <c r="F999" s="1">
        <v>45954</v>
      </c>
      <c r="G999" s="1">
        <v>45960</v>
      </c>
      <c r="H999" t="s">
        <v>18</v>
      </c>
      <c r="I999" t="s">
        <v>19</v>
      </c>
      <c r="J999" s="1">
        <v>45980</v>
      </c>
      <c r="K999">
        <v>5</v>
      </c>
      <c r="L999">
        <v>4</v>
      </c>
      <c r="M999">
        <v>6</v>
      </c>
      <c r="N999">
        <v>3</v>
      </c>
      <c r="O999">
        <v>15</v>
      </c>
      <c r="P999" t="s">
        <v>1049</v>
      </c>
    </row>
    <row r="1000" spans="1:16" x14ac:dyDescent="0.3">
      <c r="A1000" t="s">
        <v>1028</v>
      </c>
      <c r="B1000" t="s">
        <v>16</v>
      </c>
      <c r="C1000" t="s">
        <v>24</v>
      </c>
      <c r="D1000" s="1">
        <v>45959</v>
      </c>
      <c r="E1000" s="1"/>
      <c r="F1000" s="1"/>
      <c r="G1000" s="1"/>
      <c r="H1000" t="s">
        <v>25</v>
      </c>
      <c r="I1000" t="s">
        <v>35</v>
      </c>
      <c r="J1000" s="1"/>
    </row>
    <row r="1001" spans="1:16" x14ac:dyDescent="0.3">
      <c r="A1001" t="s">
        <v>1029</v>
      </c>
      <c r="B1001" t="s">
        <v>23</v>
      </c>
      <c r="C1001" t="s">
        <v>17</v>
      </c>
      <c r="D1001" s="1">
        <v>45938</v>
      </c>
      <c r="E1001" s="1">
        <v>45943</v>
      </c>
      <c r="F1001" s="1">
        <v>45945</v>
      </c>
      <c r="G1001" s="1">
        <v>45948</v>
      </c>
      <c r="H1001" t="s">
        <v>18</v>
      </c>
      <c r="I1001" t="s">
        <v>19</v>
      </c>
      <c r="J1001" s="1">
        <v>45974</v>
      </c>
      <c r="K1001">
        <v>5</v>
      </c>
      <c r="L1001">
        <v>2</v>
      </c>
      <c r="M1001">
        <v>3</v>
      </c>
      <c r="N1001">
        <v>4</v>
      </c>
      <c r="O1001">
        <v>10</v>
      </c>
      <c r="P1001" t="s">
        <v>1049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1287F2-9B37-43B1-AD26-76F6DCC4BB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Conversion Rates at each stage</vt:lpstr>
      <vt:lpstr>Average TAT Days</vt:lpstr>
      <vt:lpstr>Cancellations patterns by store</vt:lpstr>
      <vt:lpstr>Breakdown of lead type</vt:lpstr>
      <vt:lpstr>NPS of each Store</vt:lpstr>
      <vt:lpstr>Sales over year </vt:lpstr>
      <vt:lpstr>EPe BA intern assesment Raw (2)</vt:lpstr>
      <vt:lpstr>EPe BA intern assesment Raw 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dc:creator>
  <cp:lastModifiedBy>Aditya Kumar</cp:lastModifiedBy>
  <dcterms:created xsi:type="dcterms:W3CDTF">2015-06-05T18:17:20Z</dcterms:created>
  <dcterms:modified xsi:type="dcterms:W3CDTF">2025-11-02T13:30:46Z</dcterms:modified>
</cp:coreProperties>
</file>